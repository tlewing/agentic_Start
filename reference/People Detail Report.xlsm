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tewing\Desktop\Holding\"/>
    </mc:Choice>
  </mc:AlternateContent>
  <xr:revisionPtr revIDLastSave="0" documentId="13_ncr:1_{84FEAA82-2A10-418B-8004-B8D8B540F0D1}" xr6:coauthVersionLast="47" xr6:coauthVersionMax="47" xr10:uidLastSave="{00000000-0000-0000-0000-000000000000}"/>
  <bookViews>
    <workbookView xWindow="-120" yWindow="-120" windowWidth="38640" windowHeight="21120" firstSheet="3" activeTab="13" xr2:uid="{5E8CF2B2-EDD5-4AD1-AFD3-C74004BCE3ED}"/>
  </bookViews>
  <sheets>
    <sheet name="Employees" sheetId="5" r:id="rId1"/>
    <sheet name="JobCodeList" sheetId="11" r:id="rId2"/>
    <sheet name="JobCodePath" sheetId="6" r:id="rId3"/>
    <sheet name="JobCodeSkills" sheetId="7" r:id="rId4"/>
    <sheet name="SkillMasterSkill ID" sheetId="16" r:id="rId5"/>
    <sheet name="EmployeeSkills" sheetId="12" r:id="rId6"/>
    <sheet name="ReadinessCalc" sheetId="13" r:id="rId7"/>
    <sheet name="JobCodeTitles" sheetId="8" r:id="rId8"/>
    <sheet name="ExecRoleSkills" sheetId="9" r:id="rId9"/>
    <sheet name="Sheet1" sheetId="17" r:id="rId10"/>
    <sheet name="Sheet2" sheetId="18" r:id="rId11"/>
    <sheet name="SkillsList" sheetId="19" r:id="rId12"/>
    <sheet name="Position Capabilities" sheetId="20" r:id="rId13"/>
    <sheet name="Sheet5" sheetId="23" r:id="rId14"/>
    <sheet name="MASTER SKILLS" sheetId="22" r:id="rId15"/>
  </sheets>
  <definedNames>
    <definedName name="_xlnm._FilterDatabase" localSheetId="0" hidden="1">Employees!$A$1:$I$605</definedName>
    <definedName name="_xlnm._FilterDatabase" localSheetId="1" hidden="1">JobCodeList!$A$1:$D$100</definedName>
    <definedName name="_xlnm._FilterDatabase" localSheetId="12" hidden="1">'Position Capabilities'!$A$2:$L$1167</definedName>
    <definedName name="_xleta.NOT" hidden="1" xlm="1">#NAME?</definedName>
    <definedName name="_xlpm.allCats" hidden="1" xlm="1">#NAME?</definedName>
    <definedName name="_xlpm.cats" hidden="1" xlm="1">#NAME?</definedName>
    <definedName name="_xlpm.prim" hidden="1" xlm="1">#NAME?</definedName>
    <definedName name="_xlpm.sec" hidden="1" xlm="1">#NAME?</definedName>
    <definedName name="SkillList">JobCodeSkills[Skill]</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714" i="7" l="1"/>
  <c r="E1695" i="7"/>
  <c r="E1628" i="7"/>
  <c r="E1737" i="7"/>
  <c r="E1716" i="7"/>
  <c r="E1794" i="7"/>
  <c r="E1700" i="7"/>
  <c r="E1781" i="7"/>
  <c r="E1621" i="7"/>
  <c r="E1682" i="7"/>
  <c r="E1778" i="7"/>
  <c r="E1626" i="7"/>
  <c r="E1674" i="7"/>
  <c r="E1749" i="7"/>
  <c r="E1697" i="7"/>
  <c r="E1600" i="7"/>
  <c r="E1662" i="7"/>
  <c r="E1666" i="7"/>
  <c r="E1565" i="7"/>
  <c r="E1719" i="7"/>
  <c r="E1788" i="7"/>
  <c r="E1597" i="7"/>
  <c r="E1650" i="7"/>
  <c r="E1743" i="7"/>
  <c r="E1659" i="7"/>
  <c r="E1592" i="7"/>
  <c r="E1758" i="7"/>
  <c r="E1790" i="7"/>
  <c r="E1751" i="7"/>
  <c r="F1714" i="7"/>
  <c r="F1695" i="7"/>
  <c r="F1628" i="7"/>
  <c r="F1737" i="7"/>
  <c r="F1716" i="7"/>
  <c r="F1794" i="7"/>
  <c r="F1700" i="7"/>
  <c r="F1781" i="7"/>
  <c r="F1621" i="7"/>
  <c r="F1682" i="7"/>
  <c r="F1778" i="7"/>
  <c r="F1626" i="7"/>
  <c r="F1674" i="7"/>
  <c r="F1749" i="7"/>
  <c r="F1697" i="7"/>
  <c r="F1600" i="7"/>
  <c r="F1662" i="7"/>
  <c r="F1666" i="7"/>
  <c r="F1565" i="7"/>
  <c r="F1719" i="7"/>
  <c r="F1788" i="7"/>
  <c r="F1597" i="7"/>
  <c r="F1650" i="7"/>
  <c r="F1743" i="7"/>
  <c r="F1659" i="7"/>
  <c r="F1592" i="7"/>
  <c r="F1758" i="7"/>
  <c r="F1790" i="7"/>
  <c r="F1751" i="7"/>
  <c r="F1795" i="7"/>
  <c r="F1566" i="7"/>
  <c r="E1669" i="7"/>
  <c r="F1669" i="7"/>
  <c r="E1736" i="7"/>
  <c r="F1736" i="7"/>
  <c r="E1772" i="7"/>
  <c r="F1772" i="7"/>
  <c r="E1708" i="7"/>
  <c r="F1708" i="7"/>
  <c r="E1698" i="7"/>
  <c r="F1698" i="7"/>
  <c r="E1569" i="7"/>
  <c r="F1569" i="7"/>
  <c r="E1580" i="7"/>
  <c r="F1580" i="7"/>
  <c r="E1787" i="7"/>
  <c r="F1787" i="7"/>
  <c r="E1732" i="7"/>
  <c r="F1732" i="7"/>
  <c r="E1687" i="7"/>
  <c r="F1687" i="7"/>
  <c r="E1745" i="7"/>
  <c r="F1745" i="7"/>
  <c r="E1661" i="7"/>
  <c r="F1661" i="7"/>
  <c r="E1596" i="7"/>
  <c r="F1596" i="7"/>
  <c r="E1648" i="7"/>
  <c r="F1648" i="7"/>
  <c r="E1800" i="7"/>
  <c r="F1800" i="7"/>
  <c r="E1748" i="7"/>
  <c r="F1748" i="7"/>
  <c r="E1741" i="7"/>
  <c r="F1741" i="7"/>
  <c r="E1801" i="7"/>
  <c r="F1801" i="7"/>
  <c r="E1649" i="7"/>
  <c r="F1649" i="7"/>
  <c r="E1617" i="7"/>
  <c r="F1617" i="7"/>
  <c r="E1585" i="7"/>
  <c r="F1585" i="7"/>
  <c r="E1612" i="7"/>
  <c r="F1612" i="7"/>
  <c r="E1726" i="7"/>
  <c r="F1726" i="7"/>
  <c r="E1642" i="7"/>
  <c r="F1642" i="7"/>
  <c r="E1636" i="7"/>
  <c r="F1636" i="7"/>
  <c r="E1653" i="7"/>
  <c r="F1653" i="7"/>
  <c r="E1589" i="7"/>
  <c r="F1589" i="7"/>
  <c r="E1629" i="7"/>
  <c r="F1629" i="7"/>
  <c r="E1568" i="7"/>
  <c r="F1568" i="7"/>
  <c r="E1663" i="7"/>
  <c r="F1663" i="7"/>
  <c r="E1680" i="7"/>
  <c r="F1680" i="7"/>
  <c r="E1575" i="7"/>
  <c r="F1575" i="7"/>
  <c r="E1613" i="7"/>
  <c r="F1613" i="7"/>
  <c r="E1706" i="7"/>
  <c r="F1706" i="7"/>
  <c r="E1704" i="7"/>
  <c r="F1704" i="7"/>
  <c r="E1624" i="7"/>
  <c r="F1624" i="7"/>
  <c r="E1786" i="7"/>
  <c r="F1786" i="7"/>
  <c r="E1769" i="7"/>
  <c r="F1769" i="7"/>
  <c r="E1625" i="7"/>
  <c r="F1625" i="7"/>
  <c r="E1598" i="7"/>
  <c r="F1598" i="7"/>
  <c r="E1599" i="7"/>
  <c r="F1599" i="7"/>
  <c r="E1570" i="7"/>
  <c r="F1570" i="7"/>
  <c r="E1590" i="7"/>
  <c r="F1590" i="7"/>
  <c r="E1664" i="7"/>
  <c r="F1664" i="7"/>
  <c r="E1601" i="7"/>
  <c r="F1601" i="7"/>
  <c r="E1605" i="7"/>
  <c r="F1605" i="7"/>
  <c r="E1607" i="7"/>
  <c r="F1607" i="7"/>
  <c r="E1707" i="7"/>
  <c r="F1707" i="7"/>
  <c r="E1713" i="7"/>
  <c r="F1713" i="7"/>
  <c r="E1692" i="7"/>
  <c r="F1692" i="7"/>
  <c r="E1693" i="7"/>
  <c r="F1693" i="7"/>
  <c r="E1733" i="7"/>
  <c r="F1733" i="7"/>
  <c r="E1727" i="7"/>
  <c r="F1727" i="7"/>
  <c r="E1643" i="7"/>
  <c r="F1643" i="7"/>
  <c r="E1637" i="7"/>
  <c r="F1637" i="7"/>
  <c r="E1681" i="7"/>
  <c r="F1681" i="7"/>
  <c r="E1586" i="7"/>
  <c r="F1586" i="7"/>
  <c r="E1696" i="7"/>
  <c r="F1696" i="7"/>
  <c r="E1602" i="7"/>
  <c r="F1602" i="7"/>
  <c r="E1665" i="7"/>
  <c r="F1665" i="7"/>
  <c r="E1699" i="7"/>
  <c r="F1699" i="7"/>
  <c r="E1709" i="7"/>
  <c r="F1709" i="7"/>
  <c r="E1686" i="7"/>
  <c r="F1686" i="7"/>
  <c r="E1572" i="7"/>
  <c r="F1572" i="7"/>
  <c r="E1654" i="7"/>
  <c r="F1654" i="7"/>
  <c r="E1591" i="7"/>
  <c r="F1591" i="7"/>
  <c r="E1614" i="7"/>
  <c r="F1614" i="7"/>
  <c r="E1710" i="7"/>
  <c r="F1710" i="7"/>
  <c r="E1571" i="7"/>
  <c r="F1571" i="7"/>
  <c r="J1669" i="7"/>
  <c r="J1736" i="7"/>
  <c r="J1772" i="7"/>
  <c r="J1708" i="7"/>
  <c r="J1698" i="7"/>
  <c r="J1569" i="7"/>
  <c r="J1580" i="7"/>
  <c r="J1787" i="7"/>
  <c r="J1732" i="7"/>
  <c r="J1687" i="7"/>
  <c r="J1745" i="7"/>
  <c r="J1661" i="7"/>
  <c r="J1596" i="7"/>
  <c r="J1648" i="7"/>
  <c r="J1800" i="7"/>
  <c r="J1748" i="7"/>
  <c r="J1741" i="7"/>
  <c r="J1801" i="7"/>
  <c r="J1649" i="7"/>
  <c r="J1617" i="7"/>
  <c r="J1585" i="7"/>
  <c r="J1612" i="7"/>
  <c r="J1726" i="7"/>
  <c r="J1642" i="7"/>
  <c r="J1636" i="7"/>
  <c r="J1653" i="7"/>
  <c r="J1589" i="7"/>
  <c r="J1629" i="7"/>
  <c r="J1568" i="7"/>
  <c r="J1663" i="7"/>
  <c r="J1680" i="7"/>
  <c r="J1575" i="7"/>
  <c r="J1613" i="7"/>
  <c r="J1706" i="7"/>
  <c r="J1704" i="7"/>
  <c r="J1624" i="7"/>
  <c r="J1786" i="7"/>
  <c r="J1769" i="7"/>
  <c r="J1625" i="7"/>
  <c r="J1598" i="7"/>
  <c r="J1599" i="7"/>
  <c r="J1570" i="7"/>
  <c r="J1590" i="7"/>
  <c r="J1664" i="7"/>
  <c r="J1601" i="7"/>
  <c r="J1605" i="7"/>
  <c r="J1607" i="7"/>
  <c r="J1707" i="7"/>
  <c r="J1713" i="7"/>
  <c r="J1692" i="7"/>
  <c r="J1693" i="7"/>
  <c r="J1733" i="7"/>
  <c r="J1727" i="7"/>
  <c r="J1643" i="7"/>
  <c r="J1637" i="7"/>
  <c r="J1681" i="7"/>
  <c r="J1586" i="7"/>
  <c r="J1696" i="7"/>
  <c r="J1602" i="7"/>
  <c r="J1665" i="7"/>
  <c r="J1699" i="7"/>
  <c r="J1709" i="7"/>
  <c r="J1686" i="7"/>
  <c r="J1572" i="7"/>
  <c r="J1654" i="7"/>
  <c r="J1591" i="7"/>
  <c r="J1614" i="7"/>
  <c r="J1710" i="7"/>
  <c r="J1571" i="7"/>
  <c r="F1610" i="7"/>
  <c r="F1583" i="7"/>
  <c r="F1611" i="7"/>
  <c r="F1574" i="7"/>
  <c r="F1724" i="7"/>
  <c r="F1640" i="7"/>
  <c r="F1634" i="7"/>
  <c r="F1652" i="7"/>
  <c r="F1588" i="7"/>
  <c r="F1718" i="7"/>
  <c r="F1798" i="7"/>
  <c r="F1730" i="7"/>
  <c r="F1739" i="7"/>
  <c r="F1774" i="7"/>
  <c r="F1647" i="7"/>
  <c r="F1658" i="7"/>
  <c r="F1731" i="7"/>
  <c r="F1735" i="7"/>
  <c r="F1671" i="7"/>
  <c r="F1756" i="7"/>
  <c r="F1762" i="7"/>
  <c r="F1635" i="7"/>
  <c r="F1641" i="7"/>
  <c r="F1725" i="7"/>
  <c r="F1679" i="7"/>
  <c r="F1584" i="7"/>
  <c r="F1721" i="7"/>
  <c r="F1656" i="7"/>
  <c r="F1757" i="7"/>
  <c r="F1645" i="7"/>
  <c r="F1763" i="7"/>
  <c r="F1595" i="7"/>
  <c r="F1620" i="7"/>
  <c r="F1576" i="7"/>
  <c r="F1694" i="7"/>
  <c r="F1747" i="7"/>
  <c r="F1764" i="7"/>
  <c r="F1577" i="7"/>
  <c r="F1750" i="7"/>
  <c r="F1740" i="7"/>
  <c r="F1792" i="7"/>
  <c r="F1688" i="7"/>
  <c r="F1622" i="7"/>
  <c r="F1701" i="7"/>
  <c r="F1683" i="7"/>
  <c r="F1672" i="7"/>
  <c r="F1765" i="7"/>
  <c r="F1684" i="7"/>
  <c r="F1793" i="7"/>
  <c r="F1746" i="7"/>
  <c r="F1578" i="7"/>
  <c r="F1685" i="7"/>
  <c r="F1779" i="7"/>
  <c r="F1711" i="7"/>
  <c r="F1753" i="7"/>
  <c r="F1799" i="7"/>
  <c r="F1775" i="7"/>
  <c r="F1627" i="7"/>
  <c r="F1675" i="7"/>
  <c r="F1780" i="7"/>
  <c r="F1712" i="7"/>
  <c r="F1689" i="7"/>
  <c r="F1564" i="7"/>
  <c r="F1702" i="7"/>
  <c r="F1603" i="7"/>
  <c r="F1803" i="7"/>
  <c r="F1742" i="7"/>
  <c r="F1604" i="7"/>
  <c r="F1606" i="7"/>
  <c r="F1630" i="7"/>
  <c r="F1690" i="7"/>
  <c r="F1783" i="7"/>
  <c r="F1705" i="7"/>
  <c r="F1703" i="7"/>
  <c r="F1623" i="7"/>
  <c r="F1785" i="7"/>
  <c r="F1782" i="7"/>
  <c r="F1804" i="7"/>
  <c r="F1784" i="7"/>
  <c r="F1715" i="7"/>
  <c r="F1776" i="7"/>
  <c r="F1631" i="7"/>
  <c r="F1767" i="7"/>
  <c r="F1768" i="7"/>
  <c r="F1618" i="7"/>
  <c r="F1619" i="7"/>
  <c r="F1789" i="7"/>
  <c r="F1673" i="7"/>
  <c r="F1777" i="7"/>
  <c r="F1579" i="7"/>
  <c r="F1691" i="7"/>
  <c r="F1766" i="7"/>
  <c r="F1831" i="7"/>
  <c r="F1542" i="7"/>
  <c r="F1538" i="7"/>
  <c r="F1540" i="7"/>
  <c r="F1539" i="7"/>
  <c r="F1534" i="7"/>
  <c r="F1536" i="7"/>
  <c r="F1541" i="7"/>
  <c r="F1535" i="7"/>
  <c r="F1533" i="7"/>
  <c r="F1532" i="7"/>
  <c r="F1537" i="7"/>
  <c r="F1555" i="7"/>
  <c r="F1563" i="7"/>
  <c r="F1559" i="7"/>
  <c r="F1802" i="7"/>
  <c r="F1548" i="7"/>
  <c r="F1547" i="7"/>
  <c r="F1554" i="7"/>
  <c r="F1549" i="7"/>
  <c r="F1557" i="7"/>
  <c r="F1551" i="7"/>
  <c r="F1556" i="7"/>
  <c r="F1560" i="7"/>
  <c r="F1543" i="7"/>
  <c r="F1550" i="7"/>
  <c r="F1546" i="7"/>
  <c r="F1553" i="7"/>
  <c r="F1562" i="7"/>
  <c r="F1544" i="7"/>
  <c r="F1552" i="7"/>
  <c r="F1561" i="7"/>
  <c r="F1545" i="7"/>
  <c r="F1558" i="7"/>
  <c r="F2" i="7"/>
  <c r="A2" i="7" s="1"/>
  <c r="F5" i="7"/>
  <c r="A5" i="7" s="1"/>
  <c r="F8" i="7"/>
  <c r="A8" i="7" s="1"/>
  <c r="F6" i="7"/>
  <c r="A6" i="7" s="1"/>
  <c r="F7" i="7"/>
  <c r="A7" i="7" s="1"/>
  <c r="F4" i="7"/>
  <c r="A4" i="7" s="1"/>
  <c r="F3" i="7"/>
  <c r="A3" i="7" s="1"/>
  <c r="F16" i="7"/>
  <c r="A16" i="7" s="1"/>
  <c r="F24" i="7"/>
  <c r="A24" i="7" s="1"/>
  <c r="F21" i="7"/>
  <c r="A21" i="7" s="1"/>
  <c r="F22" i="7"/>
  <c r="A22" i="7" s="1"/>
  <c r="F15" i="7"/>
  <c r="A15" i="7" s="1"/>
  <c r="F12" i="7"/>
  <c r="A12" i="7" s="1"/>
  <c r="F9" i="7"/>
  <c r="A9" i="7" s="1"/>
  <c r="F26" i="7"/>
  <c r="A26" i="7" s="1"/>
  <c r="F23" i="7"/>
  <c r="A23" i="7" s="1"/>
  <c r="F20" i="7"/>
  <c r="A20" i="7" s="1"/>
  <c r="F14" i="7"/>
  <c r="A14" i="7" s="1"/>
  <c r="F13" i="7"/>
  <c r="A13" i="7" s="1"/>
  <c r="F27" i="7"/>
  <c r="A27" i="7" s="1"/>
  <c r="F19" i="7"/>
  <c r="A19" i="7" s="1"/>
  <c r="F18" i="7"/>
  <c r="A18" i="7" s="1"/>
  <c r="F25" i="7"/>
  <c r="A25" i="7" s="1"/>
  <c r="F28" i="7"/>
  <c r="A28" i="7" s="1"/>
  <c r="F17" i="7"/>
  <c r="A17" i="7" s="1"/>
  <c r="F11" i="7"/>
  <c r="A11" i="7" s="1"/>
  <c r="F10" i="7"/>
  <c r="A10" i="7" s="1"/>
  <c r="F31" i="7"/>
  <c r="A31" i="7" s="1"/>
  <c r="F34" i="7"/>
  <c r="A34" i="7" s="1"/>
  <c r="F32" i="7"/>
  <c r="A32" i="7" s="1"/>
  <c r="F33" i="7"/>
  <c r="A33" i="7" s="1"/>
  <c r="F30" i="7"/>
  <c r="A30" i="7" s="1"/>
  <c r="F29" i="7"/>
  <c r="A29" i="7" s="1"/>
  <c r="F48" i="7"/>
  <c r="A48" i="7" s="1"/>
  <c r="F36" i="7"/>
  <c r="A36" i="7" s="1"/>
  <c r="F44" i="7"/>
  <c r="A44" i="7" s="1"/>
  <c r="F40" i="7"/>
  <c r="A40" i="7" s="1"/>
  <c r="F41" i="7"/>
  <c r="A41" i="7" s="1"/>
  <c r="F38" i="7"/>
  <c r="A38" i="7" s="1"/>
  <c r="F45" i="7"/>
  <c r="A45" i="7" s="1"/>
  <c r="F55" i="7"/>
  <c r="A55" i="7" s="1"/>
  <c r="F57" i="7"/>
  <c r="A57" i="7" s="1"/>
  <c r="F1805" i="7"/>
  <c r="F42" i="7"/>
  <c r="A42" i="7" s="1"/>
  <c r="F43" i="7"/>
  <c r="A43" i="7" s="1"/>
  <c r="F56" i="7"/>
  <c r="A56" i="7" s="1"/>
  <c r="F53" i="7"/>
  <c r="A53" i="7" s="1"/>
  <c r="F54" i="7"/>
  <c r="A54" i="7" s="1"/>
  <c r="F47" i="7"/>
  <c r="A47" i="7" s="1"/>
  <c r="F58" i="7"/>
  <c r="A58" i="7" s="1"/>
  <c r="F51" i="7"/>
  <c r="A51" i="7" s="1"/>
  <c r="F37" i="7"/>
  <c r="A37" i="7" s="1"/>
  <c r="F50" i="7"/>
  <c r="A50" i="7" s="1"/>
  <c r="F46" i="7"/>
  <c r="A46" i="7" s="1"/>
  <c r="F35" i="7"/>
  <c r="A35" i="7" s="1"/>
  <c r="F49" i="7"/>
  <c r="A49" i="7" s="1"/>
  <c r="F59" i="7"/>
  <c r="A59" i="7" s="1"/>
  <c r="F39" i="7"/>
  <c r="A39" i="7" s="1"/>
  <c r="F52" i="7"/>
  <c r="A52" i="7" s="1"/>
  <c r="F62" i="7"/>
  <c r="A62" i="7" s="1"/>
  <c r="F65" i="7"/>
  <c r="A65" i="7" s="1"/>
  <c r="F63" i="7"/>
  <c r="A63" i="7" s="1"/>
  <c r="F64" i="7"/>
  <c r="A64" i="7" s="1"/>
  <c r="F61" i="7"/>
  <c r="A61" i="7" s="1"/>
  <c r="F60" i="7"/>
  <c r="A60" i="7" s="1"/>
  <c r="F71" i="7"/>
  <c r="A71" i="7" s="1"/>
  <c r="F75" i="7"/>
  <c r="A75" i="7" s="1"/>
  <c r="F77" i="7"/>
  <c r="A77" i="7" s="1"/>
  <c r="F68" i="7"/>
  <c r="A68" i="7" s="1"/>
  <c r="F72" i="7"/>
  <c r="A72" i="7" s="1"/>
  <c r="F69" i="7"/>
  <c r="A69" i="7" s="1"/>
  <c r="F79" i="7"/>
  <c r="A79" i="7" s="1"/>
  <c r="F1615" i="7"/>
  <c r="F1676" i="7"/>
  <c r="F1770" i="7"/>
  <c r="F1667" i="7"/>
  <c r="F1608" i="7"/>
  <c r="F1581" i="7"/>
  <c r="F1609" i="7"/>
  <c r="F1573" i="7"/>
  <c r="F1722" i="7"/>
  <c r="F1638" i="7"/>
  <c r="F1632" i="7"/>
  <c r="F1651" i="7"/>
  <c r="F1587" i="7"/>
  <c r="F1717" i="7"/>
  <c r="F1796" i="7"/>
  <c r="F1728" i="7"/>
  <c r="F1738" i="7"/>
  <c r="F1773" i="7"/>
  <c r="F1646" i="7"/>
  <c r="F1657" i="7"/>
  <c r="F1729" i="7"/>
  <c r="F1734" i="7"/>
  <c r="F1670" i="7"/>
  <c r="F1754" i="7"/>
  <c r="F1759" i="7"/>
  <c r="F1633" i="7"/>
  <c r="F1639" i="7"/>
  <c r="F1723" i="7"/>
  <c r="F1677" i="7"/>
  <c r="F1582" i="7"/>
  <c r="F1720" i="7"/>
  <c r="F1655" i="7"/>
  <c r="F1755" i="7"/>
  <c r="F1644" i="7"/>
  <c r="F1760" i="7"/>
  <c r="F1593" i="7"/>
  <c r="F1744" i="7"/>
  <c r="F1660" i="7"/>
  <c r="F1594" i="7"/>
  <c r="F1761" i="7"/>
  <c r="F1791" i="7"/>
  <c r="F1752" i="7"/>
  <c r="F1797" i="7"/>
  <c r="F1567" i="7"/>
  <c r="F1616" i="7"/>
  <c r="F1678" i="7"/>
  <c r="F1771" i="7"/>
  <c r="F1668" i="7"/>
  <c r="E1655" i="7"/>
  <c r="E1755" i="7"/>
  <c r="E1644" i="7"/>
  <c r="E1760" i="7"/>
  <c r="E1593" i="7"/>
  <c r="E1744" i="7"/>
  <c r="E1660" i="7"/>
  <c r="E1594" i="7"/>
  <c r="E1761" i="7"/>
  <c r="E1791" i="7"/>
  <c r="E1752" i="7"/>
  <c r="E1797" i="7"/>
  <c r="E1567" i="7"/>
  <c r="E1616" i="7"/>
  <c r="E1678" i="7"/>
  <c r="E1771" i="7"/>
  <c r="E1668" i="7"/>
  <c r="E1610" i="7"/>
  <c r="E1583" i="7"/>
  <c r="E1611" i="7"/>
  <c r="E1574" i="7"/>
  <c r="E1724" i="7"/>
  <c r="E1640" i="7"/>
  <c r="E1634" i="7"/>
  <c r="E1652" i="7"/>
  <c r="E1588" i="7"/>
  <c r="E1718" i="7"/>
  <c r="E1798" i="7"/>
  <c r="E1730" i="7"/>
  <c r="E1739" i="7"/>
  <c r="E1774" i="7"/>
  <c r="E1647" i="7"/>
  <c r="E1658" i="7"/>
  <c r="E1731" i="7"/>
  <c r="E1735" i="7"/>
  <c r="E1671" i="7"/>
  <c r="E1756" i="7"/>
  <c r="E1762" i="7"/>
  <c r="E1635" i="7"/>
  <c r="E1641" i="7"/>
  <c r="E1725" i="7"/>
  <c r="E1679" i="7"/>
  <c r="E1584" i="7"/>
  <c r="E1721" i="7"/>
  <c r="E1656" i="7"/>
  <c r="E1757" i="7"/>
  <c r="E1645" i="7"/>
  <c r="E1763" i="7"/>
  <c r="E1595" i="7"/>
  <c r="E1581" i="7"/>
  <c r="J1581" i="7"/>
  <c r="E1609" i="7"/>
  <c r="J1609" i="7"/>
  <c r="E1573" i="7"/>
  <c r="J1573" i="7"/>
  <c r="E1722" i="7"/>
  <c r="J1722" i="7"/>
  <c r="E1638" i="7"/>
  <c r="J1638" i="7"/>
  <c r="E1632" i="7"/>
  <c r="J1632" i="7"/>
  <c r="E1651" i="7"/>
  <c r="J1651" i="7"/>
  <c r="E1587" i="7"/>
  <c r="J1587" i="7"/>
  <c r="E1566" i="7"/>
  <c r="E1615" i="7"/>
  <c r="E1676" i="7"/>
  <c r="E1770" i="7"/>
  <c r="E1667" i="7"/>
  <c r="E1608" i="7"/>
  <c r="E1717" i="7"/>
  <c r="E1796" i="7"/>
  <c r="E1728" i="7"/>
  <c r="E1738" i="7"/>
  <c r="E1773" i="7"/>
  <c r="E1646" i="7"/>
  <c r="E1657" i="7"/>
  <c r="E1729" i="7"/>
  <c r="E1734" i="7"/>
  <c r="E1670" i="7"/>
  <c r="E1754" i="7"/>
  <c r="E1759" i="7"/>
  <c r="E1633" i="7"/>
  <c r="E1639" i="7"/>
  <c r="E1723" i="7"/>
  <c r="E1677" i="7"/>
  <c r="E1582" i="7"/>
  <c r="E1720" i="7"/>
  <c r="E1795" i="7"/>
  <c r="J1697" i="7"/>
  <c r="J1600" i="7"/>
  <c r="J1662" i="7"/>
  <c r="J1666" i="7"/>
  <c r="J1565" i="7"/>
  <c r="J1719" i="7"/>
  <c r="J1788" i="7"/>
  <c r="J1597" i="7"/>
  <c r="J1650" i="7"/>
  <c r="J1743" i="7"/>
  <c r="J1659" i="7"/>
  <c r="J1592" i="7"/>
  <c r="J1758" i="7"/>
  <c r="J1790" i="7"/>
  <c r="J1751" i="7"/>
  <c r="J1795" i="7"/>
  <c r="J1566" i="7"/>
  <c r="J1615" i="7"/>
  <c r="J1676" i="7"/>
  <c r="J1770" i="7"/>
  <c r="J1667" i="7"/>
  <c r="J1608" i="7"/>
  <c r="J1781" i="7"/>
  <c r="J1621" i="7"/>
  <c r="J1682" i="7"/>
  <c r="J1778" i="7"/>
  <c r="J1626" i="7"/>
  <c r="J1674" i="7"/>
  <c r="J1749" i="7"/>
  <c r="J1700" i="7"/>
  <c r="J1695" i="7"/>
  <c r="J1628" i="7"/>
  <c r="J1737" i="7"/>
  <c r="J1716" i="7"/>
  <c r="J1794" i="7"/>
  <c r="J1720" i="7"/>
  <c r="J1582" i="7"/>
  <c r="J1677" i="7"/>
  <c r="J1723" i="7"/>
  <c r="J1639" i="7"/>
  <c r="J1633" i="7"/>
  <c r="J1759" i="7"/>
  <c r="J1754" i="7"/>
  <c r="J1670" i="7"/>
  <c r="J1734" i="7"/>
  <c r="J1729" i="7"/>
  <c r="J1657" i="7"/>
  <c r="J1646" i="7"/>
  <c r="J1773" i="7"/>
  <c r="J1738" i="7"/>
  <c r="J1728" i="7"/>
  <c r="J1796" i="7"/>
  <c r="J1717" i="7"/>
  <c r="J1714" i="7"/>
  <c r="E1620" i="7"/>
  <c r="E1576" i="7"/>
  <c r="E1694" i="7"/>
  <c r="E1747" i="7"/>
  <c r="E1764" i="7"/>
  <c r="E1577" i="7"/>
  <c r="E1750" i="7"/>
  <c r="E1740" i="7"/>
  <c r="E1792" i="7"/>
  <c r="E1688" i="7"/>
  <c r="J1655" i="7"/>
  <c r="J1755" i="7"/>
  <c r="J1644" i="7"/>
  <c r="J1760" i="7"/>
  <c r="J1593" i="7"/>
  <c r="J1744" i="7"/>
  <c r="J1660" i="7"/>
  <c r="J1594" i="7"/>
  <c r="J1761" i="7"/>
  <c r="J1791" i="7"/>
  <c r="J1752" i="7"/>
  <c r="J1797" i="7"/>
  <c r="J1567" i="7"/>
  <c r="J1616" i="7"/>
  <c r="J1678" i="7"/>
  <c r="J1771" i="7"/>
  <c r="J1668" i="7"/>
  <c r="J1610" i="7"/>
  <c r="J1583" i="7"/>
  <c r="J1611" i="7"/>
  <c r="J1574" i="7"/>
  <c r="J1724" i="7"/>
  <c r="J1640" i="7"/>
  <c r="J1634" i="7"/>
  <c r="J1652" i="7"/>
  <c r="J1588" i="7"/>
  <c r="J1718" i="7"/>
  <c r="J1798" i="7"/>
  <c r="J1730" i="7"/>
  <c r="J1739" i="7"/>
  <c r="J1774" i="7"/>
  <c r="J1647" i="7"/>
  <c r="J1658" i="7"/>
  <c r="J1731" i="7"/>
  <c r="J1735" i="7"/>
  <c r="J1671" i="7"/>
  <c r="J1756" i="7"/>
  <c r="J1762" i="7"/>
  <c r="J1635" i="7"/>
  <c r="J1641" i="7"/>
  <c r="J1725" i="7"/>
  <c r="J1679" i="7"/>
  <c r="J1584" i="7"/>
  <c r="J1721" i="7"/>
  <c r="J1656" i="7"/>
  <c r="J1757" i="7"/>
  <c r="J1645" i="7"/>
  <c r="J1763" i="7"/>
  <c r="J1595" i="7"/>
  <c r="J1620" i="7"/>
  <c r="J1576" i="7"/>
  <c r="J1694" i="7"/>
  <c r="J1747" i="7"/>
  <c r="J1764" i="7"/>
  <c r="J1577" i="7"/>
  <c r="J1750" i="7"/>
  <c r="J1740" i="7"/>
  <c r="J1792" i="7"/>
  <c r="J1688" i="7"/>
  <c r="E1622" i="7"/>
  <c r="E1701" i="7"/>
  <c r="E1683" i="7"/>
  <c r="E1672" i="7"/>
  <c r="E1765" i="7"/>
  <c r="E1684" i="7"/>
  <c r="E1793" i="7"/>
  <c r="E1746" i="7"/>
  <c r="E1578" i="7"/>
  <c r="E1685" i="7"/>
  <c r="E1779" i="7"/>
  <c r="E1711" i="7"/>
  <c r="E1753" i="7"/>
  <c r="E1799" i="7"/>
  <c r="E1775" i="7"/>
  <c r="E1627" i="7"/>
  <c r="E1675" i="7"/>
  <c r="E1780" i="7"/>
  <c r="E1712" i="7"/>
  <c r="E1689" i="7"/>
  <c r="E1564" i="7"/>
  <c r="E1702" i="7"/>
  <c r="E1603" i="7"/>
  <c r="E1803" i="7"/>
  <c r="E1742" i="7"/>
  <c r="E1604" i="7"/>
  <c r="E1606" i="7"/>
  <c r="E1630" i="7"/>
  <c r="E1690" i="7"/>
  <c r="E1783" i="7"/>
  <c r="E1705" i="7"/>
  <c r="E1703" i="7"/>
  <c r="E1623" i="7"/>
  <c r="E1785" i="7"/>
  <c r="E1782" i="7"/>
  <c r="E1804" i="7"/>
  <c r="E1784" i="7"/>
  <c r="E1715" i="7"/>
  <c r="E1776" i="7"/>
  <c r="E1631" i="7"/>
  <c r="E1767" i="7"/>
  <c r="E1768" i="7"/>
  <c r="E1618" i="7"/>
  <c r="E1619" i="7"/>
  <c r="E1789" i="7"/>
  <c r="E1673" i="7"/>
  <c r="E1777" i="7"/>
  <c r="E1579" i="7"/>
  <c r="E1691" i="7"/>
  <c r="E1766" i="7"/>
  <c r="E1099" i="7"/>
  <c r="E1100" i="7"/>
  <c r="E1101" i="7"/>
  <c r="E1102" i="7"/>
  <c r="E1103" i="7"/>
  <c r="E1104" i="7"/>
  <c r="E1105" i="7"/>
  <c r="E1106" i="7"/>
  <c r="E1107" i="7"/>
  <c r="E1108" i="7"/>
  <c r="E1109" i="7"/>
  <c r="E1110" i="7"/>
  <c r="E1111" i="7"/>
  <c r="E1112" i="7"/>
  <c r="E1113" i="7"/>
  <c r="E1114" i="7"/>
  <c r="E1115" i="7"/>
  <c r="E1116" i="7"/>
  <c r="E1117" i="7"/>
  <c r="E1118" i="7"/>
  <c r="E1119" i="7"/>
  <c r="E1120" i="7"/>
  <c r="E1121" i="7"/>
  <c r="E1122" i="7"/>
  <c r="E1123" i="7"/>
  <c r="E1124" i="7"/>
  <c r="E1125" i="7"/>
  <c r="E1126" i="7"/>
  <c r="E1127" i="7"/>
  <c r="E1128" i="7"/>
  <c r="E1129" i="7"/>
  <c r="E1130" i="7"/>
  <c r="E1131" i="7"/>
  <c r="E1132" i="7"/>
  <c r="E1133" i="7"/>
  <c r="E1134" i="7"/>
  <c r="E1135" i="7"/>
  <c r="E1136" i="7"/>
  <c r="E1137" i="7"/>
  <c r="E1138" i="7"/>
  <c r="E1139" i="7"/>
  <c r="E1140" i="7"/>
  <c r="E1141" i="7"/>
  <c r="E1142" i="7"/>
  <c r="E1143" i="7"/>
  <c r="E1144" i="7"/>
  <c r="E1145" i="7"/>
  <c r="E1146" i="7"/>
  <c r="E1147" i="7"/>
  <c r="E1148" i="7"/>
  <c r="E1149" i="7"/>
  <c r="E1150" i="7"/>
  <c r="E1151" i="7"/>
  <c r="E1152" i="7"/>
  <c r="E1153" i="7"/>
  <c r="E1154" i="7"/>
  <c r="E1155" i="7"/>
  <c r="E1156" i="7"/>
  <c r="E1157" i="7"/>
  <c r="E1158" i="7"/>
  <c r="E1159" i="7"/>
  <c r="E1160" i="7"/>
  <c r="E1161" i="7"/>
  <c r="E1162" i="7"/>
  <c r="E1163" i="7"/>
  <c r="E1164" i="7"/>
  <c r="E1165" i="7"/>
  <c r="E1166" i="7"/>
  <c r="E1167" i="7"/>
  <c r="E1168" i="7"/>
  <c r="E1169" i="7"/>
  <c r="E1170" i="7"/>
  <c r="E1171" i="7"/>
  <c r="E1172" i="7"/>
  <c r="E1173" i="7"/>
  <c r="E1174" i="7"/>
  <c r="E1175" i="7"/>
  <c r="E1176" i="7"/>
  <c r="E1177" i="7"/>
  <c r="E1178" i="7"/>
  <c r="E1179" i="7"/>
  <c r="E1180" i="7"/>
  <c r="E1181" i="7"/>
  <c r="E1182" i="7"/>
  <c r="E1183" i="7"/>
  <c r="E1184" i="7"/>
  <c r="E1185" i="7"/>
  <c r="E1186" i="7"/>
  <c r="E1187" i="7"/>
  <c r="E1188" i="7"/>
  <c r="E1189" i="7"/>
  <c r="E1190" i="7"/>
  <c r="E1191" i="7"/>
  <c r="E1192" i="7"/>
  <c r="E1193" i="7"/>
  <c r="E1194" i="7"/>
  <c r="E1195" i="7"/>
  <c r="E1196" i="7"/>
  <c r="E1197" i="7"/>
  <c r="E1198" i="7"/>
  <c r="E1199" i="7"/>
  <c r="E1200" i="7"/>
  <c r="E1201" i="7"/>
  <c r="E1202" i="7"/>
  <c r="E1203" i="7"/>
  <c r="E1204" i="7"/>
  <c r="E1205" i="7"/>
  <c r="E1206" i="7"/>
  <c r="E1207" i="7"/>
  <c r="E1208" i="7"/>
  <c r="E1209" i="7"/>
  <c r="E1210" i="7"/>
  <c r="E1211" i="7"/>
  <c r="E1212" i="7"/>
  <c r="E1213" i="7"/>
  <c r="E1214" i="7"/>
  <c r="E1215" i="7"/>
  <c r="E1216" i="7"/>
  <c r="E1217" i="7"/>
  <c r="E1218" i="7"/>
  <c r="E1219" i="7"/>
  <c r="E1220" i="7"/>
  <c r="E1221" i="7"/>
  <c r="E1222" i="7"/>
  <c r="E1223" i="7"/>
  <c r="E1224" i="7"/>
  <c r="E1225" i="7"/>
  <c r="E1226" i="7"/>
  <c r="E1227" i="7"/>
  <c r="E1228" i="7"/>
  <c r="E1229" i="7"/>
  <c r="E1230" i="7"/>
  <c r="E1231" i="7"/>
  <c r="E1232" i="7"/>
  <c r="E1233" i="7"/>
  <c r="E1234" i="7"/>
  <c r="E1235" i="7"/>
  <c r="E1236" i="7"/>
  <c r="E1237" i="7"/>
  <c r="E1238" i="7"/>
  <c r="E1239" i="7"/>
  <c r="E1240" i="7"/>
  <c r="E1241" i="7"/>
  <c r="E1242" i="7"/>
  <c r="E1243" i="7"/>
  <c r="E1244" i="7"/>
  <c r="E1245" i="7"/>
  <c r="E1246" i="7"/>
  <c r="E1247" i="7"/>
  <c r="E1248" i="7"/>
  <c r="E1249" i="7"/>
  <c r="E1250" i="7"/>
  <c r="E1251" i="7"/>
  <c r="E1252" i="7"/>
  <c r="E1253" i="7"/>
  <c r="E1254" i="7"/>
  <c r="E1255" i="7"/>
  <c r="E1256" i="7"/>
  <c r="E1257" i="7"/>
  <c r="E1258" i="7"/>
  <c r="E1259" i="7"/>
  <c r="E1260" i="7"/>
  <c r="E1261" i="7"/>
  <c r="E1262" i="7"/>
  <c r="E1263" i="7"/>
  <c r="E1264" i="7"/>
  <c r="E1265" i="7"/>
  <c r="E1266" i="7"/>
  <c r="E1267" i="7"/>
  <c r="E1268" i="7"/>
  <c r="E1269" i="7"/>
  <c r="E1270" i="7"/>
  <c r="E1271" i="7"/>
  <c r="E1272" i="7"/>
  <c r="E1273" i="7"/>
  <c r="E1274" i="7"/>
  <c r="E1275" i="7"/>
  <c r="E1276" i="7"/>
  <c r="E1277" i="7"/>
  <c r="E1278" i="7"/>
  <c r="E1279" i="7"/>
  <c r="E1280" i="7"/>
  <c r="E1281" i="7"/>
  <c r="E1282" i="7"/>
  <c r="E1283" i="7"/>
  <c r="E1284" i="7"/>
  <c r="E1285" i="7"/>
  <c r="E1286" i="7"/>
  <c r="E1287" i="7"/>
  <c r="E1288" i="7"/>
  <c r="E1289" i="7"/>
  <c r="E1290" i="7"/>
  <c r="E1291" i="7"/>
  <c r="E1292" i="7"/>
  <c r="E1293" i="7"/>
  <c r="E1294" i="7"/>
  <c r="E1295" i="7"/>
  <c r="E1296" i="7"/>
  <c r="E1297" i="7"/>
  <c r="E1298" i="7"/>
  <c r="E1299" i="7"/>
  <c r="E1300" i="7"/>
  <c r="E1301" i="7"/>
  <c r="E1302" i="7"/>
  <c r="E1303" i="7"/>
  <c r="E1304" i="7"/>
  <c r="E1305" i="7"/>
  <c r="E1306" i="7"/>
  <c r="E1307" i="7"/>
  <c r="E1308" i="7"/>
  <c r="E1309" i="7"/>
  <c r="E1310" i="7"/>
  <c r="E1311" i="7"/>
  <c r="E1312" i="7"/>
  <c r="E1313" i="7"/>
  <c r="E1314" i="7"/>
  <c r="E1315" i="7"/>
  <c r="E1316" i="7"/>
  <c r="E1317" i="7"/>
  <c r="E1318" i="7"/>
  <c r="E1319" i="7"/>
  <c r="E1320" i="7"/>
  <c r="E1321" i="7"/>
  <c r="E1322" i="7"/>
  <c r="E1323" i="7"/>
  <c r="E1324" i="7"/>
  <c r="E1325" i="7"/>
  <c r="E1326" i="7"/>
  <c r="E1327" i="7"/>
  <c r="E1328" i="7"/>
  <c r="E1329" i="7"/>
  <c r="E1330" i="7"/>
  <c r="E1331" i="7"/>
  <c r="E1332" i="7"/>
  <c r="E1333" i="7"/>
  <c r="E1334" i="7"/>
  <c r="E1335" i="7"/>
  <c r="E1336" i="7"/>
  <c r="E1337" i="7"/>
  <c r="E1338" i="7"/>
  <c r="E1339" i="7"/>
  <c r="E1340" i="7"/>
  <c r="E1341" i="7"/>
  <c r="E1342" i="7"/>
  <c r="E1343" i="7"/>
  <c r="E1344" i="7"/>
  <c r="E1345" i="7"/>
  <c r="E1346" i="7"/>
  <c r="E1347" i="7"/>
  <c r="E1348" i="7"/>
  <c r="E1349" i="7"/>
  <c r="E1350" i="7"/>
  <c r="E1351" i="7"/>
  <c r="E1352" i="7"/>
  <c r="E1353" i="7"/>
  <c r="E1354" i="7"/>
  <c r="E1355" i="7"/>
  <c r="E1356" i="7"/>
  <c r="E1357" i="7"/>
  <c r="E1358" i="7"/>
  <c r="E1359" i="7"/>
  <c r="E1360" i="7"/>
  <c r="E1361" i="7"/>
  <c r="E1362" i="7"/>
  <c r="E1363" i="7"/>
  <c r="E1364" i="7"/>
  <c r="E1365" i="7"/>
  <c r="E1366" i="7"/>
  <c r="E1367" i="7"/>
  <c r="E1368" i="7"/>
  <c r="E1369" i="7"/>
  <c r="E1370" i="7"/>
  <c r="E1371" i="7"/>
  <c r="E1372" i="7"/>
  <c r="E1373" i="7"/>
  <c r="E1374" i="7"/>
  <c r="E1375" i="7"/>
  <c r="E1376" i="7"/>
  <c r="E1377" i="7"/>
  <c r="E1378" i="7"/>
  <c r="E1379" i="7"/>
  <c r="E1380" i="7"/>
  <c r="E1381" i="7"/>
  <c r="E1382" i="7"/>
  <c r="E1383" i="7"/>
  <c r="E1384" i="7"/>
  <c r="E1385" i="7"/>
  <c r="E1386" i="7"/>
  <c r="E1387" i="7"/>
  <c r="E1388" i="7"/>
  <c r="E1389" i="7"/>
  <c r="E1390" i="7"/>
  <c r="E1391" i="7"/>
  <c r="E1392" i="7"/>
  <c r="E1393" i="7"/>
  <c r="E1394" i="7"/>
  <c r="E1395" i="7"/>
  <c r="E1396" i="7"/>
  <c r="E1397" i="7"/>
  <c r="E1398" i="7"/>
  <c r="E1399" i="7"/>
  <c r="E1400" i="7"/>
  <c r="E1401" i="7"/>
  <c r="E1402" i="7"/>
  <c r="E1403" i="7"/>
  <c r="E1404" i="7"/>
  <c r="E1405" i="7"/>
  <c r="E1406" i="7"/>
  <c r="E1407" i="7"/>
  <c r="E1408" i="7"/>
  <c r="E1409" i="7"/>
  <c r="E1410" i="7"/>
  <c r="E1411" i="7"/>
  <c r="E1412" i="7"/>
  <c r="E1413" i="7"/>
  <c r="E1414" i="7"/>
  <c r="E1415" i="7"/>
  <c r="E1416" i="7"/>
  <c r="E1417" i="7"/>
  <c r="E1418" i="7"/>
  <c r="E1419" i="7"/>
  <c r="E1420" i="7"/>
  <c r="E1421" i="7"/>
  <c r="E1422" i="7"/>
  <c r="E1423" i="7"/>
  <c r="E1424" i="7"/>
  <c r="E1425" i="7"/>
  <c r="E1426" i="7"/>
  <c r="E1427" i="7"/>
  <c r="E1428" i="7"/>
  <c r="E1429" i="7"/>
  <c r="E1430" i="7"/>
  <c r="E1431" i="7"/>
  <c r="E1432" i="7"/>
  <c r="E1433" i="7"/>
  <c r="E1434" i="7"/>
  <c r="E1435" i="7"/>
  <c r="E1436" i="7"/>
  <c r="E1437" i="7"/>
  <c r="E1438" i="7"/>
  <c r="E1439" i="7"/>
  <c r="E1440" i="7"/>
  <c r="E1441" i="7"/>
  <c r="E1442" i="7"/>
  <c r="E1443" i="7"/>
  <c r="E1444" i="7"/>
  <c r="E1445" i="7"/>
  <c r="E1446" i="7"/>
  <c r="E1447" i="7"/>
  <c r="E1448" i="7"/>
  <c r="E1449" i="7"/>
  <c r="E1450" i="7"/>
  <c r="E1451" i="7"/>
  <c r="E1452" i="7"/>
  <c r="E1453" i="7"/>
  <c r="E1454" i="7"/>
  <c r="E1455" i="7"/>
  <c r="E1456" i="7"/>
  <c r="E1457" i="7"/>
  <c r="E1458" i="7"/>
  <c r="E1459" i="7"/>
  <c r="E1460" i="7"/>
  <c r="E1461" i="7"/>
  <c r="E1462" i="7"/>
  <c r="E1463" i="7"/>
  <c r="E1464" i="7"/>
  <c r="E1465" i="7"/>
  <c r="E1466" i="7"/>
  <c r="E1467" i="7"/>
  <c r="E1468" i="7"/>
  <c r="E1469" i="7"/>
  <c r="E1470" i="7"/>
  <c r="E1471" i="7"/>
  <c r="E1472" i="7"/>
  <c r="E1473" i="7"/>
  <c r="E1474" i="7"/>
  <c r="E1475" i="7"/>
  <c r="E1476" i="7"/>
  <c r="E1477" i="7"/>
  <c r="E1478" i="7"/>
  <c r="E1479" i="7"/>
  <c r="E1480" i="7"/>
  <c r="E1481" i="7"/>
  <c r="E1482" i="7"/>
  <c r="E1483" i="7"/>
  <c r="E1484" i="7"/>
  <c r="E1485" i="7"/>
  <c r="E1486" i="7"/>
  <c r="E1487" i="7"/>
  <c r="E1488" i="7"/>
  <c r="E1489" i="7"/>
  <c r="E1490" i="7"/>
  <c r="E1491" i="7"/>
  <c r="E1492" i="7"/>
  <c r="E1493" i="7"/>
  <c r="E1494" i="7"/>
  <c r="E1495" i="7"/>
  <c r="E1496" i="7"/>
  <c r="E1497" i="7"/>
  <c r="E1498" i="7"/>
  <c r="E1499" i="7"/>
  <c r="E1500" i="7"/>
  <c r="E1501" i="7"/>
  <c r="E1502" i="7"/>
  <c r="E1503" i="7"/>
  <c r="E1504" i="7"/>
  <c r="E1505" i="7"/>
  <c r="E1506" i="7"/>
  <c r="E1507" i="7"/>
  <c r="E1508" i="7"/>
  <c r="E1509" i="7"/>
  <c r="E1510" i="7"/>
  <c r="E1511" i="7"/>
  <c r="E1512" i="7"/>
  <c r="E1513" i="7"/>
  <c r="E1514" i="7"/>
  <c r="E1515" i="7"/>
  <c r="E1516" i="7"/>
  <c r="E1517" i="7"/>
  <c r="E1518" i="7"/>
  <c r="E1519" i="7"/>
  <c r="E1520" i="7"/>
  <c r="E1521" i="7"/>
  <c r="E1522" i="7"/>
  <c r="E1523" i="7"/>
  <c r="E1524" i="7"/>
  <c r="E1525" i="7"/>
  <c r="E1526" i="7"/>
  <c r="E1527" i="7"/>
  <c r="E1528" i="7"/>
  <c r="E1529" i="7"/>
  <c r="E1530" i="7"/>
  <c r="E1531" i="7"/>
  <c r="A1542" i="7"/>
  <c r="A1538" i="7"/>
  <c r="A1540" i="7"/>
  <c r="A1539" i="7"/>
  <c r="A1534" i="7"/>
  <c r="A1536" i="7"/>
  <c r="A1541" i="7"/>
  <c r="A1535" i="7"/>
  <c r="A1533" i="7"/>
  <c r="A1532" i="7"/>
  <c r="A1537" i="7"/>
  <c r="A1555" i="7"/>
  <c r="A1563" i="7"/>
  <c r="A1559" i="7"/>
  <c r="A1802" i="7"/>
  <c r="A1548" i="7"/>
  <c r="A1547" i="7"/>
  <c r="A1554" i="7"/>
  <c r="A1549" i="7"/>
  <c r="A1557" i="7"/>
  <c r="A1551" i="7"/>
  <c r="A1556" i="7"/>
  <c r="A1560" i="7"/>
  <c r="A1543" i="7"/>
  <c r="A1550" i="7"/>
  <c r="A1546" i="7"/>
  <c r="A1553" i="7"/>
  <c r="A1562" i="7"/>
  <c r="A1544" i="7"/>
  <c r="A1552" i="7"/>
  <c r="A1561" i="7"/>
  <c r="A1545" i="7"/>
  <c r="A1558" i="7"/>
  <c r="J1622" i="7"/>
  <c r="J1701" i="7"/>
  <c r="J1683" i="7"/>
  <c r="J1672" i="7"/>
  <c r="J1765" i="7"/>
  <c r="J1684" i="7"/>
  <c r="J1793" i="7"/>
  <c r="J1746" i="7"/>
  <c r="J1578" i="7"/>
  <c r="J1685" i="7"/>
  <c r="J1779" i="7"/>
  <c r="J1711" i="7"/>
  <c r="J1753" i="7"/>
  <c r="J1799" i="7"/>
  <c r="J1775" i="7"/>
  <c r="J1627" i="7"/>
  <c r="J1675" i="7"/>
  <c r="J1780" i="7"/>
  <c r="J1712" i="7"/>
  <c r="J1689" i="7"/>
  <c r="J1564" i="7"/>
  <c r="J1702" i="7"/>
  <c r="J1603" i="7"/>
  <c r="J1803" i="7"/>
  <c r="J1742" i="7"/>
  <c r="J1604" i="7"/>
  <c r="J1606" i="7"/>
  <c r="J1630" i="7"/>
  <c r="J1690" i="7"/>
  <c r="J1783" i="7"/>
  <c r="J1705" i="7"/>
  <c r="J1703" i="7"/>
  <c r="J1623" i="7"/>
  <c r="J1785" i="7"/>
  <c r="J1782" i="7"/>
  <c r="J1804" i="7"/>
  <c r="J1784" i="7"/>
  <c r="J1715" i="7"/>
  <c r="J1776" i="7"/>
  <c r="J1631" i="7"/>
  <c r="J1767" i="7"/>
  <c r="J1768" i="7"/>
  <c r="J1618" i="7"/>
  <c r="J1619" i="7"/>
  <c r="J1789" i="7"/>
  <c r="J1673" i="7"/>
  <c r="J1777" i="7"/>
  <c r="J1579" i="7"/>
  <c r="J1691" i="7"/>
  <c r="J1766" i="7"/>
  <c r="J1831" i="7"/>
  <c r="J1542" i="7"/>
  <c r="J1538" i="7"/>
  <c r="J1540" i="7"/>
  <c r="J1539" i="7"/>
  <c r="J1534" i="7"/>
  <c r="J1536" i="7"/>
  <c r="J1541" i="7"/>
  <c r="J1535" i="7"/>
  <c r="J1533" i="7"/>
  <c r="J1532" i="7"/>
  <c r="J1537" i="7"/>
  <c r="J1555" i="7"/>
  <c r="J1563" i="7"/>
  <c r="J1559" i="7"/>
  <c r="J1802" i="7"/>
  <c r="J1548" i="7"/>
  <c r="J1547" i="7"/>
  <c r="J1554" i="7"/>
  <c r="J1549" i="7"/>
  <c r="J1557" i="7"/>
  <c r="J1551" i="7"/>
  <c r="J1556" i="7"/>
  <c r="J1560" i="7"/>
  <c r="J1543" i="7"/>
  <c r="J1550" i="7"/>
  <c r="J1546" i="7"/>
  <c r="J1553" i="7"/>
  <c r="J1562" i="7"/>
  <c r="J1544" i="7"/>
  <c r="J1552" i="7"/>
  <c r="J1561" i="7"/>
  <c r="J1545" i="7"/>
  <c r="J1558" i="7"/>
  <c r="J2" i="7"/>
  <c r="J5" i="7"/>
  <c r="J8" i="7"/>
  <c r="J6" i="7"/>
  <c r="J7" i="7"/>
  <c r="J4" i="7"/>
  <c r="J3" i="7"/>
  <c r="J16" i="7"/>
  <c r="J24" i="7"/>
  <c r="J21" i="7"/>
  <c r="J22" i="7"/>
  <c r="J15" i="7"/>
  <c r="J12" i="7"/>
  <c r="J9" i="7"/>
  <c r="J26" i="7"/>
  <c r="J23" i="7"/>
  <c r="J20" i="7"/>
  <c r="J14" i="7"/>
  <c r="J13" i="7"/>
  <c r="J27" i="7"/>
  <c r="J19" i="7"/>
  <c r="J18" i="7"/>
  <c r="J25" i="7"/>
  <c r="J28" i="7"/>
  <c r="J17" i="7"/>
  <c r="J11" i="7"/>
  <c r="J10" i="7"/>
  <c r="J31" i="7"/>
  <c r="J34" i="7"/>
  <c r="J32" i="7"/>
  <c r="J33" i="7"/>
  <c r="J30" i="7"/>
  <c r="J29" i="7"/>
  <c r="J48" i="7"/>
  <c r="J36" i="7"/>
  <c r="J44" i="7"/>
  <c r="J40" i="7"/>
  <c r="J41" i="7"/>
  <c r="J38" i="7"/>
  <c r="J45" i="7"/>
  <c r="J55" i="7"/>
  <c r="J57" i="7"/>
  <c r="J1805" i="7"/>
  <c r="J42" i="7"/>
  <c r="J43" i="7"/>
  <c r="J56" i="7"/>
  <c r="J53" i="7"/>
  <c r="J54" i="7"/>
  <c r="J47" i="7"/>
  <c r="J58" i="7"/>
  <c r="J51" i="7"/>
  <c r="J37" i="7"/>
  <c r="J50" i="7"/>
  <c r="J46" i="7"/>
  <c r="J35" i="7"/>
  <c r="J49" i="7"/>
  <c r="J59" i="7"/>
  <c r="J39" i="7"/>
  <c r="J52" i="7"/>
  <c r="J62" i="7"/>
  <c r="J65" i="7"/>
  <c r="J63" i="7"/>
  <c r="J64" i="7"/>
  <c r="J61" i="7"/>
  <c r="J60" i="7"/>
  <c r="J71" i="7"/>
  <c r="J75" i="7"/>
  <c r="J77" i="7"/>
  <c r="J68" i="7"/>
  <c r="J72" i="7"/>
  <c r="J69" i="7"/>
  <c r="J79" i="7"/>
  <c r="J81" i="7"/>
  <c r="J78" i="7"/>
  <c r="J67" i="7"/>
  <c r="J85" i="7"/>
  <c r="J84" i="7"/>
  <c r="J74" i="7"/>
  <c r="J70" i="7"/>
  <c r="J80" i="7"/>
  <c r="J82" i="7"/>
  <c r="J83" i="7"/>
  <c r="J66" i="7"/>
  <c r="J76" i="7"/>
  <c r="J73" i="7"/>
  <c r="J88" i="7"/>
  <c r="J91" i="7"/>
  <c r="J89" i="7"/>
  <c r="J90" i="7"/>
  <c r="J87" i="7"/>
  <c r="J86" i="7"/>
  <c r="J92" i="7"/>
  <c r="J99" i="7"/>
  <c r="J115" i="7"/>
  <c r="J109" i="7"/>
  <c r="J97" i="7"/>
  <c r="J111" i="7"/>
  <c r="J110" i="7"/>
  <c r="J104" i="7"/>
  <c r="J114" i="7"/>
  <c r="J107" i="7"/>
  <c r="J116" i="7"/>
  <c r="J105" i="7"/>
  <c r="J101" i="7"/>
  <c r="J103" i="7"/>
  <c r="J113" i="7"/>
  <c r="J102" i="7"/>
  <c r="J96" i="7"/>
  <c r="J93" i="7"/>
  <c r="J95" i="7"/>
  <c r="J94" i="7"/>
  <c r="J106" i="7"/>
  <c r="J108" i="7"/>
  <c r="J100" i="7"/>
  <c r="J98" i="7"/>
  <c r="J112" i="7"/>
  <c r="J119" i="7"/>
  <c r="J122" i="7"/>
  <c r="J120" i="7"/>
  <c r="J121" i="7"/>
  <c r="J118" i="7"/>
  <c r="J117" i="7"/>
  <c r="J130" i="7"/>
  <c r="J124" i="7"/>
  <c r="J137" i="7"/>
  <c r="J135" i="7"/>
  <c r="J128" i="7"/>
  <c r="J131" i="7"/>
  <c r="J127" i="7"/>
  <c r="J139" i="7"/>
  <c r="J123" i="7"/>
  <c r="J140" i="7"/>
  <c r="J129" i="7"/>
  <c r="J126" i="7"/>
  <c r="J132" i="7"/>
  <c r="J125" i="7"/>
  <c r="J141" i="7"/>
  <c r="J136" i="7"/>
  <c r="J142" i="7"/>
  <c r="J138" i="7"/>
  <c r="J133" i="7"/>
  <c r="J134" i="7"/>
  <c r="J145" i="7"/>
  <c r="J148" i="7"/>
  <c r="J146" i="7"/>
  <c r="J147" i="7"/>
  <c r="J144" i="7"/>
  <c r="J143" i="7"/>
  <c r="J153" i="7"/>
  <c r="J166" i="7"/>
  <c r="J149" i="7"/>
  <c r="J152" i="7"/>
  <c r="J160" i="7"/>
  <c r="J157" i="7"/>
  <c r="J151" i="7"/>
  <c r="J156" i="7"/>
  <c r="J158" i="7"/>
  <c r="J165" i="7"/>
  <c r="J163" i="7"/>
  <c r="J164" i="7"/>
  <c r="J150" i="7"/>
  <c r="J161" i="7"/>
  <c r="J155" i="7"/>
  <c r="J159" i="7"/>
  <c r="J162" i="7"/>
  <c r="J154" i="7"/>
  <c r="J169" i="7"/>
  <c r="J172" i="7"/>
  <c r="J170" i="7"/>
  <c r="J171" i="7"/>
  <c r="J168" i="7"/>
  <c r="J167" i="7"/>
  <c r="J187" i="7"/>
  <c r="J176" i="7"/>
  <c r="J186" i="7"/>
  <c r="J175" i="7"/>
  <c r="J179" i="7"/>
  <c r="J188" i="7"/>
  <c r="J174" i="7"/>
  <c r="J191" i="7"/>
  <c r="J182" i="7"/>
  <c r="J177" i="7"/>
  <c r="J173" i="7"/>
  <c r="J184" i="7"/>
  <c r="J190" i="7"/>
  <c r="J185" i="7"/>
  <c r="J178" i="7"/>
  <c r="J183" i="7"/>
  <c r="J192" i="7"/>
  <c r="J189" i="7"/>
  <c r="J180" i="7"/>
  <c r="J181" i="7"/>
  <c r="J664" i="7"/>
  <c r="J671" i="7"/>
  <c r="J667" i="7"/>
  <c r="J670" i="7"/>
  <c r="J654" i="7"/>
  <c r="J652" i="7"/>
  <c r="J659" i="7"/>
  <c r="J653" i="7"/>
  <c r="J669" i="7"/>
  <c r="J662" i="7"/>
  <c r="J661" i="7"/>
  <c r="J663" i="7"/>
  <c r="J666" i="7"/>
  <c r="J651" i="7"/>
  <c r="J657" i="7"/>
  <c r="J650" i="7"/>
  <c r="J660" i="7"/>
  <c r="J658" i="7"/>
  <c r="J668" i="7"/>
  <c r="J655" i="7"/>
  <c r="J656" i="7"/>
  <c r="J665" i="7"/>
  <c r="J691" i="7"/>
  <c r="J676" i="7"/>
  <c r="J687" i="7"/>
  <c r="J695" i="7"/>
  <c r="J678" i="7"/>
  <c r="J692" i="7"/>
  <c r="J677" i="7"/>
  <c r="J674" i="7"/>
  <c r="J689" i="7"/>
  <c r="J682" i="7"/>
  <c r="J688" i="7"/>
  <c r="J679" i="7"/>
  <c r="J685" i="7"/>
  <c r="J673" i="7"/>
  <c r="J686" i="7"/>
  <c r="J681" i="7"/>
  <c r="J684" i="7"/>
  <c r="J690" i="7"/>
  <c r="J675" i="7"/>
  <c r="J680" i="7"/>
  <c r="J694" i="7"/>
  <c r="J693" i="7"/>
  <c r="J672" i="7"/>
  <c r="J683" i="7"/>
  <c r="J714" i="7"/>
  <c r="J719" i="7"/>
  <c r="J701" i="7"/>
  <c r="J712" i="7"/>
  <c r="J711" i="7"/>
  <c r="J696" i="7"/>
  <c r="J704" i="7"/>
  <c r="J700" i="7"/>
  <c r="J707" i="7"/>
  <c r="J698" i="7"/>
  <c r="J713" i="7"/>
  <c r="J697" i="7"/>
  <c r="J710" i="7"/>
  <c r="J716" i="7"/>
  <c r="J717" i="7"/>
  <c r="J708" i="7"/>
  <c r="J709" i="7"/>
  <c r="J699" i="7"/>
  <c r="J703" i="7"/>
  <c r="J705" i="7"/>
  <c r="J718" i="7"/>
  <c r="J715" i="7"/>
  <c r="J702" i="7"/>
  <c r="J706" i="7"/>
  <c r="J735" i="7"/>
  <c r="J726" i="7"/>
  <c r="J723" i="7"/>
  <c r="J736" i="7"/>
  <c r="J743" i="7"/>
  <c r="J731" i="7"/>
  <c r="J727" i="7"/>
  <c r="J720" i="7"/>
  <c r="J733" i="7"/>
  <c r="J730" i="7"/>
  <c r="J738" i="7"/>
  <c r="J737" i="7"/>
  <c r="J740" i="7"/>
  <c r="J741" i="7"/>
  <c r="J725" i="7"/>
  <c r="J722" i="7"/>
  <c r="J728" i="7"/>
  <c r="J734" i="7"/>
  <c r="J742" i="7"/>
  <c r="J724" i="7"/>
  <c r="J729" i="7"/>
  <c r="J739" i="7"/>
  <c r="J721" i="7"/>
  <c r="J732" i="7"/>
  <c r="J765" i="7"/>
  <c r="J761" i="7"/>
  <c r="J755" i="7"/>
  <c r="J770" i="7"/>
  <c r="J758" i="7"/>
  <c r="J752" i="7"/>
  <c r="J756" i="7"/>
  <c r="J766" i="7"/>
  <c r="J769" i="7"/>
  <c r="J768" i="7"/>
  <c r="J767" i="7"/>
  <c r="J762" i="7"/>
  <c r="J760" i="7"/>
  <c r="J763" i="7"/>
  <c r="J764" i="7"/>
  <c r="J753" i="7"/>
  <c r="J754" i="7"/>
  <c r="J757" i="7"/>
  <c r="J759" i="7"/>
  <c r="J786" i="7"/>
  <c r="J780" i="7"/>
  <c r="J784" i="7"/>
  <c r="J776" i="7"/>
  <c r="J773" i="7"/>
  <c r="J788" i="7"/>
  <c r="J775" i="7"/>
  <c r="J771" i="7"/>
  <c r="J791" i="7"/>
  <c r="J781" i="7"/>
  <c r="J787" i="7"/>
  <c r="J779" i="7"/>
  <c r="J783" i="7"/>
  <c r="J785" i="7"/>
  <c r="J778" i="7"/>
  <c r="J789" i="7"/>
  <c r="J774" i="7"/>
  <c r="J782" i="7"/>
  <c r="J790" i="7"/>
  <c r="J772" i="7"/>
  <c r="J777" i="7"/>
  <c r="J812" i="7"/>
  <c r="J811" i="7"/>
  <c r="J808" i="7"/>
  <c r="J797" i="7"/>
  <c r="J802" i="7"/>
  <c r="J793" i="7"/>
  <c r="J798" i="7"/>
  <c r="J807" i="7"/>
  <c r="J792" i="7"/>
  <c r="J799" i="7"/>
  <c r="J809" i="7"/>
  <c r="J806" i="7"/>
  <c r="J796" i="7"/>
  <c r="J795" i="7"/>
  <c r="J801" i="7"/>
  <c r="J800" i="7"/>
  <c r="J805" i="7"/>
  <c r="J804" i="7"/>
  <c r="J803" i="7"/>
  <c r="J813" i="7"/>
  <c r="J794" i="7"/>
  <c r="J810" i="7"/>
  <c r="J505" i="7"/>
  <c r="J513" i="7"/>
  <c r="J512" i="7"/>
  <c r="J519" i="7"/>
  <c r="J515" i="7"/>
  <c r="J504" i="7"/>
  <c r="J521" i="7"/>
  <c r="J522" i="7"/>
  <c r="J516" i="7"/>
  <c r="J520" i="7"/>
  <c r="J527" i="7"/>
  <c r="J506" i="7"/>
  <c r="J517" i="7"/>
  <c r="J511" i="7"/>
  <c r="J507" i="7"/>
  <c r="J524" i="7"/>
  <c r="J498" i="7"/>
  <c r="J518" i="7"/>
  <c r="J523" i="7"/>
  <c r="J499" i="7"/>
  <c r="J526" i="7"/>
  <c r="J503" i="7"/>
  <c r="J509" i="7"/>
  <c r="J508" i="7"/>
  <c r="J510" i="7"/>
  <c r="J501" i="7"/>
  <c r="J525" i="7"/>
  <c r="J500" i="7"/>
  <c r="J514" i="7"/>
  <c r="J502" i="7"/>
  <c r="J497" i="7"/>
  <c r="J550" i="7"/>
  <c r="J547" i="7"/>
  <c r="J546" i="7"/>
  <c r="J548" i="7"/>
  <c r="J544" i="7"/>
  <c r="J535" i="7"/>
  <c r="J554" i="7"/>
  <c r="J553" i="7"/>
  <c r="J536" i="7"/>
  <c r="J538" i="7"/>
  <c r="J551" i="7"/>
  <c r="J543" i="7"/>
  <c r="J539" i="7"/>
  <c r="J540" i="7"/>
  <c r="J530" i="7"/>
  <c r="J552" i="7"/>
  <c r="J531" i="7"/>
  <c r="J549" i="7"/>
  <c r="J529" i="7"/>
  <c r="J534" i="7"/>
  <c r="J537" i="7"/>
  <c r="J542" i="7"/>
  <c r="J541" i="7"/>
  <c r="J532" i="7"/>
  <c r="J533" i="7"/>
  <c r="J545" i="7"/>
  <c r="J528" i="7"/>
  <c r="J556" i="7"/>
  <c r="J555" i="7"/>
  <c r="J582" i="7"/>
  <c r="J578" i="7"/>
  <c r="J577" i="7"/>
  <c r="J576" i="7"/>
  <c r="J580" i="7"/>
  <c r="J558" i="7"/>
  <c r="J565" i="7"/>
  <c r="J569" i="7"/>
  <c r="J573" i="7"/>
  <c r="J574" i="7"/>
  <c r="J572" i="7"/>
  <c r="J564" i="7"/>
  <c r="J579" i="7"/>
  <c r="J560" i="7"/>
  <c r="J559" i="7"/>
  <c r="J566" i="7"/>
  <c r="J557" i="7"/>
  <c r="J563" i="7"/>
  <c r="J567" i="7"/>
  <c r="J570" i="7"/>
  <c r="J571" i="7"/>
  <c r="J562" i="7"/>
  <c r="J561" i="7"/>
  <c r="J575" i="7"/>
  <c r="J581" i="7"/>
  <c r="J568" i="7"/>
  <c r="J1027" i="7"/>
  <c r="J1026" i="7"/>
  <c r="J1012" i="7"/>
  <c r="J1034" i="7"/>
  <c r="J1035" i="7"/>
  <c r="J1020" i="7"/>
  <c r="J1016" i="7"/>
  <c r="J1011" i="7"/>
  <c r="J1022" i="7"/>
  <c r="J1021" i="7"/>
  <c r="J1005" i="7"/>
  <c r="J1028" i="7"/>
  <c r="J1019" i="7"/>
  <c r="J1010" i="7"/>
  <c r="J1015" i="7"/>
  <c r="J1008" i="7"/>
  <c r="J1002" i="7"/>
  <c r="J1009" i="7"/>
  <c r="J1025" i="7"/>
  <c r="J1003" i="7"/>
  <c r="J1007" i="7"/>
  <c r="J1024" i="7"/>
  <c r="J1014" i="7"/>
  <c r="J1023" i="7"/>
  <c r="J1033" i="7"/>
  <c r="J1004" i="7"/>
  <c r="J1017" i="7"/>
  <c r="J1030" i="7"/>
  <c r="J1029" i="7"/>
  <c r="J1001" i="7"/>
  <c r="J1018" i="7"/>
  <c r="J1013" i="7"/>
  <c r="J1031" i="7"/>
  <c r="J1006" i="7"/>
  <c r="J1032" i="7"/>
  <c r="J1057" i="7"/>
  <c r="J1050" i="7"/>
  <c r="J1054" i="7"/>
  <c r="J1042" i="7"/>
  <c r="J1048" i="7"/>
  <c r="J1046" i="7"/>
  <c r="J1056" i="7"/>
  <c r="J1049" i="7"/>
  <c r="J1040" i="7"/>
  <c r="J1039" i="7"/>
  <c r="J1036" i="7"/>
  <c r="J1058" i="7"/>
  <c r="J1043" i="7"/>
  <c r="J1051" i="7"/>
  <c r="J1041" i="7"/>
  <c r="J1045" i="7"/>
  <c r="J1052" i="7"/>
  <c r="J1055" i="7"/>
  <c r="J1053" i="7"/>
  <c r="J1037" i="7"/>
  <c r="J1044" i="7"/>
  <c r="J1047" i="7"/>
  <c r="J1038" i="7"/>
  <c r="J1059" i="7"/>
  <c r="J1075" i="7"/>
  <c r="J1061" i="7"/>
  <c r="J1073" i="7"/>
  <c r="J1068" i="7"/>
  <c r="J1069" i="7"/>
  <c r="J1076" i="7"/>
  <c r="J1067" i="7"/>
  <c r="J1070" i="7"/>
  <c r="J1079" i="7"/>
  <c r="J1074" i="7"/>
  <c r="J1078" i="7"/>
  <c r="J1063" i="7"/>
  <c r="J1062" i="7"/>
  <c r="J1071" i="7"/>
  <c r="J1072" i="7"/>
  <c r="J1066" i="7"/>
  <c r="J1077" i="7"/>
  <c r="J1064" i="7"/>
  <c r="J1065" i="7"/>
  <c r="J1060" i="7"/>
  <c r="J969" i="7"/>
  <c r="J972" i="7"/>
  <c r="J975" i="7"/>
  <c r="J973" i="7"/>
  <c r="J962" i="7"/>
  <c r="J963" i="7"/>
  <c r="J956" i="7"/>
  <c r="J964" i="7"/>
  <c r="J957" i="7"/>
  <c r="J976" i="7"/>
  <c r="J960" i="7"/>
  <c r="J955" i="7"/>
  <c r="J959" i="7"/>
  <c r="J965" i="7"/>
  <c r="J958" i="7"/>
  <c r="J970" i="7"/>
  <c r="J971" i="7"/>
  <c r="J966" i="7"/>
  <c r="J967" i="7"/>
  <c r="J961" i="7"/>
  <c r="J968" i="7"/>
  <c r="J974" i="7"/>
  <c r="J977" i="7"/>
  <c r="J954" i="7"/>
  <c r="J953" i="7"/>
  <c r="J886" i="7"/>
  <c r="J903" i="7"/>
  <c r="J905" i="7"/>
  <c r="J872" i="7"/>
  <c r="J911" i="7"/>
  <c r="J877" i="7"/>
  <c r="J900" i="7"/>
  <c r="J906" i="7"/>
  <c r="J892" i="7"/>
  <c r="J909" i="7"/>
  <c r="J908" i="7"/>
  <c r="J916" i="7"/>
  <c r="J875" i="7"/>
  <c r="J893" i="7"/>
  <c r="J907" i="7"/>
  <c r="J891" i="7"/>
  <c r="J883" i="7"/>
  <c r="J899" i="7"/>
  <c r="J898" i="7"/>
  <c r="J895" i="7"/>
  <c r="J913" i="7"/>
  <c r="J882" i="7"/>
  <c r="J894" i="7"/>
  <c r="J918" i="7"/>
  <c r="J910" i="7"/>
  <c r="J912" i="7"/>
  <c r="J904" i="7"/>
  <c r="J888" i="7"/>
  <c r="J902" i="7"/>
  <c r="J897" i="7"/>
  <c r="J917" i="7"/>
  <c r="J881" i="7"/>
  <c r="J915" i="7"/>
  <c r="J889" i="7"/>
  <c r="J869" i="7"/>
  <c r="J880" i="7"/>
  <c r="J868" i="7"/>
  <c r="J914" i="7"/>
  <c r="J885" i="7"/>
  <c r="J884" i="7"/>
  <c r="J879" i="7"/>
  <c r="J866" i="7"/>
  <c r="J867" i="7"/>
  <c r="J887" i="7"/>
  <c r="J870" i="7"/>
  <c r="J871" i="7"/>
  <c r="J890" i="7"/>
  <c r="J874" i="7"/>
  <c r="J873" i="7"/>
  <c r="J878" i="7"/>
  <c r="J896" i="7"/>
  <c r="J901" i="7"/>
  <c r="J876" i="7"/>
  <c r="J614" i="7"/>
  <c r="J601" i="7"/>
  <c r="J585" i="7"/>
  <c r="J600" i="7"/>
  <c r="J606" i="7"/>
  <c r="J588" i="7"/>
  <c r="J613" i="7"/>
  <c r="J584" i="7"/>
  <c r="J583" i="7"/>
  <c r="J597" i="7"/>
  <c r="J590" i="7"/>
  <c r="J605" i="7"/>
  <c r="J599" i="7"/>
  <c r="J586" i="7"/>
  <c r="J598" i="7"/>
  <c r="J615" i="7"/>
  <c r="J610" i="7"/>
  <c r="J604" i="7"/>
  <c r="J608" i="7"/>
  <c r="J609" i="7"/>
  <c r="J594" i="7"/>
  <c r="J589" i="7"/>
  <c r="J612" i="7"/>
  <c r="J611" i="7"/>
  <c r="J603" i="7"/>
  <c r="J593" i="7"/>
  <c r="J587" i="7"/>
  <c r="J595" i="7"/>
  <c r="J596" i="7"/>
  <c r="J591" i="7"/>
  <c r="J602" i="7"/>
  <c r="J607" i="7"/>
  <c r="J592" i="7"/>
  <c r="J228" i="7"/>
  <c r="J238" i="7"/>
  <c r="J239" i="7"/>
  <c r="J219" i="7"/>
  <c r="J223" i="7"/>
  <c r="J222" i="7"/>
  <c r="J235" i="7"/>
  <c r="J243" i="7"/>
  <c r="J224" i="7"/>
  <c r="J227" i="7"/>
  <c r="J226" i="7"/>
  <c r="J233" i="7"/>
  <c r="J230" i="7"/>
  <c r="J229" i="7"/>
  <c r="J241" i="7"/>
  <c r="J225" i="7"/>
  <c r="J234" i="7"/>
  <c r="J240" i="7"/>
  <c r="J236" i="7"/>
  <c r="J221" i="7"/>
  <c r="J218" i="7"/>
  <c r="J242" i="7"/>
  <c r="J232" i="7"/>
  <c r="J244" i="7"/>
  <c r="J237" i="7"/>
  <c r="J322" i="7"/>
  <c r="J323" i="7"/>
  <c r="J324" i="7"/>
  <c r="J231" i="7"/>
  <c r="J220" i="7"/>
  <c r="J394" i="7"/>
  <c r="J409" i="7"/>
  <c r="J403" i="7"/>
  <c r="J390" i="7"/>
  <c r="J400" i="7"/>
  <c r="J414" i="7"/>
  <c r="J408" i="7"/>
  <c r="J415" i="7"/>
  <c r="J419" i="7"/>
  <c r="J410" i="7"/>
  <c r="J398" i="7"/>
  <c r="J401" i="7"/>
  <c r="J411" i="7"/>
  <c r="J391" i="7"/>
  <c r="J418" i="7"/>
  <c r="J412" i="7"/>
  <c r="J402" i="7"/>
  <c r="J422" i="7"/>
  <c r="J404" i="7"/>
  <c r="J421" i="7"/>
  <c r="J420" i="7"/>
  <c r="J405" i="7"/>
  <c r="J413" i="7"/>
  <c r="J407" i="7"/>
  <c r="J423" i="7"/>
  <c r="J424" i="7"/>
  <c r="J417" i="7"/>
  <c r="J406" i="7"/>
  <c r="J416" i="7"/>
  <c r="J393" i="7"/>
  <c r="J392" i="7"/>
  <c r="J399" i="7"/>
  <c r="J395" i="7"/>
  <c r="J396" i="7"/>
  <c r="J397" i="7"/>
  <c r="J289" i="7"/>
  <c r="J288" i="7"/>
  <c r="J287" i="7"/>
  <c r="J283" i="7"/>
  <c r="J282" i="7"/>
  <c r="J285" i="7"/>
  <c r="J277" i="7"/>
  <c r="J276" i="7"/>
  <c r="J278" i="7"/>
  <c r="J279" i="7"/>
  <c r="J284" i="7"/>
  <c r="J291" i="7"/>
  <c r="J280" i="7"/>
  <c r="J281" i="7"/>
  <c r="J275" i="7"/>
  <c r="J286" i="7"/>
  <c r="J290" i="7"/>
  <c r="J983" i="7"/>
  <c r="J981" i="7"/>
  <c r="J984" i="7"/>
  <c r="J993" i="7"/>
  <c r="J995" i="7"/>
  <c r="J994" i="7"/>
  <c r="J999" i="7"/>
  <c r="J1000" i="7"/>
  <c r="J996" i="7"/>
  <c r="J991" i="7"/>
  <c r="J982" i="7"/>
  <c r="J979" i="7"/>
  <c r="J978" i="7"/>
  <c r="J980" i="7"/>
  <c r="J990" i="7"/>
  <c r="J992" i="7"/>
  <c r="J988" i="7"/>
  <c r="J986" i="7"/>
  <c r="J987" i="7"/>
  <c r="J998" i="7"/>
  <c r="J989" i="7"/>
  <c r="J997" i="7"/>
  <c r="J985" i="7"/>
  <c r="J329" i="7"/>
  <c r="J335" i="7"/>
  <c r="J336" i="7"/>
  <c r="J342" i="7"/>
  <c r="J339" i="7"/>
  <c r="J331" i="7"/>
  <c r="J334" i="7"/>
  <c r="J341" i="7"/>
  <c r="J337" i="7"/>
  <c r="J330" i="7"/>
  <c r="J332" i="7"/>
  <c r="J343" i="7"/>
  <c r="J333" i="7"/>
  <c r="J340" i="7"/>
  <c r="J338" i="7"/>
  <c r="J862" i="7"/>
  <c r="J855" i="7"/>
  <c r="J860" i="7"/>
  <c r="J854" i="7"/>
  <c r="J856" i="7"/>
  <c r="J863" i="7"/>
  <c r="J858" i="7"/>
  <c r="J859" i="7"/>
  <c r="J865" i="7"/>
  <c r="J864" i="7"/>
  <c r="J857" i="7"/>
  <c r="J861" i="7"/>
  <c r="J357" i="7"/>
  <c r="J353" i="7"/>
  <c r="J352" i="7"/>
  <c r="J346" i="7"/>
  <c r="J349" i="7"/>
  <c r="J354" i="7"/>
  <c r="J344" i="7"/>
  <c r="J355" i="7"/>
  <c r="J351" i="7"/>
  <c r="J350" i="7"/>
  <c r="J345" i="7"/>
  <c r="J356" i="7"/>
  <c r="J347" i="7"/>
  <c r="J348" i="7"/>
  <c r="J247" i="7"/>
  <c r="J271" i="7"/>
  <c r="J246" i="7"/>
  <c r="J264" i="7"/>
  <c r="J263" i="7"/>
  <c r="J248" i="7"/>
  <c r="J259" i="7"/>
  <c r="J254" i="7"/>
  <c r="J245" i="7"/>
  <c r="J253" i="7"/>
  <c r="J266" i="7"/>
  <c r="J268" i="7"/>
  <c r="J256" i="7"/>
  <c r="J252" i="7"/>
  <c r="J274" i="7"/>
  <c r="J265" i="7"/>
  <c r="J258" i="7"/>
  <c r="J261" i="7"/>
  <c r="J270" i="7"/>
  <c r="J250" i="7"/>
  <c r="J262" i="7"/>
  <c r="J249" i="7"/>
  <c r="J267" i="7"/>
  <c r="J269" i="7"/>
  <c r="J273" i="7"/>
  <c r="J272" i="7"/>
  <c r="J255" i="7"/>
  <c r="J257" i="7"/>
  <c r="J260" i="7"/>
  <c r="J251" i="7"/>
  <c r="J364" i="7"/>
  <c r="J384" i="7"/>
  <c r="J377" i="7"/>
  <c r="J373" i="7"/>
  <c r="J358" i="7"/>
  <c r="J368" i="7"/>
  <c r="J379" i="7"/>
  <c r="J374" i="7"/>
  <c r="J378" i="7"/>
  <c r="J359" i="7"/>
  <c r="J375" i="7"/>
  <c r="J363" i="7"/>
  <c r="J376" i="7"/>
  <c r="J389" i="7"/>
  <c r="J369" i="7"/>
  <c r="J386" i="7"/>
  <c r="J387" i="7"/>
  <c r="J370" i="7"/>
  <c r="J371" i="7"/>
  <c r="J372" i="7"/>
  <c r="J383" i="7"/>
  <c r="J388" i="7"/>
  <c r="J367" i="7"/>
  <c r="J361" i="7"/>
  <c r="J366" i="7"/>
  <c r="J385" i="7"/>
  <c r="J381" i="7"/>
  <c r="J382" i="7"/>
  <c r="J380" i="7"/>
  <c r="J365" i="7"/>
  <c r="J360" i="7"/>
  <c r="J362" i="7"/>
  <c r="J317" i="7"/>
  <c r="J318" i="7"/>
  <c r="J315" i="7"/>
  <c r="J316" i="7"/>
  <c r="J320" i="7"/>
  <c r="J319" i="7"/>
  <c r="J321" i="7"/>
  <c r="J484" i="7"/>
  <c r="J483" i="7"/>
  <c r="J485" i="7"/>
  <c r="J486" i="7"/>
  <c r="J482" i="7"/>
  <c r="J491" i="7"/>
  <c r="J489" i="7"/>
  <c r="J487" i="7"/>
  <c r="J490" i="7"/>
  <c r="J488" i="7"/>
  <c r="J494" i="7"/>
  <c r="J492" i="7"/>
  <c r="J493" i="7"/>
  <c r="J495" i="7"/>
  <c r="J496" i="7"/>
  <c r="J745" i="7"/>
  <c r="J744" i="7"/>
  <c r="J747" i="7"/>
  <c r="J746" i="7"/>
  <c r="J749" i="7"/>
  <c r="J748" i="7"/>
  <c r="J751" i="7"/>
  <c r="J750" i="7"/>
  <c r="J325" i="7"/>
  <c r="J328" i="7"/>
  <c r="J327" i="7"/>
  <c r="J326" i="7"/>
  <c r="J459" i="7"/>
  <c r="J456" i="7"/>
  <c r="J458" i="7"/>
  <c r="J457" i="7"/>
  <c r="J461" i="7"/>
  <c r="J460" i="7"/>
  <c r="J462" i="7"/>
  <c r="J465" i="7"/>
  <c r="J464" i="7"/>
  <c r="J463" i="7"/>
  <c r="J468" i="7"/>
  <c r="J466" i="7"/>
  <c r="J467" i="7"/>
  <c r="J470" i="7"/>
  <c r="J469" i="7"/>
  <c r="J471" i="7"/>
  <c r="J478" i="7"/>
  <c r="J480" i="7"/>
  <c r="J474" i="7"/>
  <c r="J479" i="7"/>
  <c r="J477" i="7"/>
  <c r="J481" i="7"/>
  <c r="J475" i="7"/>
  <c r="J472" i="7"/>
  <c r="J473" i="7"/>
  <c r="J476" i="7"/>
  <c r="J306" i="7"/>
  <c r="J307" i="7"/>
  <c r="J304" i="7"/>
  <c r="J305" i="7"/>
  <c r="J295" i="7"/>
  <c r="J302" i="7"/>
  <c r="J314" i="7"/>
  <c r="J298" i="7"/>
  <c r="J299" i="7"/>
  <c r="J311" i="7"/>
  <c r="J297" i="7"/>
  <c r="J300" i="7"/>
  <c r="J294" i="7"/>
  <c r="J303" i="7"/>
  <c r="J308" i="7"/>
  <c r="J310" i="7"/>
  <c r="J312" i="7"/>
  <c r="J309" i="7"/>
  <c r="J293" i="7"/>
  <c r="J301" i="7"/>
  <c r="J313" i="7"/>
  <c r="J292" i="7"/>
  <c r="J296" i="7"/>
  <c r="J816" i="7"/>
  <c r="J822" i="7"/>
  <c r="J818" i="7"/>
  <c r="J823" i="7"/>
  <c r="J828" i="7"/>
  <c r="J821" i="7"/>
  <c r="J819" i="7"/>
  <c r="J817" i="7"/>
  <c r="J829" i="7"/>
  <c r="J833" i="7"/>
  <c r="J834" i="7"/>
  <c r="J815" i="7"/>
  <c r="J831" i="7"/>
  <c r="J832" i="7"/>
  <c r="J814" i="7"/>
  <c r="J826" i="7"/>
  <c r="J824" i="7"/>
  <c r="J820" i="7"/>
  <c r="J827" i="7"/>
  <c r="J835" i="7"/>
  <c r="J830" i="7"/>
  <c r="J825" i="7"/>
  <c r="J617" i="7"/>
  <c r="J636" i="7"/>
  <c r="J633" i="7"/>
  <c r="J621" i="7"/>
  <c r="J624" i="7"/>
  <c r="J619" i="7"/>
  <c r="J646" i="7"/>
  <c r="J618" i="7"/>
  <c r="J647" i="7"/>
  <c r="J637" i="7"/>
  <c r="J649" i="7"/>
  <c r="J625" i="7"/>
  <c r="J643" i="7"/>
  <c r="J626" i="7"/>
  <c r="J630" i="7"/>
  <c r="J634" i="7"/>
  <c r="J628" i="7"/>
  <c r="J629" i="7"/>
  <c r="J635" i="7"/>
  <c r="J641" i="7"/>
  <c r="J620" i="7"/>
  <c r="J640" i="7"/>
  <c r="J642" i="7"/>
  <c r="J623" i="7"/>
  <c r="J631" i="7"/>
  <c r="J616" i="7"/>
  <c r="J627" i="7"/>
  <c r="J632" i="7"/>
  <c r="J648" i="7"/>
  <c r="J645" i="7"/>
  <c r="J622" i="7"/>
  <c r="J644" i="7"/>
  <c r="J638" i="7"/>
  <c r="J639" i="7"/>
  <c r="J430" i="7"/>
  <c r="J440" i="7"/>
  <c r="J432" i="7"/>
  <c r="J427" i="7"/>
  <c r="J436" i="7"/>
  <c r="J444" i="7"/>
  <c r="J450" i="7"/>
  <c r="J425" i="7"/>
  <c r="J426" i="7"/>
  <c r="J451" i="7"/>
  <c r="J434" i="7"/>
  <c r="J449" i="7"/>
  <c r="J429" i="7"/>
  <c r="J431" i="7"/>
  <c r="J445" i="7"/>
  <c r="J439" i="7"/>
  <c r="J433" i="7"/>
  <c r="J454" i="7"/>
  <c r="J453" i="7"/>
  <c r="J446" i="7"/>
  <c r="J437" i="7"/>
  <c r="J448" i="7"/>
  <c r="J428" i="7"/>
  <c r="J441" i="7"/>
  <c r="J452" i="7"/>
  <c r="J443" i="7"/>
  <c r="J442" i="7"/>
  <c r="J455" i="7"/>
  <c r="J447" i="7"/>
  <c r="J438" i="7"/>
  <c r="J435" i="7"/>
  <c r="J945" i="7"/>
  <c r="J944" i="7"/>
  <c r="J943" i="7"/>
  <c r="J948" i="7"/>
  <c r="J947" i="7"/>
  <c r="J936" i="7"/>
  <c r="J937" i="7"/>
  <c r="J941" i="7"/>
  <c r="J942" i="7"/>
  <c r="J950" i="7"/>
  <c r="J940" i="7"/>
  <c r="J939" i="7"/>
  <c r="J951" i="7"/>
  <c r="J952" i="7"/>
  <c r="J946" i="7"/>
  <c r="J935" i="7"/>
  <c r="J949" i="7"/>
  <c r="J938" i="7"/>
  <c r="J927" i="7"/>
  <c r="J930" i="7"/>
  <c r="J925" i="7"/>
  <c r="J921" i="7"/>
  <c r="J933" i="7"/>
  <c r="J934" i="7"/>
  <c r="J920" i="7"/>
  <c r="J932" i="7"/>
  <c r="J924" i="7"/>
  <c r="J922" i="7"/>
  <c r="J923" i="7"/>
  <c r="J926" i="7"/>
  <c r="J929" i="7"/>
  <c r="J928" i="7"/>
  <c r="J931" i="7"/>
  <c r="J919" i="7"/>
  <c r="J842" i="7"/>
  <c r="J850" i="7"/>
  <c r="J852" i="7"/>
  <c r="J841" i="7"/>
  <c r="J843" i="7"/>
  <c r="J836" i="7"/>
  <c r="J849" i="7"/>
  <c r="J845" i="7"/>
  <c r="J853" i="7"/>
  <c r="J839" i="7"/>
  <c r="J837" i="7"/>
  <c r="J848" i="7"/>
  <c r="J851" i="7"/>
  <c r="J838" i="7"/>
  <c r="J846" i="7"/>
  <c r="J847" i="7"/>
  <c r="J840" i="7"/>
  <c r="J844" i="7"/>
  <c r="J1092" i="7"/>
  <c r="J1083" i="7"/>
  <c r="J1096" i="7"/>
  <c r="J1082" i="7"/>
  <c r="J1080" i="7"/>
  <c r="J1097" i="7"/>
  <c r="J1086" i="7"/>
  <c r="J1081" i="7"/>
  <c r="J1087" i="7"/>
  <c r="J1084" i="7"/>
  <c r="J1089" i="7"/>
  <c r="J1090" i="7"/>
  <c r="J1094" i="7"/>
  <c r="J1091" i="7"/>
  <c r="J1085" i="7"/>
  <c r="J1093" i="7"/>
  <c r="J1098" i="7"/>
  <c r="J1088" i="7"/>
  <c r="J1095" i="7"/>
  <c r="J213" i="7"/>
  <c r="J211" i="7"/>
  <c r="J217" i="7"/>
  <c r="J197" i="7"/>
  <c r="J216" i="7"/>
  <c r="J193" i="7"/>
  <c r="J205" i="7"/>
  <c r="J201" i="7"/>
  <c r="J206" i="7"/>
  <c r="J212" i="7"/>
  <c r="J199" i="7"/>
  <c r="J202" i="7"/>
  <c r="J194" i="7"/>
  <c r="J215" i="7"/>
  <c r="J208" i="7"/>
  <c r="J196" i="7"/>
  <c r="J207" i="7"/>
  <c r="J204" i="7"/>
  <c r="J209" i="7"/>
  <c r="J200" i="7"/>
  <c r="J210" i="7"/>
  <c r="J198" i="7"/>
  <c r="J214" i="7"/>
  <c r="J203" i="7"/>
  <c r="J195" i="7"/>
  <c r="J1099" i="7"/>
  <c r="J1100" i="7"/>
  <c r="J1101" i="7"/>
  <c r="J1102" i="7"/>
  <c r="J1103" i="7"/>
  <c r="J1104" i="7"/>
  <c r="J1105" i="7"/>
  <c r="J1106" i="7"/>
  <c r="J1107" i="7"/>
  <c r="J1108" i="7"/>
  <c r="J1109" i="7"/>
  <c r="J1110" i="7"/>
  <c r="J1111" i="7"/>
  <c r="J1112" i="7"/>
  <c r="J1113" i="7"/>
  <c r="J1114" i="7"/>
  <c r="J1115" i="7"/>
  <c r="J1116" i="7"/>
  <c r="J1117" i="7"/>
  <c r="J1118" i="7"/>
  <c r="J1119" i="7"/>
  <c r="J1120" i="7"/>
  <c r="J1121" i="7"/>
  <c r="J1122" i="7"/>
  <c r="J1123" i="7"/>
  <c r="J1124" i="7"/>
  <c r="J1125" i="7"/>
  <c r="J1126" i="7"/>
  <c r="J1127" i="7"/>
  <c r="J1128" i="7"/>
  <c r="J1129" i="7"/>
  <c r="J1130" i="7"/>
  <c r="J1131" i="7"/>
  <c r="J1132" i="7"/>
  <c r="J1133" i="7"/>
  <c r="J1134" i="7"/>
  <c r="J1135" i="7"/>
  <c r="J1136" i="7"/>
  <c r="J1137" i="7"/>
  <c r="J1138" i="7"/>
  <c r="J1139" i="7"/>
  <c r="J1140" i="7"/>
  <c r="J1141" i="7"/>
  <c r="J1142" i="7"/>
  <c r="J1143" i="7"/>
  <c r="J1144" i="7"/>
  <c r="J1145" i="7"/>
  <c r="J1146" i="7"/>
  <c r="J1147" i="7"/>
  <c r="J1148" i="7"/>
  <c r="J1149" i="7"/>
  <c r="J1150" i="7"/>
  <c r="J1151" i="7"/>
  <c r="J1152" i="7"/>
  <c r="J1153" i="7"/>
  <c r="J1154" i="7"/>
  <c r="J1155" i="7"/>
  <c r="J1156" i="7"/>
  <c r="J1157" i="7"/>
  <c r="J1158" i="7"/>
  <c r="J1159" i="7"/>
  <c r="J1160" i="7"/>
  <c r="J1161" i="7"/>
  <c r="J1162" i="7"/>
  <c r="J1163" i="7"/>
  <c r="J1164" i="7"/>
  <c r="J1165" i="7"/>
  <c r="J1166" i="7"/>
  <c r="J1167" i="7"/>
  <c r="J1168" i="7"/>
  <c r="J1169" i="7"/>
  <c r="J1170" i="7"/>
  <c r="J1171" i="7"/>
  <c r="J1172" i="7"/>
  <c r="J1173" i="7"/>
  <c r="J1174" i="7"/>
  <c r="J1175" i="7"/>
  <c r="J1176" i="7"/>
  <c r="J1177" i="7"/>
  <c r="J1178" i="7"/>
  <c r="J1179" i="7"/>
  <c r="J1180" i="7"/>
  <c r="J1181" i="7"/>
  <c r="J1182" i="7"/>
  <c r="J1183" i="7"/>
  <c r="J1184" i="7"/>
  <c r="J1185" i="7"/>
  <c r="J1186" i="7"/>
  <c r="J1187" i="7"/>
  <c r="J1188" i="7"/>
  <c r="J1189" i="7"/>
  <c r="J1190" i="7"/>
  <c r="J1191" i="7"/>
  <c r="J1192" i="7"/>
  <c r="J1193" i="7"/>
  <c r="J1194" i="7"/>
  <c r="J1195" i="7"/>
  <c r="J1196" i="7"/>
  <c r="J1197" i="7"/>
  <c r="J1198" i="7"/>
  <c r="J1199" i="7"/>
  <c r="J1200" i="7"/>
  <c r="J1201" i="7"/>
  <c r="J1202" i="7"/>
  <c r="J1203" i="7"/>
  <c r="J1204" i="7"/>
  <c r="J1205" i="7"/>
  <c r="J1206" i="7"/>
  <c r="J1207" i="7"/>
  <c r="J1208" i="7"/>
  <c r="J1209" i="7"/>
  <c r="J1210" i="7"/>
  <c r="J1211" i="7"/>
  <c r="J1212" i="7"/>
  <c r="J1213" i="7"/>
  <c r="J1214" i="7"/>
  <c r="J1215" i="7"/>
  <c r="J1216" i="7"/>
  <c r="J1217" i="7"/>
  <c r="J1218" i="7"/>
  <c r="J1219" i="7"/>
  <c r="J1220" i="7"/>
  <c r="J1221" i="7"/>
  <c r="J1222" i="7"/>
  <c r="J1223" i="7"/>
  <c r="J1224" i="7"/>
  <c r="J1225" i="7"/>
  <c r="J1226" i="7"/>
  <c r="J1227" i="7"/>
  <c r="J1228" i="7"/>
  <c r="J1229" i="7"/>
  <c r="J1230" i="7"/>
  <c r="J1231" i="7"/>
  <c r="J1232" i="7"/>
  <c r="J1233" i="7"/>
  <c r="J1234" i="7"/>
  <c r="J1235" i="7"/>
  <c r="J1236" i="7"/>
  <c r="J1237" i="7"/>
  <c r="J1238" i="7"/>
  <c r="J1239" i="7"/>
  <c r="J1240" i="7"/>
  <c r="J1241" i="7"/>
  <c r="J1242" i="7"/>
  <c r="J1243" i="7"/>
  <c r="J1244" i="7"/>
  <c r="J1245" i="7"/>
  <c r="J1246" i="7"/>
  <c r="J1247" i="7"/>
  <c r="J1248" i="7"/>
  <c r="J1249" i="7"/>
  <c r="J1250" i="7"/>
  <c r="J1251" i="7"/>
  <c r="J1252" i="7"/>
  <c r="J1253" i="7"/>
  <c r="J1254" i="7"/>
  <c r="J1255" i="7"/>
  <c r="J1256" i="7"/>
  <c r="J1257" i="7"/>
  <c r="J1258" i="7"/>
  <c r="J1259" i="7"/>
  <c r="J1260" i="7"/>
  <c r="J1261" i="7"/>
  <c r="J1262" i="7"/>
  <c r="J1263" i="7"/>
  <c r="J1264" i="7"/>
  <c r="J1265" i="7"/>
  <c r="J1266" i="7"/>
  <c r="J1267" i="7"/>
  <c r="J1268" i="7"/>
  <c r="J1269" i="7"/>
  <c r="J1270" i="7"/>
  <c r="J1271" i="7"/>
  <c r="J1272" i="7"/>
  <c r="J1273" i="7"/>
  <c r="J1274" i="7"/>
  <c r="J1275" i="7"/>
  <c r="J1276" i="7"/>
  <c r="J1277" i="7"/>
  <c r="J1278" i="7"/>
  <c r="J1279" i="7"/>
  <c r="J1280" i="7"/>
  <c r="J1281" i="7"/>
  <c r="J1282" i="7"/>
  <c r="J1283" i="7"/>
  <c r="J1284" i="7"/>
  <c r="J1285" i="7"/>
  <c r="J1286" i="7"/>
  <c r="J1287" i="7"/>
  <c r="J1288" i="7"/>
  <c r="J1289" i="7"/>
  <c r="J1290" i="7"/>
  <c r="J1291" i="7"/>
  <c r="J1292" i="7"/>
  <c r="J1293" i="7"/>
  <c r="J1294" i="7"/>
  <c r="J1295" i="7"/>
  <c r="J1296" i="7"/>
  <c r="J1297" i="7"/>
  <c r="J1298" i="7"/>
  <c r="J1299" i="7"/>
  <c r="J1300" i="7"/>
  <c r="J1301" i="7"/>
  <c r="J1302" i="7"/>
  <c r="J1303" i="7"/>
  <c r="J1304" i="7"/>
  <c r="J1305" i="7"/>
  <c r="J1306" i="7"/>
  <c r="J1307" i="7"/>
  <c r="J1308" i="7"/>
  <c r="J1309" i="7"/>
  <c r="J1310" i="7"/>
  <c r="J1311" i="7"/>
  <c r="J1312" i="7"/>
  <c r="J1313" i="7"/>
  <c r="J1314" i="7"/>
  <c r="J1315" i="7"/>
  <c r="J1316" i="7"/>
  <c r="J1317" i="7"/>
  <c r="J1318" i="7"/>
  <c r="J1319" i="7"/>
  <c r="J1320" i="7"/>
  <c r="J1321" i="7"/>
  <c r="J1322" i="7"/>
  <c r="J1323" i="7"/>
  <c r="J1324" i="7"/>
  <c r="J1325" i="7"/>
  <c r="J1326" i="7"/>
  <c r="J1327" i="7"/>
  <c r="J1328" i="7"/>
  <c r="J1329" i="7"/>
  <c r="J1330" i="7"/>
  <c r="J1331" i="7"/>
  <c r="J1332" i="7"/>
  <c r="J1333" i="7"/>
  <c r="J1334" i="7"/>
  <c r="J1335" i="7"/>
  <c r="J1336" i="7"/>
  <c r="J1337" i="7"/>
  <c r="J1338" i="7"/>
  <c r="J1339" i="7"/>
  <c r="J1340" i="7"/>
  <c r="J1341" i="7"/>
  <c r="J1342" i="7"/>
  <c r="J1343" i="7"/>
  <c r="J1344" i="7"/>
  <c r="J1345" i="7"/>
  <c r="J1346" i="7"/>
  <c r="J1347" i="7"/>
  <c r="J1348" i="7"/>
  <c r="J1349" i="7"/>
  <c r="J1350" i="7"/>
  <c r="J1351" i="7"/>
  <c r="J1352" i="7"/>
  <c r="J1353" i="7"/>
  <c r="J1354" i="7"/>
  <c r="J1355" i="7"/>
  <c r="J1356" i="7"/>
  <c r="J1357" i="7"/>
  <c r="J1358" i="7"/>
  <c r="J1359" i="7"/>
  <c r="J1360" i="7"/>
  <c r="J1361" i="7"/>
  <c r="J1362" i="7"/>
  <c r="J1363" i="7"/>
  <c r="J1364" i="7"/>
  <c r="J1365" i="7"/>
  <c r="J1366" i="7"/>
  <c r="J1367" i="7"/>
  <c r="J1368" i="7"/>
  <c r="J1369" i="7"/>
  <c r="J1370" i="7"/>
  <c r="J1371" i="7"/>
  <c r="J1372" i="7"/>
  <c r="J1373" i="7"/>
  <c r="J1374" i="7"/>
  <c r="J1375" i="7"/>
  <c r="J1376" i="7"/>
  <c r="J1377" i="7"/>
  <c r="J1378" i="7"/>
  <c r="J1379" i="7"/>
  <c r="J1380" i="7"/>
  <c r="J1381" i="7"/>
  <c r="J1382" i="7"/>
  <c r="J1383" i="7"/>
  <c r="J1384" i="7"/>
  <c r="J1385" i="7"/>
  <c r="J1386" i="7"/>
  <c r="J1387" i="7"/>
  <c r="J1388" i="7"/>
  <c r="J1389" i="7"/>
  <c r="J1390" i="7"/>
  <c r="J1391" i="7"/>
  <c r="J1392" i="7"/>
  <c r="J1393" i="7"/>
  <c r="J1394" i="7"/>
  <c r="J1395" i="7"/>
  <c r="J1396" i="7"/>
  <c r="J1397" i="7"/>
  <c r="J1398" i="7"/>
  <c r="J1399" i="7"/>
  <c r="J1400" i="7"/>
  <c r="J1401" i="7"/>
  <c r="J1402" i="7"/>
  <c r="J1403" i="7"/>
  <c r="J1404" i="7"/>
  <c r="J1405" i="7"/>
  <c r="J1406" i="7"/>
  <c r="J1407" i="7"/>
  <c r="J1408" i="7"/>
  <c r="J1409" i="7"/>
  <c r="J1410" i="7"/>
  <c r="J1411" i="7"/>
  <c r="J1412" i="7"/>
  <c r="J1413" i="7"/>
  <c r="J1414" i="7"/>
  <c r="J1415" i="7"/>
  <c r="J1416" i="7"/>
  <c r="J1417" i="7"/>
  <c r="J1418" i="7"/>
  <c r="J1419" i="7"/>
  <c r="J1420" i="7"/>
  <c r="J1421" i="7"/>
  <c r="J1422" i="7"/>
  <c r="J1423" i="7"/>
  <c r="J1424" i="7"/>
  <c r="J1425" i="7"/>
  <c r="J1426" i="7"/>
  <c r="J1427" i="7"/>
  <c r="J1428" i="7"/>
  <c r="J1429" i="7"/>
  <c r="J1430" i="7"/>
  <c r="J1431" i="7"/>
  <c r="J1432" i="7"/>
  <c r="J1433" i="7"/>
  <c r="J1434" i="7"/>
  <c r="J1435" i="7"/>
  <c r="J1436" i="7"/>
  <c r="J1437" i="7"/>
  <c r="J1438" i="7"/>
  <c r="J1439" i="7"/>
  <c r="J1440" i="7"/>
  <c r="J1441" i="7"/>
  <c r="J1442" i="7"/>
  <c r="J1443" i="7"/>
  <c r="J1444" i="7"/>
  <c r="J1445" i="7"/>
  <c r="J1446" i="7"/>
  <c r="J1447" i="7"/>
  <c r="J1448" i="7"/>
  <c r="J1449" i="7"/>
  <c r="J1450" i="7"/>
  <c r="J1451" i="7"/>
  <c r="J1452" i="7"/>
  <c r="J1453" i="7"/>
  <c r="J1454" i="7"/>
  <c r="J1455" i="7"/>
  <c r="J1456" i="7"/>
  <c r="J1457" i="7"/>
  <c r="J1458" i="7"/>
  <c r="J1459" i="7"/>
  <c r="J1460" i="7"/>
  <c r="J1461" i="7"/>
  <c r="J1462" i="7"/>
  <c r="J1463" i="7"/>
  <c r="J1464" i="7"/>
  <c r="J1465" i="7"/>
  <c r="J1466" i="7"/>
  <c r="J1467" i="7"/>
  <c r="J1468" i="7"/>
  <c r="J1469" i="7"/>
  <c r="J1470" i="7"/>
  <c r="J1471" i="7"/>
  <c r="J1472" i="7"/>
  <c r="J1473" i="7"/>
  <c r="J1474" i="7"/>
  <c r="J1475" i="7"/>
  <c r="J1476" i="7"/>
  <c r="J1477" i="7"/>
  <c r="J1478" i="7"/>
  <c r="J1479" i="7"/>
  <c r="J1480" i="7"/>
  <c r="J1481" i="7"/>
  <c r="J1482" i="7"/>
  <c r="J1483" i="7"/>
  <c r="J1484" i="7"/>
  <c r="J1485" i="7"/>
  <c r="J1486" i="7"/>
  <c r="J1487" i="7"/>
  <c r="J1488" i="7"/>
  <c r="J1489" i="7"/>
  <c r="J1490" i="7"/>
  <c r="J1491" i="7"/>
  <c r="J1492" i="7"/>
  <c r="J1493" i="7"/>
  <c r="J1494" i="7"/>
  <c r="J1495" i="7"/>
  <c r="J1496" i="7"/>
  <c r="J1497" i="7"/>
  <c r="J1498" i="7"/>
  <c r="J1499" i="7"/>
  <c r="J1500" i="7"/>
  <c r="J1501" i="7"/>
  <c r="J1502" i="7"/>
  <c r="J1503" i="7"/>
  <c r="J1504" i="7"/>
  <c r="J1505" i="7"/>
  <c r="J1506" i="7"/>
  <c r="J1507" i="7"/>
  <c r="J1508" i="7"/>
  <c r="J1509" i="7"/>
  <c r="J1510" i="7"/>
  <c r="J1511" i="7"/>
  <c r="J1512" i="7"/>
  <c r="J1513" i="7"/>
  <c r="J1514" i="7"/>
  <c r="J1515" i="7"/>
  <c r="J1516" i="7"/>
  <c r="J1517" i="7"/>
  <c r="J1518" i="7"/>
  <c r="J1519" i="7"/>
  <c r="J1520" i="7"/>
  <c r="J1521" i="7"/>
  <c r="J1522" i="7"/>
  <c r="J1523" i="7"/>
  <c r="J1524" i="7"/>
  <c r="J1525" i="7"/>
  <c r="J1526" i="7"/>
  <c r="J1527" i="7"/>
  <c r="J1528" i="7"/>
  <c r="J1529" i="7"/>
  <c r="J1530" i="7"/>
  <c r="J1531" i="7"/>
  <c r="A81" i="7"/>
  <c r="A78" i="7"/>
  <c r="A67" i="7"/>
  <c r="A85" i="7"/>
  <c r="A84" i="7"/>
  <c r="A74" i="7"/>
  <c r="A70" i="7"/>
  <c r="A80" i="7"/>
  <c r="A82" i="7"/>
  <c r="A83" i="7"/>
  <c r="A66" i="7"/>
  <c r="A76" i="7"/>
  <c r="A73" i="7"/>
  <c r="A88" i="7"/>
  <c r="A91" i="7"/>
  <c r="A89" i="7"/>
  <c r="A90" i="7"/>
  <c r="A87" i="7"/>
  <c r="A86" i="7"/>
  <c r="A92" i="7"/>
  <c r="A99" i="7"/>
  <c r="A115" i="7"/>
  <c r="A109" i="7"/>
  <c r="A97" i="7"/>
  <c r="A111" i="7"/>
  <c r="A110" i="7"/>
  <c r="A104" i="7"/>
  <c r="A114" i="7"/>
  <c r="A107" i="7"/>
  <c r="A116" i="7"/>
  <c r="A105" i="7"/>
  <c r="A101" i="7"/>
  <c r="A103" i="7"/>
  <c r="A113" i="7"/>
  <c r="A102" i="7"/>
  <c r="A96" i="7"/>
  <c r="A93" i="7"/>
  <c r="A95" i="7"/>
  <c r="A94" i="7"/>
  <c r="A106" i="7"/>
  <c r="A108" i="7"/>
  <c r="A100" i="7"/>
  <c r="A98" i="7"/>
  <c r="A112" i="7"/>
  <c r="A119" i="7"/>
  <c r="A122" i="7"/>
  <c r="A120" i="7"/>
  <c r="A121" i="7"/>
  <c r="A118" i="7"/>
  <c r="A117" i="7"/>
  <c r="A130" i="7"/>
  <c r="A124" i="7"/>
  <c r="A137" i="7"/>
  <c r="A135" i="7"/>
  <c r="A128" i="7"/>
  <c r="A131" i="7"/>
  <c r="A127" i="7"/>
  <c r="A139" i="7"/>
  <c r="A123" i="7"/>
  <c r="A140" i="7"/>
  <c r="A129" i="7"/>
  <c r="A126" i="7"/>
  <c r="A132" i="7"/>
  <c r="A125" i="7"/>
  <c r="A141" i="7"/>
  <c r="A136" i="7"/>
  <c r="A142" i="7"/>
  <c r="A138" i="7"/>
  <c r="A133" i="7"/>
  <c r="A134" i="7"/>
  <c r="A145" i="7"/>
  <c r="A148" i="7"/>
  <c r="A146" i="7"/>
  <c r="A147" i="7"/>
  <c r="A144" i="7"/>
  <c r="A143" i="7"/>
  <c r="A153" i="7"/>
  <c r="A166" i="7"/>
  <c r="A149" i="7"/>
  <c r="A152" i="7"/>
  <c r="A160" i="7"/>
  <c r="A157" i="7"/>
  <c r="A151" i="7"/>
  <c r="A156" i="7"/>
  <c r="A158" i="7"/>
  <c r="A165" i="7"/>
  <c r="A163" i="7"/>
  <c r="A164" i="7"/>
  <c r="A150" i="7"/>
  <c r="A161" i="7"/>
  <c r="A155" i="7"/>
  <c r="A159" i="7"/>
  <c r="A162" i="7"/>
  <c r="A154" i="7"/>
  <c r="A169" i="7"/>
  <c r="A172" i="7"/>
  <c r="A170" i="7"/>
  <c r="A171" i="7"/>
  <c r="A168" i="7"/>
  <c r="A167" i="7"/>
  <c r="A187" i="7"/>
  <c r="A176" i="7"/>
  <c r="A186" i="7"/>
  <c r="A175" i="7"/>
  <c r="A179" i="7"/>
  <c r="A188" i="7"/>
  <c r="A174" i="7"/>
  <c r="A191" i="7"/>
  <c r="A182" i="7"/>
  <c r="A177" i="7"/>
  <c r="A173" i="7"/>
  <c r="A184" i="7"/>
  <c r="A190" i="7"/>
  <c r="A185" i="7"/>
  <c r="A178" i="7"/>
  <c r="A183" i="7"/>
  <c r="A192" i="7"/>
  <c r="A189" i="7"/>
  <c r="A180" i="7"/>
  <c r="A181" i="7"/>
  <c r="A664" i="7"/>
  <c r="A671" i="7"/>
  <c r="A667" i="7"/>
  <c r="A670" i="7"/>
  <c r="A654" i="7"/>
  <c r="A652" i="7"/>
  <c r="A659" i="7"/>
  <c r="A653" i="7"/>
  <c r="A669" i="7"/>
  <c r="A662" i="7"/>
  <c r="A661" i="7"/>
  <c r="A663" i="7"/>
  <c r="A666" i="7"/>
  <c r="A651" i="7"/>
  <c r="A657" i="7"/>
  <c r="A650" i="7"/>
  <c r="A660" i="7"/>
  <c r="A658" i="7"/>
  <c r="A668" i="7"/>
  <c r="A655" i="7"/>
  <c r="A656" i="7"/>
  <c r="A665" i="7"/>
  <c r="A691" i="7"/>
  <c r="A676" i="7"/>
  <c r="A687" i="7"/>
  <c r="A695" i="7"/>
  <c r="A678" i="7"/>
  <c r="A692" i="7"/>
  <c r="A677" i="7"/>
  <c r="A674" i="7"/>
  <c r="A689" i="7"/>
  <c r="A682" i="7"/>
  <c r="A688" i="7"/>
  <c r="A679" i="7"/>
  <c r="A685" i="7"/>
  <c r="A673" i="7"/>
  <c r="A686" i="7"/>
  <c r="A681" i="7"/>
  <c r="A684" i="7"/>
  <c r="A690" i="7"/>
  <c r="A675" i="7"/>
  <c r="A680" i="7"/>
  <c r="A694" i="7"/>
  <c r="A693" i="7"/>
  <c r="A672" i="7"/>
  <c r="A683" i="7"/>
  <c r="A714" i="7"/>
  <c r="A719" i="7"/>
  <c r="A701" i="7"/>
  <c r="A712" i="7"/>
  <c r="A711" i="7"/>
  <c r="A696" i="7"/>
  <c r="A704" i="7"/>
  <c r="A700" i="7"/>
  <c r="A707" i="7"/>
  <c r="A698" i="7"/>
  <c r="A713" i="7"/>
  <c r="A697" i="7"/>
  <c r="A710" i="7"/>
  <c r="A716" i="7"/>
  <c r="A717" i="7"/>
  <c r="A708" i="7"/>
  <c r="A709" i="7"/>
  <c r="A699" i="7"/>
  <c r="A703" i="7"/>
  <c r="A705" i="7"/>
  <c r="A718" i="7"/>
  <c r="A715" i="7"/>
  <c r="A702" i="7"/>
  <c r="A706" i="7"/>
  <c r="A735" i="7"/>
  <c r="A726" i="7"/>
  <c r="A723" i="7"/>
  <c r="A736" i="7"/>
  <c r="A743" i="7"/>
  <c r="A731" i="7"/>
  <c r="A727" i="7"/>
  <c r="A720" i="7"/>
  <c r="A733" i="7"/>
  <c r="A730" i="7"/>
  <c r="A738" i="7"/>
  <c r="A737" i="7"/>
  <c r="A740" i="7"/>
  <c r="A741" i="7"/>
  <c r="A725" i="7"/>
  <c r="A722" i="7"/>
  <c r="A728" i="7"/>
  <c r="A734" i="7"/>
  <c r="A742" i="7"/>
  <c r="A724" i="7"/>
  <c r="A729" i="7"/>
  <c r="A739" i="7"/>
  <c r="A721" i="7"/>
  <c r="A732" i="7"/>
  <c r="A765" i="7"/>
  <c r="A761" i="7"/>
  <c r="A755" i="7"/>
  <c r="A770" i="7"/>
  <c r="A758" i="7"/>
  <c r="A752" i="7"/>
  <c r="A756" i="7"/>
  <c r="A766" i="7"/>
  <c r="A769" i="7"/>
  <c r="A768" i="7"/>
  <c r="A767" i="7"/>
  <c r="A762" i="7"/>
  <c r="A760" i="7"/>
  <c r="A763" i="7"/>
  <c r="A764" i="7"/>
  <c r="A753" i="7"/>
  <c r="A754" i="7"/>
  <c r="A757" i="7"/>
  <c r="A759" i="7"/>
  <c r="A786" i="7"/>
  <c r="A780" i="7"/>
  <c r="A784" i="7"/>
  <c r="A776" i="7"/>
  <c r="A773" i="7"/>
  <c r="A788" i="7"/>
  <c r="A775" i="7"/>
  <c r="A771" i="7"/>
  <c r="A791" i="7"/>
  <c r="A781" i="7"/>
  <c r="A787" i="7"/>
  <c r="A779" i="7"/>
  <c r="A783" i="7"/>
  <c r="A785" i="7"/>
  <c r="A778" i="7"/>
  <c r="A789" i="7"/>
  <c r="A774" i="7"/>
  <c r="A782" i="7"/>
  <c r="A790" i="7"/>
  <c r="A772" i="7"/>
  <c r="A777" i="7"/>
  <c r="A812" i="7"/>
  <c r="A811" i="7"/>
  <c r="A808" i="7"/>
  <c r="A797" i="7"/>
  <c r="A802" i="7"/>
  <c r="A793" i="7"/>
  <c r="A798" i="7"/>
  <c r="A807" i="7"/>
  <c r="A792" i="7"/>
  <c r="A799" i="7"/>
  <c r="A809" i="7"/>
  <c r="A806" i="7"/>
  <c r="A796" i="7"/>
  <c r="A795" i="7"/>
  <c r="A801" i="7"/>
  <c r="A800" i="7"/>
  <c r="A805" i="7"/>
  <c r="A804" i="7"/>
  <c r="A803" i="7"/>
  <c r="A813" i="7"/>
  <c r="A794" i="7"/>
  <c r="A810" i="7"/>
  <c r="A505" i="7"/>
  <c r="A513" i="7"/>
  <c r="A512" i="7"/>
  <c r="A519" i="7"/>
  <c r="A515" i="7"/>
  <c r="A504" i="7"/>
  <c r="A521" i="7"/>
  <c r="A522" i="7"/>
  <c r="A516" i="7"/>
  <c r="A520" i="7"/>
  <c r="A527" i="7"/>
  <c r="A506" i="7"/>
  <c r="A517" i="7"/>
  <c r="A511" i="7"/>
  <c r="A507" i="7"/>
  <c r="A524" i="7"/>
  <c r="A498" i="7"/>
  <c r="A518" i="7"/>
  <c r="A523" i="7"/>
  <c r="A499" i="7"/>
  <c r="A526" i="7"/>
  <c r="A503" i="7"/>
  <c r="A509" i="7"/>
  <c r="A508" i="7"/>
  <c r="A510" i="7"/>
  <c r="A501" i="7"/>
  <c r="A525" i="7"/>
  <c r="A500" i="7"/>
  <c r="A514" i="7"/>
  <c r="A502" i="7"/>
  <c r="A497" i="7"/>
  <c r="A550" i="7"/>
  <c r="A547" i="7"/>
  <c r="A546" i="7"/>
  <c r="A548" i="7"/>
  <c r="A544" i="7"/>
  <c r="A535" i="7"/>
  <c r="A554" i="7"/>
  <c r="A553" i="7"/>
  <c r="A536" i="7"/>
  <c r="A538" i="7"/>
  <c r="A551" i="7"/>
  <c r="A543" i="7"/>
  <c r="A539" i="7"/>
  <c r="A540" i="7"/>
  <c r="A530" i="7"/>
  <c r="A552" i="7"/>
  <c r="A531" i="7"/>
  <c r="A549" i="7"/>
  <c r="A529" i="7"/>
  <c r="A534" i="7"/>
  <c r="A537" i="7"/>
  <c r="A542" i="7"/>
  <c r="A541" i="7"/>
  <c r="A532" i="7"/>
  <c r="A533" i="7"/>
  <c r="A545" i="7"/>
  <c r="A528" i="7"/>
  <c r="A556" i="7"/>
  <c r="A555" i="7"/>
  <c r="A582" i="7"/>
  <c r="A578" i="7"/>
  <c r="A577" i="7"/>
  <c r="A576" i="7"/>
  <c r="A580" i="7"/>
  <c r="A558" i="7"/>
  <c r="A565" i="7"/>
  <c r="A569" i="7"/>
  <c r="A573" i="7"/>
  <c r="A574" i="7"/>
  <c r="A572" i="7"/>
  <c r="A564" i="7"/>
  <c r="A579" i="7"/>
  <c r="A560" i="7"/>
  <c r="A559" i="7"/>
  <c r="A566" i="7"/>
  <c r="A557" i="7"/>
  <c r="A563" i="7"/>
  <c r="A567" i="7"/>
  <c r="A570" i="7"/>
  <c r="A571" i="7"/>
  <c r="A562" i="7"/>
  <c r="A561" i="7"/>
  <c r="A575" i="7"/>
  <c r="A581" i="7"/>
  <c r="A568" i="7"/>
  <c r="A1027" i="7"/>
  <c r="A1026" i="7"/>
  <c r="A1012" i="7"/>
  <c r="A1034" i="7"/>
  <c r="A1035" i="7"/>
  <c r="A1020" i="7"/>
  <c r="A1016" i="7"/>
  <c r="A1011" i="7"/>
  <c r="A1022" i="7"/>
  <c r="A1021" i="7"/>
  <c r="A1005" i="7"/>
  <c r="A1028" i="7"/>
  <c r="A1019" i="7"/>
  <c r="A1010" i="7"/>
  <c r="A1015" i="7"/>
  <c r="A1008" i="7"/>
  <c r="A1002" i="7"/>
  <c r="A1009" i="7"/>
  <c r="A1025" i="7"/>
  <c r="A1003" i="7"/>
  <c r="A1007" i="7"/>
  <c r="A1024" i="7"/>
  <c r="A1014" i="7"/>
  <c r="A1023" i="7"/>
  <c r="A1033" i="7"/>
  <c r="A1004" i="7"/>
  <c r="A1017" i="7"/>
  <c r="A1030" i="7"/>
  <c r="A1029" i="7"/>
  <c r="A1001" i="7"/>
  <c r="A1018" i="7"/>
  <c r="A1013" i="7"/>
  <c r="A1031" i="7"/>
  <c r="A1006" i="7"/>
  <c r="A1032" i="7"/>
  <c r="A1057" i="7"/>
  <c r="A1050" i="7"/>
  <c r="A1054" i="7"/>
  <c r="A1042" i="7"/>
  <c r="A1048" i="7"/>
  <c r="A1046" i="7"/>
  <c r="A1056" i="7"/>
  <c r="A1049" i="7"/>
  <c r="A1040" i="7"/>
  <c r="A1039" i="7"/>
  <c r="A1036" i="7"/>
  <c r="A1058" i="7"/>
  <c r="A1043" i="7"/>
  <c r="A1051" i="7"/>
  <c r="A1041" i="7"/>
  <c r="A1045" i="7"/>
  <c r="A1052" i="7"/>
  <c r="A1055" i="7"/>
  <c r="A1053" i="7"/>
  <c r="A1037" i="7"/>
  <c r="A1044" i="7"/>
  <c r="A1047" i="7"/>
  <c r="A1038" i="7"/>
  <c r="A1059" i="7"/>
  <c r="A1075" i="7"/>
  <c r="A1061" i="7"/>
  <c r="A1073" i="7"/>
  <c r="A1068" i="7"/>
  <c r="A1069" i="7"/>
  <c r="A1076" i="7"/>
  <c r="A1067" i="7"/>
  <c r="A1070" i="7"/>
  <c r="A1079" i="7"/>
  <c r="A1074" i="7"/>
  <c r="A1078" i="7"/>
  <c r="A1063" i="7"/>
  <c r="A1062" i="7"/>
  <c r="A1071" i="7"/>
  <c r="A1072" i="7"/>
  <c r="A1066" i="7"/>
  <c r="A1077" i="7"/>
  <c r="A1064" i="7"/>
  <c r="A1065" i="7"/>
  <c r="A1060" i="7"/>
  <c r="A969" i="7"/>
  <c r="A972" i="7"/>
  <c r="A975" i="7"/>
  <c r="A973" i="7"/>
  <c r="A962" i="7"/>
  <c r="A963" i="7"/>
  <c r="A956" i="7"/>
  <c r="A964" i="7"/>
  <c r="A957" i="7"/>
  <c r="A976" i="7"/>
  <c r="A960" i="7"/>
  <c r="A955" i="7"/>
  <c r="A959" i="7"/>
  <c r="A965" i="7"/>
  <c r="A958" i="7"/>
  <c r="A970" i="7"/>
  <c r="A971" i="7"/>
  <c r="A966" i="7"/>
  <c r="A967" i="7"/>
  <c r="A961" i="7"/>
  <c r="A968" i="7"/>
  <c r="A974" i="7"/>
  <c r="A977" i="7"/>
  <c r="A954" i="7"/>
  <c r="A953" i="7"/>
  <c r="A886" i="7"/>
  <c r="A903" i="7"/>
  <c r="A905" i="7"/>
  <c r="A872" i="7"/>
  <c r="A911" i="7"/>
  <c r="A877" i="7"/>
  <c r="A900" i="7"/>
  <c r="A906" i="7"/>
  <c r="A892" i="7"/>
  <c r="A909" i="7"/>
  <c r="A908" i="7"/>
  <c r="A916" i="7"/>
  <c r="A875" i="7"/>
  <c r="A893" i="7"/>
  <c r="A907" i="7"/>
  <c r="A891" i="7"/>
  <c r="A883" i="7"/>
  <c r="A899" i="7"/>
  <c r="A898" i="7"/>
  <c r="A895" i="7"/>
  <c r="A913" i="7"/>
  <c r="A882" i="7"/>
  <c r="A894" i="7"/>
  <c r="A918" i="7"/>
  <c r="A910" i="7"/>
  <c r="A912" i="7"/>
  <c r="A904" i="7"/>
  <c r="A888" i="7"/>
  <c r="A902" i="7"/>
  <c r="A897" i="7"/>
  <c r="A917" i="7"/>
  <c r="A881" i="7"/>
  <c r="A915" i="7"/>
  <c r="A889" i="7"/>
  <c r="A869" i="7"/>
  <c r="A880" i="7"/>
  <c r="A868" i="7"/>
  <c r="A914" i="7"/>
  <c r="A885" i="7"/>
  <c r="A884" i="7"/>
  <c r="A879" i="7"/>
  <c r="A866" i="7"/>
  <c r="A867" i="7"/>
  <c r="A887" i="7"/>
  <c r="A870" i="7"/>
  <c r="A871" i="7"/>
  <c r="A890" i="7"/>
  <c r="A874" i="7"/>
  <c r="A873" i="7"/>
  <c r="A878" i="7"/>
  <c r="A896" i="7"/>
  <c r="A901" i="7"/>
  <c r="A876" i="7"/>
  <c r="A614" i="7"/>
  <c r="A601" i="7"/>
  <c r="A585" i="7"/>
  <c r="A600" i="7"/>
  <c r="A606" i="7"/>
  <c r="A588" i="7"/>
  <c r="A613" i="7"/>
  <c r="A584" i="7"/>
  <c r="A583" i="7"/>
  <c r="A597" i="7"/>
  <c r="A590" i="7"/>
  <c r="A605" i="7"/>
  <c r="A599" i="7"/>
  <c r="A586" i="7"/>
  <c r="A598" i="7"/>
  <c r="A615" i="7"/>
  <c r="A610" i="7"/>
  <c r="A604" i="7"/>
  <c r="A608" i="7"/>
  <c r="A609" i="7"/>
  <c r="A594" i="7"/>
  <c r="A589" i="7"/>
  <c r="A612" i="7"/>
  <c r="A611" i="7"/>
  <c r="A603" i="7"/>
  <c r="A593" i="7"/>
  <c r="A587" i="7"/>
  <c r="A595" i="7"/>
  <c r="A596" i="7"/>
  <c r="A591" i="7"/>
  <c r="A602" i="7"/>
  <c r="A607" i="7"/>
  <c r="A592" i="7"/>
  <c r="A228" i="7"/>
  <c r="A238" i="7"/>
  <c r="A239" i="7"/>
  <c r="A219" i="7"/>
  <c r="A223" i="7"/>
  <c r="A222" i="7"/>
  <c r="A235" i="7"/>
  <c r="A243" i="7"/>
  <c r="A224" i="7"/>
  <c r="A227" i="7"/>
  <c r="A226" i="7"/>
  <c r="A233" i="7"/>
  <c r="A230" i="7"/>
  <c r="A229" i="7"/>
  <c r="A241" i="7"/>
  <c r="A225" i="7"/>
  <c r="A234" i="7"/>
  <c r="A240" i="7"/>
  <c r="A236" i="7"/>
  <c r="A221" i="7"/>
  <c r="A218" i="7"/>
  <c r="A242" i="7"/>
  <c r="A232" i="7"/>
  <c r="A244" i="7"/>
  <c r="A237" i="7"/>
  <c r="A322" i="7"/>
  <c r="A323" i="7"/>
  <c r="A324" i="7"/>
  <c r="A231" i="7"/>
  <c r="A220" i="7"/>
  <c r="A394" i="7"/>
  <c r="A409" i="7"/>
  <c r="A403" i="7"/>
  <c r="A390" i="7"/>
  <c r="A400" i="7"/>
  <c r="A414" i="7"/>
  <c r="A408" i="7"/>
  <c r="A415" i="7"/>
  <c r="A419" i="7"/>
  <c r="A410" i="7"/>
  <c r="A398" i="7"/>
  <c r="A401" i="7"/>
  <c r="A411" i="7"/>
  <c r="A391" i="7"/>
  <c r="A418" i="7"/>
  <c r="A412" i="7"/>
  <c r="A402" i="7"/>
  <c r="A422" i="7"/>
  <c r="A404" i="7"/>
  <c r="A421" i="7"/>
  <c r="A420" i="7"/>
  <c r="A405" i="7"/>
  <c r="A413" i="7"/>
  <c r="A407" i="7"/>
  <c r="A423" i="7"/>
  <c r="A424" i="7"/>
  <c r="A417" i="7"/>
  <c r="A406" i="7"/>
  <c r="A416" i="7"/>
  <c r="A393" i="7"/>
  <c r="A392" i="7"/>
  <c r="A399" i="7"/>
  <c r="A395" i="7"/>
  <c r="A396" i="7"/>
  <c r="A397" i="7"/>
  <c r="A289" i="7"/>
  <c r="A288" i="7"/>
  <c r="A287" i="7"/>
  <c r="A283" i="7"/>
  <c r="A282" i="7"/>
  <c r="A285" i="7"/>
  <c r="A277" i="7"/>
  <c r="A276" i="7"/>
  <c r="A278" i="7"/>
  <c r="A279" i="7"/>
  <c r="A284" i="7"/>
  <c r="A291" i="7"/>
  <c r="A280" i="7"/>
  <c r="A281" i="7"/>
  <c r="A275" i="7"/>
  <c r="A286" i="7"/>
  <c r="A290" i="7"/>
  <c r="A983" i="7"/>
  <c r="A981" i="7"/>
  <c r="A984" i="7"/>
  <c r="A993" i="7"/>
  <c r="A995" i="7"/>
  <c r="A994" i="7"/>
  <c r="A999" i="7"/>
  <c r="A1000" i="7"/>
  <c r="A996" i="7"/>
  <c r="A991" i="7"/>
  <c r="A982" i="7"/>
  <c r="A979" i="7"/>
  <c r="A978" i="7"/>
  <c r="A980" i="7"/>
  <c r="A990" i="7"/>
  <c r="A992" i="7"/>
  <c r="A988" i="7"/>
  <c r="A986" i="7"/>
  <c r="A987" i="7"/>
  <c r="A998" i="7"/>
  <c r="A989" i="7"/>
  <c r="A997" i="7"/>
  <c r="A985" i="7"/>
  <c r="A329" i="7"/>
  <c r="A335" i="7"/>
  <c r="A336" i="7"/>
  <c r="A342" i="7"/>
  <c r="A339" i="7"/>
  <c r="A331" i="7"/>
  <c r="A334" i="7"/>
  <c r="A341" i="7"/>
  <c r="A337" i="7"/>
  <c r="A330" i="7"/>
  <c r="A332" i="7"/>
  <c r="A343" i="7"/>
  <c r="A333" i="7"/>
  <c r="A340" i="7"/>
  <c r="A338" i="7"/>
  <c r="A862" i="7"/>
  <c r="A855" i="7"/>
  <c r="A860" i="7"/>
  <c r="A854" i="7"/>
  <c r="A856" i="7"/>
  <c r="A863" i="7"/>
  <c r="A858" i="7"/>
  <c r="A859" i="7"/>
  <c r="A865" i="7"/>
  <c r="A864" i="7"/>
  <c r="A857" i="7"/>
  <c r="A861" i="7"/>
  <c r="A357" i="7"/>
  <c r="A353" i="7"/>
  <c r="A352" i="7"/>
  <c r="A346" i="7"/>
  <c r="A349" i="7"/>
  <c r="A354" i="7"/>
  <c r="A344" i="7"/>
  <c r="A355" i="7"/>
  <c r="A351" i="7"/>
  <c r="A350" i="7"/>
  <c r="A345" i="7"/>
  <c r="A356" i="7"/>
  <c r="A347" i="7"/>
  <c r="A348" i="7"/>
  <c r="A247" i="7"/>
  <c r="A271" i="7"/>
  <c r="A246" i="7"/>
  <c r="A264" i="7"/>
  <c r="A263" i="7"/>
  <c r="A248" i="7"/>
  <c r="A259" i="7"/>
  <c r="A254" i="7"/>
  <c r="A245" i="7"/>
  <c r="A253" i="7"/>
  <c r="A266" i="7"/>
  <c r="A268" i="7"/>
  <c r="A256" i="7"/>
  <c r="A252" i="7"/>
  <c r="A274" i="7"/>
  <c r="A265" i="7"/>
  <c r="A258" i="7"/>
  <c r="A261" i="7"/>
  <c r="A270" i="7"/>
  <c r="A250" i="7"/>
  <c r="A262" i="7"/>
  <c r="A249" i="7"/>
  <c r="A267" i="7"/>
  <c r="A269" i="7"/>
  <c r="A273" i="7"/>
  <c r="A272" i="7"/>
  <c r="A255" i="7"/>
  <c r="A257" i="7"/>
  <c r="A260" i="7"/>
  <c r="A251" i="7"/>
  <c r="A364" i="7"/>
  <c r="A384" i="7"/>
  <c r="A377" i="7"/>
  <c r="A373" i="7"/>
  <c r="A358" i="7"/>
  <c r="A368" i="7"/>
  <c r="A379" i="7"/>
  <c r="A374" i="7"/>
  <c r="A378" i="7"/>
  <c r="A359" i="7"/>
  <c r="A375" i="7"/>
  <c r="A363" i="7"/>
  <c r="A376" i="7"/>
  <c r="A389" i="7"/>
  <c r="A369" i="7"/>
  <c r="A386" i="7"/>
  <c r="A387" i="7"/>
  <c r="A370" i="7"/>
  <c r="A371" i="7"/>
  <c r="A372" i="7"/>
  <c r="A383" i="7"/>
  <c r="A388" i="7"/>
  <c r="A367" i="7"/>
  <c r="A361" i="7"/>
  <c r="A366" i="7"/>
  <c r="A385" i="7"/>
  <c r="A381" i="7"/>
  <c r="A382" i="7"/>
  <c r="A380" i="7"/>
  <c r="A365" i="7"/>
  <c r="A360" i="7"/>
  <c r="A362" i="7"/>
  <c r="A317" i="7"/>
  <c r="A318" i="7"/>
  <c r="A315" i="7"/>
  <c r="A316" i="7"/>
  <c r="A320" i="7"/>
  <c r="A319" i="7"/>
  <c r="A321" i="7"/>
  <c r="A484" i="7"/>
  <c r="A483" i="7"/>
  <c r="A485" i="7"/>
  <c r="A486" i="7"/>
  <c r="A482" i="7"/>
  <c r="A491" i="7"/>
  <c r="A489" i="7"/>
  <c r="A487" i="7"/>
  <c r="A490" i="7"/>
  <c r="A488" i="7"/>
  <c r="A494" i="7"/>
  <c r="A492" i="7"/>
  <c r="A493" i="7"/>
  <c r="A495" i="7"/>
  <c r="A496" i="7"/>
  <c r="A745" i="7"/>
  <c r="A744" i="7"/>
  <c r="A747" i="7"/>
  <c r="A746" i="7"/>
  <c r="A749" i="7"/>
  <c r="A748" i="7"/>
  <c r="A751" i="7"/>
  <c r="A750" i="7"/>
  <c r="A325" i="7"/>
  <c r="A328" i="7"/>
  <c r="A327" i="7"/>
  <c r="A326" i="7"/>
  <c r="A459" i="7"/>
  <c r="A456" i="7"/>
  <c r="A458" i="7"/>
  <c r="A457" i="7"/>
  <c r="A461" i="7"/>
  <c r="A460" i="7"/>
  <c r="A462" i="7"/>
  <c r="A465" i="7"/>
  <c r="A464" i="7"/>
  <c r="A463" i="7"/>
  <c r="A468" i="7"/>
  <c r="A466" i="7"/>
  <c r="A467" i="7"/>
  <c r="A470" i="7"/>
  <c r="A469" i="7"/>
  <c r="A471" i="7"/>
  <c r="A478" i="7"/>
  <c r="A480" i="7"/>
  <c r="A474" i="7"/>
  <c r="A479" i="7"/>
  <c r="A477" i="7"/>
  <c r="A481" i="7"/>
  <c r="A475" i="7"/>
  <c r="A472" i="7"/>
  <c r="A473" i="7"/>
  <c r="A476" i="7"/>
  <c r="A306" i="7"/>
  <c r="A307" i="7"/>
  <c r="A304" i="7"/>
  <c r="A305" i="7"/>
  <c r="A295" i="7"/>
  <c r="A302" i="7"/>
  <c r="A314" i="7"/>
  <c r="A298" i="7"/>
  <c r="A299" i="7"/>
  <c r="A311" i="7"/>
  <c r="A297" i="7"/>
  <c r="A300" i="7"/>
  <c r="A294" i="7"/>
  <c r="A303" i="7"/>
  <c r="A308" i="7"/>
  <c r="A310" i="7"/>
  <c r="A312" i="7"/>
  <c r="A309" i="7"/>
  <c r="A293" i="7"/>
  <c r="A301" i="7"/>
  <c r="A313" i="7"/>
  <c r="A292" i="7"/>
  <c r="A296" i="7"/>
  <c r="A816" i="7"/>
  <c r="A822" i="7"/>
  <c r="A818" i="7"/>
  <c r="A823" i="7"/>
  <c r="A828" i="7"/>
  <c r="A821" i="7"/>
  <c r="A819" i="7"/>
  <c r="A817" i="7"/>
  <c r="A829" i="7"/>
  <c r="A833" i="7"/>
  <c r="A834" i="7"/>
  <c r="A815" i="7"/>
  <c r="A831" i="7"/>
  <c r="A832" i="7"/>
  <c r="A814" i="7"/>
  <c r="A826" i="7"/>
  <c r="A824" i="7"/>
  <c r="A820" i="7"/>
  <c r="A827" i="7"/>
  <c r="A835" i="7"/>
  <c r="A830" i="7"/>
  <c r="A825" i="7"/>
  <c r="A617" i="7"/>
  <c r="A636" i="7"/>
  <c r="A633" i="7"/>
  <c r="A621" i="7"/>
  <c r="A624" i="7"/>
  <c r="A619" i="7"/>
  <c r="A646" i="7"/>
  <c r="A618" i="7"/>
  <c r="A647" i="7"/>
  <c r="A637" i="7"/>
  <c r="A649" i="7"/>
  <c r="A625" i="7"/>
  <c r="A643" i="7"/>
  <c r="A626" i="7"/>
  <c r="A630" i="7"/>
  <c r="A634" i="7"/>
  <c r="A628" i="7"/>
  <c r="A629" i="7"/>
  <c r="A635" i="7"/>
  <c r="A641" i="7"/>
  <c r="A620" i="7"/>
  <c r="A640" i="7"/>
  <c r="A642" i="7"/>
  <c r="A623" i="7"/>
  <c r="A631" i="7"/>
  <c r="A616" i="7"/>
  <c r="A627" i="7"/>
  <c r="A632" i="7"/>
  <c r="A648" i="7"/>
  <c r="A645" i="7"/>
  <c r="A622" i="7"/>
  <c r="A644" i="7"/>
  <c r="A638" i="7"/>
  <c r="A639" i="7"/>
  <c r="A430" i="7"/>
  <c r="A440" i="7"/>
  <c r="A432" i="7"/>
  <c r="A427" i="7"/>
  <c r="A436" i="7"/>
  <c r="A444" i="7"/>
  <c r="A450" i="7"/>
  <c r="A425" i="7"/>
  <c r="A426" i="7"/>
  <c r="A451" i="7"/>
  <c r="A434" i="7"/>
  <c r="A449" i="7"/>
  <c r="A429" i="7"/>
  <c r="A431" i="7"/>
  <c r="A445" i="7"/>
  <c r="A439" i="7"/>
  <c r="A433" i="7"/>
  <c r="A454" i="7"/>
  <c r="A453" i="7"/>
  <c r="A446" i="7"/>
  <c r="A437" i="7"/>
  <c r="A448" i="7"/>
  <c r="A428" i="7"/>
  <c r="A441" i="7"/>
  <c r="A452" i="7"/>
  <c r="A443" i="7"/>
  <c r="A442" i="7"/>
  <c r="A455" i="7"/>
  <c r="A447" i="7"/>
  <c r="A438" i="7"/>
  <c r="A435" i="7"/>
  <c r="A945" i="7"/>
  <c r="A944" i="7"/>
  <c r="A943" i="7"/>
  <c r="A948" i="7"/>
  <c r="A947" i="7"/>
  <c r="A936" i="7"/>
  <c r="A937" i="7"/>
  <c r="A941" i="7"/>
  <c r="A942" i="7"/>
  <c r="A950" i="7"/>
  <c r="A940" i="7"/>
  <c r="A939" i="7"/>
  <c r="A951" i="7"/>
  <c r="A952" i="7"/>
  <c r="A946" i="7"/>
  <c r="A935" i="7"/>
  <c r="A949" i="7"/>
  <c r="A938" i="7"/>
  <c r="A927" i="7"/>
  <c r="A930" i="7"/>
  <c r="A925" i="7"/>
  <c r="A921" i="7"/>
  <c r="A933" i="7"/>
  <c r="A934" i="7"/>
  <c r="A920" i="7"/>
  <c r="A932" i="7"/>
  <c r="A924" i="7"/>
  <c r="A922" i="7"/>
  <c r="A923" i="7"/>
  <c r="A926" i="7"/>
  <c r="A929" i="7"/>
  <c r="A928" i="7"/>
  <c r="A931" i="7"/>
  <c r="A919" i="7"/>
  <c r="A842" i="7"/>
  <c r="A850" i="7"/>
  <c r="A852" i="7"/>
  <c r="A841" i="7"/>
  <c r="A843" i="7"/>
  <c r="A836" i="7"/>
  <c r="A849" i="7"/>
  <c r="A845" i="7"/>
  <c r="A853" i="7"/>
  <c r="A839" i="7"/>
  <c r="A837" i="7"/>
  <c r="A848" i="7"/>
  <c r="A851" i="7"/>
  <c r="A838" i="7"/>
  <c r="A846" i="7"/>
  <c r="A847" i="7"/>
  <c r="A840" i="7"/>
  <c r="A844" i="7"/>
  <c r="A1092" i="7"/>
  <c r="A1083" i="7"/>
  <c r="A1096" i="7"/>
  <c r="A1082" i="7"/>
  <c r="A1080" i="7"/>
  <c r="A1097" i="7"/>
  <c r="A1086" i="7"/>
  <c r="A1081" i="7"/>
  <c r="A1087" i="7"/>
  <c r="A1084" i="7"/>
  <c r="A1089" i="7"/>
  <c r="A1090" i="7"/>
  <c r="A1094" i="7"/>
  <c r="A1091" i="7"/>
  <c r="A1085" i="7"/>
  <c r="A1093" i="7"/>
  <c r="A1098" i="7"/>
  <c r="A1088" i="7"/>
  <c r="A1095" i="7"/>
  <c r="A213" i="7"/>
  <c r="A211" i="7"/>
  <c r="A217" i="7"/>
  <c r="A197" i="7"/>
  <c r="A216" i="7"/>
  <c r="A193" i="7"/>
  <c r="A205" i="7"/>
  <c r="A201" i="7"/>
  <c r="A206" i="7"/>
  <c r="A212" i="7"/>
  <c r="A199" i="7"/>
  <c r="A202" i="7"/>
  <c r="A194" i="7"/>
  <c r="A215" i="7"/>
  <c r="A208" i="7"/>
  <c r="A196" i="7"/>
  <c r="A207" i="7"/>
  <c r="A204" i="7"/>
  <c r="A209" i="7"/>
  <c r="A200" i="7"/>
  <c r="A210" i="7"/>
  <c r="A198" i="7"/>
  <c r="A214" i="7"/>
  <c r="A203" i="7"/>
  <c r="A195" i="7"/>
  <c r="A1099" i="7"/>
  <c r="A1100" i="7"/>
  <c r="A1101" i="7"/>
  <c r="A1102" i="7"/>
  <c r="A1103" i="7"/>
  <c r="A1104" i="7"/>
  <c r="A1105" i="7"/>
  <c r="A1106" i="7"/>
  <c r="A1107" i="7"/>
  <c r="A1108" i="7"/>
  <c r="A1109" i="7"/>
  <c r="A1110" i="7"/>
  <c r="A1111" i="7"/>
  <c r="A1112" i="7"/>
  <c r="A1113" i="7"/>
  <c r="A1114" i="7"/>
  <c r="A1115" i="7"/>
  <c r="A1116" i="7"/>
  <c r="A1117" i="7"/>
  <c r="A1118" i="7"/>
  <c r="A1119" i="7"/>
  <c r="A1120" i="7"/>
  <c r="A1121" i="7"/>
  <c r="A1122" i="7"/>
  <c r="A1123" i="7"/>
  <c r="A1124" i="7"/>
  <c r="A1125" i="7"/>
  <c r="A1126" i="7"/>
  <c r="A1127" i="7"/>
  <c r="A1128" i="7"/>
  <c r="A1129" i="7"/>
  <c r="A1130" i="7"/>
  <c r="A1131" i="7"/>
  <c r="A1132" i="7"/>
  <c r="A1133" i="7"/>
  <c r="A1134" i="7"/>
  <c r="A1135" i="7"/>
  <c r="A1136" i="7"/>
  <c r="A1137" i="7"/>
  <c r="A1138" i="7"/>
  <c r="A1139" i="7"/>
  <c r="A1140" i="7"/>
  <c r="A1141" i="7"/>
  <c r="A1142" i="7"/>
  <c r="A1143" i="7"/>
  <c r="A1144" i="7"/>
  <c r="A1145" i="7"/>
  <c r="A1146" i="7"/>
  <c r="A1147" i="7"/>
  <c r="A1148" i="7"/>
  <c r="A1149" i="7"/>
  <c r="A1150" i="7"/>
  <c r="A1151" i="7"/>
  <c r="A1152" i="7"/>
  <c r="A1153" i="7"/>
  <c r="A1154" i="7"/>
  <c r="A1155" i="7"/>
  <c r="A1156" i="7"/>
  <c r="A1157" i="7"/>
  <c r="A1158" i="7"/>
  <c r="A1159" i="7"/>
  <c r="A1160" i="7"/>
  <c r="A1161" i="7"/>
  <c r="A1162" i="7"/>
  <c r="A1163" i="7"/>
  <c r="A1164" i="7"/>
  <c r="A1165" i="7"/>
  <c r="A1166" i="7"/>
  <c r="A1167" i="7"/>
  <c r="A1168" i="7"/>
  <c r="A1169" i="7"/>
  <c r="A1170" i="7"/>
  <c r="A1171" i="7"/>
  <c r="A1172" i="7"/>
  <c r="A1173" i="7"/>
  <c r="A1174" i="7"/>
  <c r="A1175" i="7"/>
  <c r="A1176" i="7"/>
  <c r="A1177" i="7"/>
  <c r="A1178" i="7"/>
  <c r="A1179" i="7"/>
  <c r="A1180" i="7"/>
  <c r="A1181" i="7"/>
  <c r="A1182" i="7"/>
  <c r="A1183" i="7"/>
  <c r="A1184" i="7"/>
  <c r="A1185" i="7"/>
  <c r="A1186" i="7"/>
  <c r="A1187" i="7"/>
  <c r="A1188" i="7"/>
  <c r="A1189" i="7"/>
  <c r="A1190" i="7"/>
  <c r="A1191" i="7"/>
  <c r="A1192" i="7"/>
  <c r="A1193" i="7"/>
  <c r="A1194" i="7"/>
  <c r="A1195" i="7"/>
  <c r="A1196" i="7"/>
  <c r="A1197" i="7"/>
  <c r="A1198" i="7"/>
  <c r="A1199" i="7"/>
  <c r="A1200" i="7"/>
  <c r="A1201" i="7"/>
  <c r="A1202" i="7"/>
  <c r="A1203" i="7"/>
  <c r="A1204" i="7"/>
  <c r="A1205" i="7"/>
  <c r="A1206" i="7"/>
  <c r="A1207" i="7"/>
  <c r="A1208" i="7"/>
  <c r="A1209" i="7"/>
  <c r="A1210" i="7"/>
  <c r="A1211" i="7"/>
  <c r="A1212" i="7"/>
  <c r="A1213" i="7"/>
  <c r="A1214" i="7"/>
  <c r="A1215" i="7"/>
  <c r="A1216" i="7"/>
  <c r="A1217" i="7"/>
  <c r="A1218" i="7"/>
  <c r="A1219" i="7"/>
  <c r="A1220" i="7"/>
  <c r="A1221" i="7"/>
  <c r="A1222" i="7"/>
  <c r="A1223" i="7"/>
  <c r="A1224" i="7"/>
  <c r="A1225" i="7"/>
  <c r="A1226" i="7"/>
  <c r="A1227" i="7"/>
  <c r="A1228" i="7"/>
  <c r="A1229" i="7"/>
  <c r="A1230" i="7"/>
  <c r="A1231" i="7"/>
  <c r="A1232" i="7"/>
  <c r="A1233" i="7"/>
  <c r="A1234" i="7"/>
  <c r="A1235" i="7"/>
  <c r="A1236" i="7"/>
  <c r="A1237" i="7"/>
  <c r="A1238" i="7"/>
  <c r="A1239" i="7"/>
  <c r="A1240" i="7"/>
  <c r="A1241" i="7"/>
  <c r="A1242" i="7"/>
  <c r="A1243" i="7"/>
  <c r="A1244" i="7"/>
  <c r="A1245" i="7"/>
  <c r="A1246" i="7"/>
  <c r="A1247" i="7"/>
  <c r="A1248" i="7"/>
  <c r="A1249" i="7"/>
  <c r="A1250" i="7"/>
  <c r="A1251" i="7"/>
  <c r="A1252" i="7"/>
  <c r="A1253" i="7"/>
  <c r="A1254" i="7"/>
  <c r="A1255" i="7"/>
  <c r="A1256" i="7"/>
  <c r="A1257" i="7"/>
  <c r="A1258" i="7"/>
  <c r="A1259" i="7"/>
  <c r="A1260" i="7"/>
  <c r="A1261" i="7"/>
  <c r="A1262" i="7"/>
  <c r="A1263" i="7"/>
  <c r="A1264" i="7"/>
  <c r="A1265" i="7"/>
  <c r="A1266" i="7"/>
  <c r="A1267" i="7"/>
  <c r="A1268" i="7"/>
  <c r="A1269" i="7"/>
  <c r="A1270" i="7"/>
  <c r="A1271" i="7"/>
  <c r="A1272" i="7"/>
  <c r="A1273" i="7"/>
  <c r="A1274" i="7"/>
  <c r="A1275" i="7"/>
  <c r="A1276" i="7"/>
  <c r="A1277" i="7"/>
  <c r="A1278" i="7"/>
  <c r="A1279" i="7"/>
  <c r="A1280" i="7"/>
  <c r="A1281" i="7"/>
  <c r="A1282" i="7"/>
  <c r="A1283" i="7"/>
  <c r="A1284" i="7"/>
  <c r="A1285" i="7"/>
  <c r="A1286" i="7"/>
  <c r="A1287" i="7"/>
  <c r="A1288" i="7"/>
  <c r="A1289" i="7"/>
  <c r="A1290" i="7"/>
  <c r="A1291" i="7"/>
  <c r="A1292" i="7"/>
  <c r="A1293" i="7"/>
  <c r="A1294" i="7"/>
  <c r="A1295" i="7"/>
  <c r="A1296" i="7"/>
  <c r="A1297" i="7"/>
  <c r="A1298" i="7"/>
  <c r="A1299" i="7"/>
  <c r="A1300" i="7"/>
  <c r="A1301" i="7"/>
  <c r="A1302" i="7"/>
  <c r="A1303" i="7"/>
  <c r="A1304" i="7"/>
  <c r="A1305" i="7"/>
  <c r="A1306" i="7"/>
  <c r="A1307" i="7"/>
  <c r="A1308" i="7"/>
  <c r="A1309" i="7"/>
  <c r="A1310" i="7"/>
  <c r="A1311" i="7"/>
  <c r="A1312" i="7"/>
  <c r="A1313" i="7"/>
  <c r="A1314" i="7"/>
  <c r="A1315" i="7"/>
  <c r="A1316" i="7"/>
  <c r="A1317" i="7"/>
  <c r="A1318" i="7"/>
  <c r="A1319" i="7"/>
  <c r="A1320" i="7"/>
  <c r="A1321" i="7"/>
  <c r="A1322" i="7"/>
  <c r="A1323" i="7"/>
  <c r="A1324" i="7"/>
  <c r="A1325" i="7"/>
  <c r="A1326" i="7"/>
  <c r="A1327" i="7"/>
  <c r="A1328" i="7"/>
  <c r="A1329" i="7"/>
  <c r="A1330" i="7"/>
  <c r="A1331" i="7"/>
  <c r="A1332" i="7"/>
  <c r="A1333" i="7"/>
  <c r="A1334" i="7"/>
  <c r="A1335" i="7"/>
  <c r="A1336" i="7"/>
  <c r="A1337" i="7"/>
  <c r="A1338" i="7"/>
  <c r="A1339" i="7"/>
  <c r="A1340" i="7"/>
  <c r="A1341" i="7"/>
  <c r="A1342" i="7"/>
  <c r="A1343" i="7"/>
  <c r="A1344" i="7"/>
  <c r="A1345" i="7"/>
  <c r="A1346" i="7"/>
  <c r="A1347" i="7"/>
  <c r="A1348" i="7"/>
  <c r="A1349" i="7"/>
  <c r="A1350" i="7"/>
  <c r="A1351" i="7"/>
  <c r="A1352" i="7"/>
  <c r="A1353" i="7"/>
  <c r="A1354" i="7"/>
  <c r="A1355" i="7"/>
  <c r="A1356" i="7"/>
  <c r="A1357" i="7"/>
  <c r="A1358" i="7"/>
  <c r="A1359" i="7"/>
  <c r="A1360" i="7"/>
  <c r="A1361" i="7"/>
  <c r="A1362" i="7"/>
  <c r="A1363" i="7"/>
  <c r="A1364" i="7"/>
  <c r="A1365" i="7"/>
  <c r="A1366" i="7"/>
  <c r="A1367" i="7"/>
  <c r="A1368" i="7"/>
  <c r="A1369" i="7"/>
  <c r="A1370" i="7"/>
  <c r="A1371" i="7"/>
  <c r="A1372" i="7"/>
  <c r="A1373" i="7"/>
  <c r="A1374" i="7"/>
  <c r="A1375" i="7"/>
  <c r="A1376" i="7"/>
  <c r="A1377" i="7"/>
  <c r="A1378" i="7"/>
  <c r="A1379" i="7"/>
  <c r="A1380" i="7"/>
  <c r="A1381" i="7"/>
  <c r="A1382" i="7"/>
  <c r="A1383" i="7"/>
  <c r="A1384" i="7"/>
  <c r="A1385" i="7"/>
  <c r="A1386" i="7"/>
  <c r="A1387" i="7"/>
  <c r="A1388" i="7"/>
  <c r="A1389" i="7"/>
  <c r="A1390" i="7"/>
  <c r="A1391" i="7"/>
  <c r="A1392" i="7"/>
  <c r="A1393" i="7"/>
  <c r="A1394" i="7"/>
  <c r="A1395" i="7"/>
  <c r="A1396" i="7"/>
  <c r="A1397" i="7"/>
  <c r="A1398" i="7"/>
  <c r="A1399" i="7"/>
  <c r="A1400" i="7"/>
  <c r="A1401" i="7"/>
  <c r="A1402" i="7"/>
  <c r="A1403" i="7"/>
  <c r="A1404" i="7"/>
  <c r="A1405" i="7"/>
  <c r="A1406" i="7"/>
  <c r="A1407" i="7"/>
  <c r="A1408" i="7"/>
  <c r="A1409" i="7"/>
  <c r="A1410" i="7"/>
  <c r="A1411" i="7"/>
  <c r="A1412" i="7"/>
  <c r="A1413" i="7"/>
  <c r="A1414" i="7"/>
  <c r="A1415" i="7"/>
  <c r="A1416" i="7"/>
  <c r="A1417" i="7"/>
  <c r="A1418" i="7"/>
  <c r="A1419" i="7"/>
  <c r="A1420" i="7"/>
  <c r="A1421" i="7"/>
  <c r="A1422" i="7"/>
  <c r="A1423" i="7"/>
  <c r="A1424" i="7"/>
  <c r="A1425" i="7"/>
  <c r="A1426" i="7"/>
  <c r="A1427" i="7"/>
  <c r="A1428" i="7"/>
  <c r="A1429" i="7"/>
  <c r="A1430" i="7"/>
  <c r="A1431" i="7"/>
  <c r="A1432" i="7"/>
  <c r="A1433" i="7"/>
  <c r="A1434" i="7"/>
  <c r="A1435" i="7"/>
  <c r="A1436" i="7"/>
  <c r="A1437" i="7"/>
  <c r="A1438" i="7"/>
  <c r="A1439" i="7"/>
  <c r="A1440" i="7"/>
  <c r="A1441" i="7"/>
  <c r="A1442" i="7"/>
  <c r="A1443" i="7"/>
  <c r="A1444" i="7"/>
  <c r="A1445" i="7"/>
  <c r="A1446" i="7"/>
  <c r="A1447" i="7"/>
  <c r="A1448" i="7"/>
  <c r="A1449" i="7"/>
  <c r="A1450" i="7"/>
  <c r="A1451" i="7"/>
  <c r="A1452" i="7"/>
  <c r="A1453" i="7"/>
  <c r="A1454" i="7"/>
  <c r="A1455" i="7"/>
  <c r="A1456" i="7"/>
  <c r="A1457" i="7"/>
  <c r="A1458" i="7"/>
  <c r="A1459" i="7"/>
  <c r="A1460" i="7"/>
  <c r="A1461" i="7"/>
  <c r="A1462" i="7"/>
  <c r="A1463" i="7"/>
  <c r="A1464" i="7"/>
  <c r="A1465" i="7"/>
  <c r="A1466" i="7"/>
  <c r="A1467" i="7"/>
  <c r="A1468" i="7"/>
  <c r="A1469" i="7"/>
  <c r="A1470" i="7"/>
  <c r="A1471" i="7"/>
  <c r="A1472" i="7"/>
  <c r="A1473" i="7"/>
  <c r="A1474" i="7"/>
  <c r="A1475" i="7"/>
  <c r="A1476" i="7"/>
  <c r="A1477" i="7"/>
  <c r="A1478" i="7"/>
  <c r="A1479" i="7"/>
  <c r="A1480" i="7"/>
  <c r="A1481" i="7"/>
  <c r="A1482" i="7"/>
  <c r="A1483" i="7"/>
  <c r="A1484" i="7"/>
  <c r="A1485" i="7"/>
  <c r="A1486" i="7"/>
  <c r="A1487" i="7"/>
  <c r="A1488" i="7"/>
  <c r="A1489" i="7"/>
  <c r="A1490" i="7"/>
  <c r="A1491" i="7"/>
  <c r="A1492" i="7"/>
  <c r="A1493" i="7"/>
  <c r="A1494" i="7"/>
  <c r="A1495" i="7"/>
  <c r="A1496" i="7"/>
  <c r="A1497" i="7"/>
  <c r="A1498" i="7"/>
  <c r="A1499" i="7"/>
  <c r="A1500" i="7"/>
  <c r="A1501" i="7"/>
  <c r="A1502" i="7"/>
  <c r="A1503" i="7"/>
  <c r="A1504" i="7"/>
  <c r="A1505" i="7"/>
  <c r="A1506" i="7"/>
  <c r="A1507" i="7"/>
  <c r="A1508" i="7"/>
  <c r="A1509" i="7"/>
  <c r="A1510" i="7"/>
  <c r="A1511" i="7"/>
  <c r="A1512" i="7"/>
  <c r="A1513" i="7"/>
  <c r="A1514" i="7"/>
  <c r="A1515" i="7"/>
  <c r="A1516" i="7"/>
  <c r="A1517" i="7"/>
  <c r="A1518" i="7"/>
  <c r="A1519" i="7"/>
  <c r="A1520" i="7"/>
  <c r="A1521" i="7"/>
  <c r="A1522" i="7"/>
  <c r="A1523" i="7"/>
  <c r="A1524" i="7"/>
  <c r="A1525" i="7"/>
  <c r="A1526" i="7"/>
  <c r="A1527" i="7"/>
  <c r="A1528" i="7"/>
  <c r="A1529" i="7"/>
  <c r="A1530" i="7"/>
  <c r="A1531" i="7"/>
  <c r="M2" i="5"/>
  <c r="O2" i="5" s="1"/>
  <c r="P2" i="5" s="1" a="1"/>
  <c r="P2" i="5" s="1"/>
  <c r="Q2" i="5" a="1"/>
  <c r="Q2" i="5" s="1"/>
  <c r="V2" i="5" a="1"/>
  <c r="V2" i="5" s="1"/>
  <c r="V3" i="5" a="1"/>
  <c r="V3" i="5" s="1"/>
  <c r="V4" i="5" a="1"/>
  <c r="V4" i="5" s="1"/>
  <c r="V5" i="5" a="1"/>
  <c r="V5" i="5"/>
  <c r="V6" i="5" a="1"/>
  <c r="V6" i="5" s="1"/>
  <c r="V7" i="5" a="1"/>
  <c r="V7" i="5" s="1"/>
  <c r="V8" i="5" a="1"/>
  <c r="V8" i="5" s="1"/>
  <c r="V9" i="5" a="1"/>
  <c r="V9" i="5" s="1"/>
  <c r="V10" i="5" a="1"/>
  <c r="V10" i="5" s="1"/>
  <c r="V11" i="5" a="1"/>
  <c r="V11" i="5" s="1"/>
  <c r="V12" i="5" a="1"/>
  <c r="V12" i="5" s="1"/>
  <c r="V13" i="5" a="1"/>
  <c r="V13" i="5" s="1"/>
  <c r="V14" i="5" a="1"/>
  <c r="V14" i="5" s="1"/>
  <c r="V15" i="5" a="1"/>
  <c r="V15" i="5" s="1"/>
  <c r="V16" i="5" a="1"/>
  <c r="V16" i="5" s="1"/>
  <c r="V17" i="5" a="1"/>
  <c r="V17" i="5" s="1"/>
  <c r="V18" i="5" a="1"/>
  <c r="V18" i="5" s="1"/>
  <c r="V19" i="5" a="1"/>
  <c r="V19" i="5" s="1"/>
  <c r="V20" i="5" a="1"/>
  <c r="V20" i="5"/>
  <c r="V21" i="5" a="1"/>
  <c r="V21" i="5" s="1"/>
  <c r="V22" i="5" a="1"/>
  <c r="V22" i="5" s="1"/>
  <c r="V23" i="5" a="1"/>
  <c r="V23" i="5" s="1"/>
  <c r="V24" i="5" a="1"/>
  <c r="V24" i="5" s="1"/>
  <c r="V25" i="5" a="1"/>
  <c r="V25" i="5" s="1"/>
  <c r="V26" i="5" a="1"/>
  <c r="V26" i="5" s="1"/>
  <c r="V27" i="5" a="1"/>
  <c r="V27" i="5" s="1"/>
  <c r="V28" i="5" a="1"/>
  <c r="V28" i="5" s="1"/>
  <c r="V29" i="5" a="1"/>
  <c r="V29" i="5" s="1"/>
  <c r="V30" i="5" a="1"/>
  <c r="V30" i="5" s="1"/>
  <c r="V31" i="5" a="1"/>
  <c r="V31" i="5" s="1"/>
  <c r="V32" i="5" a="1"/>
  <c r="V32" i="5" s="1"/>
  <c r="V33" i="5" a="1"/>
  <c r="V33" i="5" s="1"/>
  <c r="V34" i="5" a="1"/>
  <c r="V34" i="5" s="1"/>
  <c r="V35" i="5" a="1"/>
  <c r="V35" i="5" s="1"/>
  <c r="V36" i="5" a="1"/>
  <c r="V36" i="5" s="1"/>
  <c r="V37" i="5" a="1"/>
  <c r="V37" i="5" s="1"/>
  <c r="V38" i="5" a="1"/>
  <c r="V38" i="5" s="1"/>
  <c r="V39" i="5" a="1"/>
  <c r="V39" i="5" s="1"/>
  <c r="V40" i="5" a="1"/>
  <c r="V40" i="5" s="1"/>
  <c r="V41" i="5" a="1"/>
  <c r="V41" i="5" s="1"/>
  <c r="V42" i="5" a="1"/>
  <c r="V42" i="5" s="1"/>
  <c r="V43" i="5" a="1"/>
  <c r="V43" i="5" s="1"/>
  <c r="V44" i="5" a="1"/>
  <c r="V44" i="5" s="1"/>
  <c r="V45" i="5" a="1"/>
  <c r="V45" i="5"/>
  <c r="V46" i="5" a="1"/>
  <c r="V46" i="5" s="1"/>
  <c r="V47" i="5" a="1"/>
  <c r="V47" i="5" s="1"/>
  <c r="V48" i="5" a="1"/>
  <c r="V48" i="5" s="1"/>
  <c r="V49" i="5" a="1"/>
  <c r="V49" i="5" s="1"/>
  <c r="V50" i="5" a="1"/>
  <c r="V50" i="5" s="1"/>
  <c r="V51" i="5" a="1"/>
  <c r="V51" i="5" s="1"/>
  <c r="V52" i="5" a="1"/>
  <c r="V52" i="5" s="1"/>
  <c r="V53" i="5" a="1"/>
  <c r="V53" i="5" s="1"/>
  <c r="V54" i="5" a="1"/>
  <c r="V54" i="5"/>
  <c r="V55" i="5" a="1"/>
  <c r="V55" i="5"/>
  <c r="V56" i="5" a="1"/>
  <c r="V56" i="5"/>
  <c r="V57" i="5" a="1"/>
  <c r="V57" i="5" s="1"/>
  <c r="V58" i="5" a="1"/>
  <c r="V58" i="5" s="1"/>
  <c r="V59" i="5" a="1"/>
  <c r="V59" i="5"/>
  <c r="V60" i="5" a="1"/>
  <c r="V60" i="5"/>
  <c r="V61" i="5" a="1"/>
  <c r="V61" i="5"/>
  <c r="V62" i="5" a="1"/>
  <c r="V62" i="5" s="1"/>
  <c r="V63" i="5" a="1"/>
  <c r="V63" i="5" s="1"/>
  <c r="V64" i="5" a="1"/>
  <c r="V64" i="5"/>
  <c r="V65" i="5" a="1"/>
  <c r="V65" i="5" s="1"/>
  <c r="V66" i="5" a="1"/>
  <c r="V66" i="5" s="1"/>
  <c r="V67" i="5" a="1"/>
  <c r="V67" i="5" s="1"/>
  <c r="V68" i="5" a="1"/>
  <c r="V68" i="5" s="1"/>
  <c r="V69" i="5" a="1"/>
  <c r="V69" i="5" s="1"/>
  <c r="V70" i="5" a="1"/>
  <c r="V70" i="5"/>
  <c r="V71" i="5" a="1"/>
  <c r="V71" i="5"/>
  <c r="V72" i="5" a="1"/>
  <c r="V72" i="5"/>
  <c r="V73" i="5" a="1"/>
  <c r="V73" i="5"/>
  <c r="V74" i="5" a="1"/>
  <c r="V74" i="5"/>
  <c r="V75" i="5" a="1"/>
  <c r="V75" i="5"/>
  <c r="V76" i="5" a="1"/>
  <c r="V76" i="5"/>
  <c r="V77" i="5" a="1"/>
  <c r="V77" i="5"/>
  <c r="V78" i="5" a="1"/>
  <c r="V78" i="5"/>
  <c r="V79" i="5" a="1"/>
  <c r="V79" i="5"/>
  <c r="V80" i="5" a="1"/>
  <c r="V80" i="5"/>
  <c r="V81" i="5" a="1"/>
  <c r="V81" i="5" s="1"/>
  <c r="V82" i="5" a="1"/>
  <c r="V82" i="5" s="1"/>
  <c r="V83" i="5" a="1"/>
  <c r="V83" i="5"/>
  <c r="V84" i="5" a="1"/>
  <c r="V84" i="5" s="1"/>
  <c r="V85" i="5" a="1"/>
  <c r="V85" i="5" s="1"/>
  <c r="V86" i="5" a="1"/>
  <c r="V86" i="5"/>
  <c r="V87" i="5" a="1"/>
  <c r="V87" i="5" s="1"/>
  <c r="V88" i="5" a="1"/>
  <c r="V88" i="5" s="1"/>
  <c r="V89" i="5" a="1"/>
  <c r="V89" i="5" s="1"/>
  <c r="V90" i="5" a="1"/>
  <c r="V90" i="5" s="1"/>
  <c r="V91" i="5" a="1"/>
  <c r="V91" i="5" s="1"/>
  <c r="V92" i="5" a="1"/>
  <c r="V92" i="5"/>
  <c r="V93" i="5" a="1"/>
  <c r="V93" i="5" s="1"/>
  <c r="V94" i="5" a="1"/>
  <c r="V94" i="5" s="1"/>
  <c r="V95" i="5" a="1"/>
  <c r="V95" i="5"/>
  <c r="V96" i="5" a="1"/>
  <c r="V96" i="5" s="1"/>
  <c r="V97" i="5" a="1"/>
  <c r="V97" i="5" s="1"/>
  <c r="V98" i="5" a="1"/>
  <c r="V98" i="5"/>
  <c r="V99" i="5" a="1"/>
  <c r="V99" i="5" s="1"/>
  <c r="V100" i="5" a="1"/>
  <c r="V100" i="5" s="1"/>
  <c r="V101" i="5" a="1"/>
  <c r="V101" i="5"/>
  <c r="V102" i="5" a="1"/>
  <c r="V102" i="5" s="1"/>
  <c r="V103" i="5" a="1"/>
  <c r="V103" i="5" s="1"/>
  <c r="V104" i="5" a="1"/>
  <c r="V104" i="5" s="1"/>
  <c r="V105" i="5" a="1"/>
  <c r="V105" i="5" s="1"/>
  <c r="V106" i="5" a="1"/>
  <c r="V106" i="5"/>
  <c r="V107" i="5" a="1"/>
  <c r="V107" i="5" s="1"/>
  <c r="V108" i="5" a="1"/>
  <c r="V108" i="5" s="1"/>
  <c r="V109" i="5" a="1"/>
  <c r="V109" i="5" s="1"/>
  <c r="V110" i="5" a="1"/>
  <c r="V110" i="5" s="1"/>
  <c r="V111" i="5" a="1"/>
  <c r="V111" i="5" s="1"/>
  <c r="V112" i="5" a="1"/>
  <c r="V112" i="5" s="1"/>
  <c r="V113" i="5" a="1"/>
  <c r="V113" i="5" s="1"/>
  <c r="V114" i="5" a="1"/>
  <c r="V114" i="5" s="1"/>
  <c r="V115" i="5" a="1"/>
  <c r="V115" i="5" s="1"/>
  <c r="V116" i="5" a="1"/>
  <c r="V116" i="5" s="1"/>
  <c r="V117" i="5" a="1"/>
  <c r="V117" i="5" s="1"/>
  <c r="V118" i="5" a="1"/>
  <c r="V118" i="5" s="1"/>
  <c r="V119" i="5" a="1"/>
  <c r="V119" i="5" s="1"/>
  <c r="V120" i="5" a="1"/>
  <c r="V120" i="5" s="1"/>
  <c r="V121" i="5" a="1"/>
  <c r="V121" i="5" s="1"/>
  <c r="V122" i="5" a="1"/>
  <c r="V122" i="5" s="1"/>
  <c r="V123" i="5" a="1"/>
  <c r="V123" i="5" s="1"/>
  <c r="V124" i="5" a="1"/>
  <c r="V124" i="5" s="1"/>
  <c r="V125" i="5" a="1"/>
  <c r="V125" i="5" s="1"/>
  <c r="V126" i="5" a="1"/>
  <c r="V126" i="5" s="1"/>
  <c r="V127" i="5" a="1"/>
  <c r="V127" i="5" s="1"/>
  <c r="V128" i="5" a="1"/>
  <c r="V128" i="5" s="1"/>
  <c r="V129" i="5" a="1"/>
  <c r="V129" i="5" s="1"/>
  <c r="V130" i="5" a="1"/>
  <c r="V130" i="5" s="1"/>
  <c r="V131" i="5" a="1"/>
  <c r="V131" i="5" s="1"/>
  <c r="V132" i="5" a="1"/>
  <c r="V132" i="5" s="1"/>
  <c r="V133" i="5" a="1"/>
  <c r="V133" i="5" s="1"/>
  <c r="V134" i="5" a="1"/>
  <c r="V134" i="5" s="1"/>
  <c r="V135" i="5" a="1"/>
  <c r="V135" i="5" s="1"/>
  <c r="V136" i="5" a="1"/>
  <c r="V136" i="5" s="1"/>
  <c r="V137" i="5" a="1"/>
  <c r="V137" i="5" s="1"/>
  <c r="V138" i="5" a="1"/>
  <c r="V138" i="5" s="1"/>
  <c r="V139" i="5" a="1"/>
  <c r="V139" i="5"/>
  <c r="V140" i="5" a="1"/>
  <c r="V140" i="5"/>
  <c r="V141" i="5" a="1"/>
  <c r="V141" i="5"/>
  <c r="V142" i="5" a="1"/>
  <c r="V142" i="5"/>
  <c r="V143" i="5" a="1"/>
  <c r="V143" i="5"/>
  <c r="V144" i="5" a="1"/>
  <c r="V144" i="5"/>
  <c r="V145" i="5" a="1"/>
  <c r="V145" i="5" s="1"/>
  <c r="V146" i="5" a="1"/>
  <c r="V146" i="5" s="1"/>
  <c r="V147" i="5" a="1"/>
  <c r="V147" i="5" s="1"/>
  <c r="V148" i="5" a="1"/>
  <c r="V148" i="5" s="1"/>
  <c r="V149" i="5" a="1"/>
  <c r="V149" i="5"/>
  <c r="V150" i="5" a="1"/>
  <c r="V150" i="5" s="1"/>
  <c r="V151" i="5" a="1"/>
  <c r="V151" i="5" s="1"/>
  <c r="V152" i="5" a="1"/>
  <c r="V152" i="5" s="1"/>
  <c r="V153" i="5" a="1"/>
  <c r="V153" i="5" s="1"/>
  <c r="V154" i="5" a="1"/>
  <c r="V154" i="5" s="1"/>
  <c r="V155" i="5" a="1"/>
  <c r="V155" i="5" s="1"/>
  <c r="V156" i="5" a="1"/>
  <c r="V156" i="5" s="1"/>
  <c r="V157" i="5" a="1"/>
  <c r="V157" i="5" s="1"/>
  <c r="V158" i="5" a="1"/>
  <c r="V158" i="5" s="1"/>
  <c r="V159" i="5" a="1"/>
  <c r="V159" i="5" s="1"/>
  <c r="V160" i="5" a="1"/>
  <c r="V160" i="5" s="1"/>
  <c r="V161" i="5" a="1"/>
  <c r="V161" i="5" s="1"/>
  <c r="V162" i="5" a="1"/>
  <c r="V162" i="5" s="1"/>
  <c r="V163" i="5" a="1"/>
  <c r="V163" i="5" s="1"/>
  <c r="V164" i="5" a="1"/>
  <c r="V164" i="5" s="1"/>
  <c r="V165" i="5" a="1"/>
  <c r="V165" i="5" s="1"/>
  <c r="V166" i="5" a="1"/>
  <c r="V166" i="5" s="1"/>
  <c r="V167" i="5" a="1"/>
  <c r="V167" i="5" s="1"/>
  <c r="V168" i="5" a="1"/>
  <c r="V168" i="5" s="1"/>
  <c r="V169" i="5" a="1"/>
  <c r="V169" i="5" s="1"/>
  <c r="V170" i="5" a="1"/>
  <c r="V170" i="5" s="1"/>
  <c r="V171" i="5" a="1"/>
  <c r="V171" i="5" s="1"/>
  <c r="V172" i="5" a="1"/>
  <c r="V172" i="5" s="1"/>
  <c r="V173" i="5" a="1"/>
  <c r="V173" i="5" s="1"/>
  <c r="V174" i="5" a="1"/>
  <c r="V174" i="5" s="1"/>
  <c r="V175" i="5" a="1"/>
  <c r="V175" i="5" s="1"/>
  <c r="V176" i="5" a="1"/>
  <c r="V176" i="5" s="1"/>
  <c r="V177" i="5" a="1"/>
  <c r="V177" i="5" s="1"/>
  <c r="V178" i="5" a="1"/>
  <c r="V178" i="5" s="1"/>
  <c r="V179" i="5" a="1"/>
  <c r="V179" i="5" s="1"/>
  <c r="V180" i="5" a="1"/>
  <c r="V180" i="5" s="1"/>
  <c r="V181" i="5" a="1"/>
  <c r="V181" i="5" s="1"/>
  <c r="V182" i="5" a="1"/>
  <c r="V182" i="5" s="1"/>
  <c r="V183" i="5" a="1"/>
  <c r="V183" i="5" s="1"/>
  <c r="V184" i="5" a="1"/>
  <c r="V184" i="5" s="1"/>
  <c r="V185" i="5" a="1"/>
  <c r="V185" i="5" s="1"/>
  <c r="V186" i="5" a="1"/>
  <c r="V186" i="5" s="1"/>
  <c r="V187" i="5" a="1"/>
  <c r="V187" i="5" s="1"/>
  <c r="V188" i="5" a="1"/>
  <c r="V188" i="5" s="1"/>
  <c r="V189" i="5" a="1"/>
  <c r="V189" i="5" s="1"/>
  <c r="V190" i="5" a="1"/>
  <c r="V190" i="5" s="1"/>
  <c r="V191" i="5" a="1"/>
  <c r="V191" i="5" s="1"/>
  <c r="V192" i="5" a="1"/>
  <c r="V192" i="5" s="1"/>
  <c r="V193" i="5" a="1"/>
  <c r="V193" i="5" s="1"/>
  <c r="V194" i="5" a="1"/>
  <c r="V194" i="5" s="1"/>
  <c r="V195" i="5" a="1"/>
  <c r="V195" i="5" s="1"/>
  <c r="V196" i="5" a="1"/>
  <c r="V196" i="5" s="1"/>
  <c r="V197" i="5" a="1"/>
  <c r="V197" i="5" s="1"/>
  <c r="V198" i="5" a="1"/>
  <c r="V198" i="5" s="1"/>
  <c r="V199" i="5" a="1"/>
  <c r="V199" i="5" s="1"/>
  <c r="V200" i="5" a="1"/>
  <c r="V200" i="5" s="1"/>
  <c r="V201" i="5" a="1"/>
  <c r="V201" i="5" s="1"/>
  <c r="V202" i="5" a="1"/>
  <c r="V202" i="5" s="1"/>
  <c r="V203" i="5" a="1"/>
  <c r="V203" i="5" s="1"/>
  <c r="V204" i="5" a="1"/>
  <c r="V204" i="5" s="1"/>
  <c r="V205" i="5" a="1"/>
  <c r="V205" i="5" s="1"/>
  <c r="V206" i="5" a="1"/>
  <c r="V206" i="5" s="1"/>
  <c r="V207" i="5" a="1"/>
  <c r="V207" i="5"/>
  <c r="V208" i="5" a="1"/>
  <c r="V208" i="5"/>
  <c r="V209" i="5" a="1"/>
  <c r="V209" i="5"/>
  <c r="V210" i="5" a="1"/>
  <c r="V210" i="5"/>
  <c r="V211" i="5" a="1"/>
  <c r="V211" i="5"/>
  <c r="V212" i="5" a="1"/>
  <c r="V212" i="5"/>
  <c r="V213" i="5" a="1"/>
  <c r="V213" i="5"/>
  <c r="V214" i="5" a="1"/>
  <c r="V214" i="5"/>
  <c r="V215" i="5" a="1"/>
  <c r="V215" i="5"/>
  <c r="V216" i="5" a="1"/>
  <c r="V216" i="5"/>
  <c r="V217" i="5" a="1"/>
  <c r="V217" i="5"/>
  <c r="V218" i="5" a="1"/>
  <c r="V218" i="5"/>
  <c r="V219" i="5" a="1"/>
  <c r="V219" i="5"/>
  <c r="V220" i="5" a="1"/>
  <c r="V220" i="5"/>
  <c r="V221" i="5" a="1"/>
  <c r="V221" i="5"/>
  <c r="V222" i="5" a="1"/>
  <c r="V222" i="5"/>
  <c r="V223" i="5" a="1"/>
  <c r="V223" i="5"/>
  <c r="V224" i="5" a="1"/>
  <c r="V224" i="5"/>
  <c r="V225" i="5" a="1"/>
  <c r="V225" i="5"/>
  <c r="V226" i="5" a="1"/>
  <c r="V226" i="5"/>
  <c r="V227" i="5" a="1"/>
  <c r="V227" i="5"/>
  <c r="V228" i="5" a="1"/>
  <c r="V228" i="5"/>
  <c r="V229" i="5" a="1"/>
  <c r="V229" i="5"/>
  <c r="V230" i="5" a="1"/>
  <c r="V230" i="5"/>
  <c r="V231" i="5" a="1"/>
  <c r="V231" i="5"/>
  <c r="V232" i="5" a="1"/>
  <c r="V232" i="5"/>
  <c r="V233" i="5" a="1"/>
  <c r="V233" i="5"/>
  <c r="V234" i="5" a="1"/>
  <c r="V234" i="5"/>
  <c r="V235" i="5" a="1"/>
  <c r="V235" i="5"/>
  <c r="V236" i="5" a="1"/>
  <c r="V236" i="5"/>
  <c r="V237" i="5" a="1"/>
  <c r="V237" i="5"/>
  <c r="V238" i="5" a="1"/>
  <c r="V238" i="5"/>
  <c r="V239" i="5" a="1"/>
  <c r="V239" i="5"/>
  <c r="V240" i="5" a="1"/>
  <c r="V240" i="5"/>
  <c r="V241" i="5" a="1"/>
  <c r="V241" i="5"/>
  <c r="V242" i="5" a="1"/>
  <c r="V242" i="5"/>
  <c r="V243" i="5" a="1"/>
  <c r="V243" i="5"/>
  <c r="V244" i="5" a="1"/>
  <c r="V244" i="5"/>
  <c r="V245" i="5" a="1"/>
  <c r="V245" i="5"/>
  <c r="V246" i="5" a="1"/>
  <c r="V246" i="5"/>
  <c r="V247" i="5" a="1"/>
  <c r="V247" i="5"/>
  <c r="V248" i="5" a="1"/>
  <c r="V248" i="5"/>
  <c r="V249" i="5" a="1"/>
  <c r="V249" i="5"/>
  <c r="V250" i="5" a="1"/>
  <c r="V250" i="5"/>
  <c r="V251" i="5" a="1"/>
  <c r="V251" i="5"/>
  <c r="V252" i="5" a="1"/>
  <c r="V252" i="5"/>
  <c r="V253" i="5" a="1"/>
  <c r="V253" i="5"/>
  <c r="V254" i="5" a="1"/>
  <c r="V254" i="5"/>
  <c r="V255" i="5" a="1"/>
  <c r="V255" i="5"/>
  <c r="V256" i="5" a="1"/>
  <c r="V256" i="5"/>
  <c r="V257" i="5" a="1"/>
  <c r="V257" i="5"/>
  <c r="V258" i="5" a="1"/>
  <c r="V258" i="5"/>
  <c r="V259" i="5" a="1"/>
  <c r="V259" i="5"/>
  <c r="V260" i="5" a="1"/>
  <c r="V260" i="5"/>
  <c r="V261" i="5" a="1"/>
  <c r="V261" i="5"/>
  <c r="V262" i="5" a="1"/>
  <c r="V262" i="5"/>
  <c r="V263" i="5" a="1"/>
  <c r="V263" i="5"/>
  <c r="V264" i="5" a="1"/>
  <c r="V264" i="5"/>
  <c r="V265" i="5" a="1"/>
  <c r="V265" i="5"/>
  <c r="V266" i="5" a="1"/>
  <c r="V266" i="5"/>
  <c r="V267" i="5" a="1"/>
  <c r="V267" i="5"/>
  <c r="V268" i="5" a="1"/>
  <c r="V268" i="5"/>
  <c r="V269" i="5" a="1"/>
  <c r="V269" i="5"/>
  <c r="V270" i="5" a="1"/>
  <c r="V270" i="5"/>
  <c r="V271" i="5" a="1"/>
  <c r="V271" i="5"/>
  <c r="V272" i="5" a="1"/>
  <c r="V272" i="5"/>
  <c r="V273" i="5" a="1"/>
  <c r="V273" i="5"/>
  <c r="V274" i="5" a="1"/>
  <c r="V274" i="5" s="1"/>
  <c r="V275" i="5" a="1"/>
  <c r="V275" i="5"/>
  <c r="V276" i="5" a="1"/>
  <c r="V276" i="5"/>
  <c r="V277" i="5" a="1"/>
  <c r="V277" i="5"/>
  <c r="V278" i="5" a="1"/>
  <c r="V278" i="5"/>
  <c r="V279" i="5" a="1"/>
  <c r="V279" i="5"/>
  <c r="V280" i="5" a="1"/>
  <c r="V280" i="5"/>
  <c r="V281" i="5" a="1"/>
  <c r="V281" i="5"/>
  <c r="V282" i="5" a="1"/>
  <c r="V282" i="5"/>
  <c r="V283" i="5" a="1"/>
  <c r="V283" i="5"/>
  <c r="V284" i="5" a="1"/>
  <c r="V284" i="5"/>
  <c r="V285" i="5" a="1"/>
  <c r="V285" i="5" s="1"/>
  <c r="V286" i="5" a="1"/>
  <c r="V286" i="5" s="1"/>
  <c r="V287" i="5" a="1"/>
  <c r="V287" i="5" s="1"/>
  <c r="V288" i="5" a="1"/>
  <c r="V288" i="5" s="1"/>
  <c r="V289" i="5" a="1"/>
  <c r="V289" i="5" s="1"/>
  <c r="V290" i="5" a="1"/>
  <c r="V290" i="5" s="1"/>
  <c r="V291" i="5" a="1"/>
  <c r="V291" i="5" s="1"/>
  <c r="V292" i="5" a="1"/>
  <c r="V292" i="5" s="1"/>
  <c r="V293" i="5" a="1"/>
  <c r="V293" i="5" s="1"/>
  <c r="V294" i="5" a="1"/>
  <c r="V294" i="5" s="1"/>
  <c r="V295" i="5" a="1"/>
  <c r="V295" i="5" s="1"/>
  <c r="V296" i="5" a="1"/>
  <c r="V296" i="5"/>
  <c r="V297" i="5" a="1"/>
  <c r="V297" i="5" s="1"/>
  <c r="V298" i="5" a="1"/>
  <c r="V298" i="5" s="1"/>
  <c r="V299" i="5" a="1"/>
  <c r="V299" i="5"/>
  <c r="V300" i="5" a="1"/>
  <c r="V300" i="5" s="1"/>
  <c r="V301" i="5" a="1"/>
  <c r="V301" i="5" s="1"/>
  <c r="V302" i="5" a="1"/>
  <c r="V302" i="5" s="1"/>
  <c r="V303" i="5" a="1"/>
  <c r="V303" i="5" s="1"/>
  <c r="V304" i="5" a="1"/>
  <c r="V304" i="5"/>
  <c r="Q3" i="5" a="1"/>
  <c r="Q3" i="5" s="1"/>
  <c r="Q4" i="5" a="1"/>
  <c r="Q4" i="5" s="1"/>
  <c r="Q5" i="5" a="1"/>
  <c r="Q5" i="5" s="1"/>
  <c r="Q6" i="5" a="1"/>
  <c r="Q6" i="5" s="1"/>
  <c r="Q7" i="5" a="1"/>
  <c r="Q7" i="5" s="1"/>
  <c r="Q8" i="5" a="1"/>
  <c r="Q8" i="5" s="1"/>
  <c r="Q9" i="5" a="1"/>
  <c r="Q9" i="5" s="1"/>
  <c r="Q10" i="5" a="1"/>
  <c r="Q10" i="5" s="1"/>
  <c r="Q11" i="5" a="1"/>
  <c r="Q11" i="5" s="1"/>
  <c r="Q12" i="5" a="1"/>
  <c r="Q12" i="5" s="1"/>
  <c r="Q13" i="5" a="1"/>
  <c r="Q13" i="5" s="1"/>
  <c r="Q14" i="5" a="1"/>
  <c r="Q14" i="5" s="1"/>
  <c r="Q15" i="5" a="1"/>
  <c r="Q15" i="5" s="1"/>
  <c r="Q16" i="5" a="1"/>
  <c r="Q16" i="5" s="1"/>
  <c r="Q17" i="5" a="1"/>
  <c r="Q17" i="5" s="1"/>
  <c r="Q18" i="5" a="1"/>
  <c r="Q18" i="5" s="1"/>
  <c r="Q19" i="5" a="1"/>
  <c r="Q19" i="5" s="1"/>
  <c r="Q20" i="5" a="1"/>
  <c r="Q20" i="5" s="1"/>
  <c r="Q21" i="5" a="1"/>
  <c r="Q21" i="5" s="1"/>
  <c r="Q22" i="5" a="1"/>
  <c r="Q22" i="5" s="1"/>
  <c r="Q23" i="5" a="1"/>
  <c r="Q23" i="5" s="1"/>
  <c r="Q24" i="5" a="1"/>
  <c r="Q24" i="5" s="1"/>
  <c r="Q25" i="5" a="1"/>
  <c r="Q25" i="5" s="1"/>
  <c r="Q26" i="5" a="1"/>
  <c r="Q26" i="5" s="1"/>
  <c r="Q27" i="5" a="1"/>
  <c r="Q27" i="5" s="1"/>
  <c r="Q28" i="5" a="1"/>
  <c r="Q28" i="5" s="1"/>
  <c r="Q29" i="5" a="1"/>
  <c r="Q29" i="5" s="1"/>
  <c r="Q30" i="5" a="1"/>
  <c r="Q30" i="5" s="1"/>
  <c r="Q31" i="5" a="1"/>
  <c r="Q31" i="5" s="1"/>
  <c r="Q32" i="5" a="1"/>
  <c r="Q32" i="5" s="1"/>
  <c r="Q33" i="5" a="1"/>
  <c r="Q33" i="5" s="1"/>
  <c r="Q34" i="5" a="1"/>
  <c r="Q34" i="5" s="1"/>
  <c r="Q35" i="5" a="1"/>
  <c r="Q35" i="5" s="1"/>
  <c r="Q36" i="5" a="1"/>
  <c r="Q36" i="5" s="1"/>
  <c r="Q37" i="5" a="1"/>
  <c r="Q37" i="5" s="1"/>
  <c r="Q38" i="5" a="1"/>
  <c r="Q38" i="5" s="1"/>
  <c r="Q39" i="5" a="1"/>
  <c r="Q39" i="5" s="1"/>
  <c r="Q40" i="5" a="1"/>
  <c r="Q40" i="5" s="1"/>
  <c r="Q41" i="5" a="1"/>
  <c r="Q41" i="5" s="1"/>
  <c r="Q42" i="5" a="1"/>
  <c r="Q42" i="5" s="1"/>
  <c r="Q43" i="5" a="1"/>
  <c r="Q43" i="5" s="1"/>
  <c r="Q44" i="5" a="1"/>
  <c r="Q44" i="5" s="1"/>
  <c r="Q45" i="5" a="1"/>
  <c r="Q45" i="5" s="1"/>
  <c r="Q46" i="5" a="1"/>
  <c r="Q46" i="5" s="1"/>
  <c r="Q47" i="5" a="1"/>
  <c r="Q47" i="5" s="1"/>
  <c r="Q48" i="5" a="1"/>
  <c r="Q48" i="5" s="1"/>
  <c r="Q49" i="5" a="1"/>
  <c r="Q49" i="5" s="1"/>
  <c r="Q50" i="5" a="1"/>
  <c r="Q50" i="5" s="1"/>
  <c r="Q51" i="5" a="1"/>
  <c r="Q51" i="5" s="1"/>
  <c r="Q52" i="5" a="1"/>
  <c r="Q52" i="5" s="1"/>
  <c r="Q53" i="5" a="1"/>
  <c r="Q53" i="5" s="1"/>
  <c r="Q54" i="5" a="1"/>
  <c r="Q54" i="5" s="1"/>
  <c r="Q55" i="5" a="1"/>
  <c r="Q55" i="5" s="1"/>
  <c r="Q56" i="5" a="1"/>
  <c r="Q56" i="5" s="1"/>
  <c r="Q57" i="5" a="1"/>
  <c r="Q57" i="5" s="1"/>
  <c r="Q58" i="5" a="1"/>
  <c r="Q58" i="5" s="1"/>
  <c r="Q59" i="5" a="1"/>
  <c r="Q59" i="5" s="1"/>
  <c r="Q60" i="5" a="1"/>
  <c r="Q60" i="5" s="1"/>
  <c r="Q61" i="5" a="1"/>
  <c r="Q61" i="5" s="1"/>
  <c r="Q62" i="5" a="1"/>
  <c r="Q62" i="5" s="1"/>
  <c r="Q63" i="5" a="1"/>
  <c r="Q63" i="5" s="1"/>
  <c r="Q64" i="5" a="1"/>
  <c r="Q64" i="5" s="1"/>
  <c r="Q65" i="5" a="1"/>
  <c r="Q65" i="5" s="1"/>
  <c r="Q66" i="5" a="1"/>
  <c r="Q66" i="5" s="1"/>
  <c r="Q67" i="5" a="1"/>
  <c r="Q67" i="5" s="1"/>
  <c r="Q68" i="5" a="1"/>
  <c r="Q68" i="5" s="1"/>
  <c r="Q69" i="5" a="1"/>
  <c r="Q69" i="5" s="1"/>
  <c r="Q70" i="5" a="1"/>
  <c r="Q70" i="5" s="1"/>
  <c r="Q71" i="5" a="1"/>
  <c r="Q71" i="5" s="1"/>
  <c r="Q72" i="5" a="1"/>
  <c r="Q72" i="5" s="1"/>
  <c r="Q73" i="5" a="1"/>
  <c r="Q73" i="5" s="1"/>
  <c r="Q74" i="5" a="1"/>
  <c r="Q74" i="5" s="1"/>
  <c r="Q75" i="5" a="1"/>
  <c r="Q75" i="5" s="1"/>
  <c r="Q76" i="5" a="1"/>
  <c r="Q76" i="5" s="1"/>
  <c r="Q77" i="5" a="1"/>
  <c r="Q77" i="5" s="1"/>
  <c r="Q78" i="5" a="1"/>
  <c r="Q78" i="5" s="1"/>
  <c r="Q79" i="5" a="1"/>
  <c r="Q79" i="5" s="1"/>
  <c r="Q80" i="5" a="1"/>
  <c r="Q80" i="5" s="1"/>
  <c r="Q81" i="5" a="1"/>
  <c r="Q81" i="5" s="1"/>
  <c r="Q82" i="5" a="1"/>
  <c r="Q82" i="5" s="1"/>
  <c r="Q83" i="5" a="1"/>
  <c r="Q83" i="5" s="1"/>
  <c r="Q84" i="5" a="1"/>
  <c r="Q84" i="5" s="1"/>
  <c r="Q85" i="5" a="1"/>
  <c r="Q85" i="5" s="1"/>
  <c r="Q86" i="5" a="1"/>
  <c r="Q86" i="5" s="1"/>
  <c r="Q87" i="5" a="1"/>
  <c r="Q87" i="5" s="1"/>
  <c r="Q88" i="5" a="1"/>
  <c r="Q88" i="5" s="1"/>
  <c r="Q89" i="5" a="1"/>
  <c r="Q89" i="5" s="1"/>
  <c r="Q90" i="5" a="1"/>
  <c r="Q90" i="5" s="1"/>
  <c r="Q91" i="5" a="1"/>
  <c r="Q91" i="5" s="1"/>
  <c r="Q92" i="5" a="1"/>
  <c r="Q92" i="5" s="1"/>
  <c r="Q93" i="5" a="1"/>
  <c r="Q93" i="5" s="1"/>
  <c r="Q94" i="5" a="1"/>
  <c r="Q94" i="5" s="1"/>
  <c r="Q95" i="5" a="1"/>
  <c r="Q95" i="5" s="1"/>
  <c r="Q96" i="5" a="1"/>
  <c r="Q96" i="5" s="1"/>
  <c r="Q97" i="5" a="1"/>
  <c r="Q97" i="5" s="1"/>
  <c r="Q98" i="5" a="1"/>
  <c r="Q98" i="5" s="1"/>
  <c r="Q99" i="5" a="1"/>
  <c r="Q99" i="5" s="1"/>
  <c r="Q100" i="5" a="1"/>
  <c r="Q100" i="5" s="1"/>
  <c r="Q101" i="5" a="1"/>
  <c r="Q101" i="5" s="1"/>
  <c r="Q102" i="5" a="1"/>
  <c r="Q102" i="5" s="1"/>
  <c r="Q103" i="5" a="1"/>
  <c r="Q103" i="5" s="1"/>
  <c r="Q104" i="5" a="1"/>
  <c r="Q104" i="5" s="1"/>
  <c r="Q105" i="5" a="1"/>
  <c r="Q105" i="5" s="1"/>
  <c r="Q106" i="5" a="1"/>
  <c r="Q106" i="5" s="1"/>
  <c r="Q107" i="5" a="1"/>
  <c r="Q107" i="5" s="1"/>
  <c r="Q108" i="5" a="1"/>
  <c r="Q108" i="5" s="1"/>
  <c r="Q109" i="5" a="1"/>
  <c r="Q109" i="5" s="1"/>
  <c r="Q110" i="5" a="1"/>
  <c r="Q110" i="5" s="1"/>
  <c r="Q111" i="5" a="1"/>
  <c r="Q111" i="5" s="1"/>
  <c r="Q112" i="5" a="1"/>
  <c r="Q112" i="5" s="1"/>
  <c r="Q113" i="5" a="1"/>
  <c r="Q113" i="5" s="1"/>
  <c r="Q114" i="5" a="1"/>
  <c r="Q114" i="5" s="1"/>
  <c r="Q115" i="5" a="1"/>
  <c r="Q115" i="5" s="1"/>
  <c r="Q116" i="5" a="1"/>
  <c r="Q116" i="5" s="1"/>
  <c r="Q117" i="5" a="1"/>
  <c r="Q117" i="5" s="1"/>
  <c r="Q118" i="5" a="1"/>
  <c r="Q118" i="5" s="1"/>
  <c r="Q119" i="5" a="1"/>
  <c r="Q119" i="5" s="1"/>
  <c r="Q120" i="5" a="1"/>
  <c r="Q120" i="5" s="1"/>
  <c r="Q121" i="5" a="1"/>
  <c r="Q121" i="5" s="1"/>
  <c r="Q122" i="5" a="1"/>
  <c r="Q122" i="5" s="1"/>
  <c r="Q123" i="5" a="1"/>
  <c r="Q123" i="5" s="1"/>
  <c r="Q124" i="5" a="1"/>
  <c r="Q124" i="5" s="1"/>
  <c r="Q125" i="5" a="1"/>
  <c r="Q125" i="5" s="1"/>
  <c r="Q126" i="5" a="1"/>
  <c r="Q126" i="5" s="1"/>
  <c r="Q127" i="5" a="1"/>
  <c r="Q127" i="5" s="1"/>
  <c r="Q128" i="5" a="1"/>
  <c r="Q128" i="5" s="1"/>
  <c r="Q129" i="5" a="1"/>
  <c r="Q129" i="5" s="1"/>
  <c r="Q130" i="5" a="1"/>
  <c r="Q130" i="5" s="1"/>
  <c r="Q131" i="5" a="1"/>
  <c r="Q131" i="5" s="1"/>
  <c r="Q132" i="5" a="1"/>
  <c r="Q132" i="5" s="1"/>
  <c r="Q133" i="5" a="1"/>
  <c r="Q133" i="5" s="1"/>
  <c r="Q134" i="5" a="1"/>
  <c r="Q134" i="5" s="1"/>
  <c r="Q135" i="5" a="1"/>
  <c r="Q135" i="5" s="1"/>
  <c r="Q136" i="5" a="1"/>
  <c r="Q136" i="5" s="1"/>
  <c r="Q137" i="5" a="1"/>
  <c r="Q137" i="5" s="1"/>
  <c r="Q138" i="5" a="1"/>
  <c r="Q138" i="5" s="1"/>
  <c r="Q139" i="5" a="1"/>
  <c r="Q139" i="5" s="1"/>
  <c r="Q140" i="5" a="1"/>
  <c r="Q140" i="5" s="1"/>
  <c r="Q141" i="5" a="1"/>
  <c r="Q141" i="5" s="1"/>
  <c r="Q142" i="5" a="1"/>
  <c r="Q142" i="5" s="1"/>
  <c r="Q143" i="5" a="1"/>
  <c r="Q143" i="5" s="1"/>
  <c r="Q144" i="5" a="1"/>
  <c r="Q144" i="5" s="1"/>
  <c r="Q145" i="5" a="1"/>
  <c r="Q145" i="5" s="1"/>
  <c r="Q146" i="5" a="1"/>
  <c r="Q146" i="5" s="1"/>
  <c r="Q147" i="5" a="1"/>
  <c r="Q147" i="5" s="1"/>
  <c r="Q148" i="5" a="1"/>
  <c r="Q148" i="5" s="1"/>
  <c r="Q149" i="5" a="1"/>
  <c r="Q149" i="5" s="1"/>
  <c r="Q150" i="5" a="1"/>
  <c r="Q150" i="5" s="1"/>
  <c r="Q151" i="5" a="1"/>
  <c r="Q151" i="5" s="1"/>
  <c r="Q152" i="5" a="1"/>
  <c r="Q152" i="5" s="1"/>
  <c r="Q153" i="5" a="1"/>
  <c r="Q153" i="5" s="1"/>
  <c r="Q154" i="5" a="1"/>
  <c r="Q154" i="5" s="1"/>
  <c r="Q155" i="5" a="1"/>
  <c r="Q155" i="5" s="1"/>
  <c r="Q156" i="5" a="1"/>
  <c r="Q156" i="5" s="1"/>
  <c r="Q157" i="5" a="1"/>
  <c r="Q157" i="5" s="1"/>
  <c r="Q158" i="5" a="1"/>
  <c r="Q158" i="5" s="1"/>
  <c r="Q159" i="5" a="1"/>
  <c r="Q159" i="5" s="1"/>
  <c r="Q160" i="5" a="1"/>
  <c r="Q160" i="5" s="1"/>
  <c r="Q161" i="5" a="1"/>
  <c r="Q161" i="5" s="1"/>
  <c r="Q162" i="5" a="1"/>
  <c r="Q162" i="5" s="1"/>
  <c r="Q163" i="5" a="1"/>
  <c r="Q163" i="5" s="1"/>
  <c r="Q164" i="5" a="1"/>
  <c r="Q164" i="5" s="1"/>
  <c r="Q165" i="5" a="1"/>
  <c r="Q165" i="5" s="1"/>
  <c r="Q166" i="5" a="1"/>
  <c r="Q166" i="5" s="1"/>
  <c r="Q167" i="5" a="1"/>
  <c r="Q167" i="5" s="1"/>
  <c r="Q168" i="5" a="1"/>
  <c r="Q168" i="5" s="1"/>
  <c r="Q169" i="5" a="1"/>
  <c r="Q169" i="5" s="1"/>
  <c r="Q170" i="5" a="1"/>
  <c r="Q170" i="5" s="1"/>
  <c r="Q171" i="5" a="1"/>
  <c r="Q171" i="5" s="1"/>
  <c r="Q172" i="5" a="1"/>
  <c r="Q172" i="5" s="1"/>
  <c r="Q173" i="5" a="1"/>
  <c r="Q173" i="5" s="1"/>
  <c r="Q174" i="5" a="1"/>
  <c r="Q174" i="5" s="1"/>
  <c r="Q175" i="5" a="1"/>
  <c r="Q175" i="5" s="1"/>
  <c r="Q176" i="5" a="1"/>
  <c r="Q176" i="5" s="1"/>
  <c r="Q177" i="5" a="1"/>
  <c r="Q177" i="5" s="1"/>
  <c r="Q178" i="5" a="1"/>
  <c r="Q178" i="5" s="1"/>
  <c r="Q179" i="5" a="1"/>
  <c r="Q179" i="5" s="1"/>
  <c r="Q180" i="5" a="1"/>
  <c r="Q180" i="5" s="1"/>
  <c r="Q181" i="5" a="1"/>
  <c r="Q181" i="5" s="1"/>
  <c r="Q182" i="5" a="1"/>
  <c r="Q182" i="5" s="1"/>
  <c r="Q183" i="5" a="1"/>
  <c r="Q183" i="5" s="1"/>
  <c r="Q184" i="5" a="1"/>
  <c r="Q184" i="5" s="1"/>
  <c r="Q185" i="5" a="1"/>
  <c r="Q185" i="5" s="1"/>
  <c r="Q186" i="5" a="1"/>
  <c r="Q186" i="5" s="1"/>
  <c r="Q187" i="5" a="1"/>
  <c r="Q187" i="5" s="1"/>
  <c r="Q188" i="5" a="1"/>
  <c r="Q188" i="5" s="1"/>
  <c r="Q189" i="5" a="1"/>
  <c r="Q189" i="5" s="1"/>
  <c r="Q190" i="5" a="1"/>
  <c r="Q190" i="5" s="1"/>
  <c r="Q191" i="5" a="1"/>
  <c r="Q191" i="5" s="1"/>
  <c r="Q192" i="5" a="1"/>
  <c r="Q192" i="5" s="1"/>
  <c r="Q193" i="5" a="1"/>
  <c r="Q193" i="5" s="1"/>
  <c r="Q194" i="5" a="1"/>
  <c r="Q194" i="5" s="1"/>
  <c r="Q195" i="5" a="1"/>
  <c r="Q195" i="5" s="1"/>
  <c r="Q196" i="5" a="1"/>
  <c r="Q196" i="5" s="1"/>
  <c r="Q197" i="5" a="1"/>
  <c r="Q197" i="5" s="1"/>
  <c r="Q198" i="5" a="1"/>
  <c r="Q198" i="5" s="1"/>
  <c r="Q199" i="5" a="1"/>
  <c r="Q199" i="5" s="1"/>
  <c r="Q200" i="5" a="1"/>
  <c r="Q200" i="5" s="1"/>
  <c r="Q201" i="5" a="1"/>
  <c r="Q201" i="5" s="1"/>
  <c r="Q202" i="5" a="1"/>
  <c r="Q202" i="5" s="1"/>
  <c r="Q203" i="5" a="1"/>
  <c r="Q203" i="5" s="1"/>
  <c r="Q204" i="5" a="1"/>
  <c r="Q204" i="5" s="1"/>
  <c r="Q205" i="5" a="1"/>
  <c r="Q205" i="5" s="1"/>
  <c r="Q206" i="5" a="1"/>
  <c r="Q206" i="5" s="1"/>
  <c r="Q207" i="5" a="1"/>
  <c r="Q207" i="5" s="1"/>
  <c r="Q208" i="5" a="1"/>
  <c r="Q208" i="5" s="1"/>
  <c r="Q209" i="5" a="1"/>
  <c r="Q209" i="5" s="1"/>
  <c r="Q210" i="5" a="1"/>
  <c r="Q210" i="5" s="1"/>
  <c r="Q211" i="5" a="1"/>
  <c r="Q211" i="5" s="1"/>
  <c r="Q212" i="5" a="1"/>
  <c r="Q212" i="5" s="1"/>
  <c r="Q213" i="5" a="1"/>
  <c r="Q213" i="5" s="1"/>
  <c r="Q214" i="5" a="1"/>
  <c r="Q214" i="5" s="1"/>
  <c r="Q215" i="5" a="1"/>
  <c r="Q215" i="5" s="1"/>
  <c r="Q216" i="5" a="1"/>
  <c r="Q216" i="5" s="1"/>
  <c r="Q217" i="5" a="1"/>
  <c r="Q217" i="5" s="1"/>
  <c r="Q218" i="5" a="1"/>
  <c r="Q218" i="5" s="1"/>
  <c r="Q219" i="5" a="1"/>
  <c r="Q219" i="5" s="1"/>
  <c r="Q220" i="5" a="1"/>
  <c r="Q220" i="5" s="1"/>
  <c r="Q221" i="5" a="1"/>
  <c r="Q221" i="5" s="1"/>
  <c r="Q222" i="5" a="1"/>
  <c r="Q222" i="5" s="1"/>
  <c r="Q223" i="5" a="1"/>
  <c r="Q223" i="5" s="1"/>
  <c r="Q224" i="5" a="1"/>
  <c r="Q224" i="5" s="1"/>
  <c r="Q225" i="5" a="1"/>
  <c r="Q225" i="5" s="1"/>
  <c r="Q226" i="5" a="1"/>
  <c r="Q226" i="5" s="1"/>
  <c r="Q227" i="5" a="1"/>
  <c r="Q227" i="5" s="1"/>
  <c r="Q228" i="5" a="1"/>
  <c r="Q228" i="5" s="1"/>
  <c r="Q229" i="5" a="1"/>
  <c r="Q229" i="5" s="1"/>
  <c r="Q230" i="5" a="1"/>
  <c r="Q230" i="5" s="1"/>
  <c r="Q231" i="5" a="1"/>
  <c r="Q231" i="5" s="1"/>
  <c r="Q232" i="5" a="1"/>
  <c r="Q232" i="5" s="1"/>
  <c r="Q233" i="5" a="1"/>
  <c r="Q233" i="5" s="1"/>
  <c r="Q234" i="5" a="1"/>
  <c r="Q234" i="5" s="1"/>
  <c r="Q235" i="5" a="1"/>
  <c r="Q235" i="5" s="1"/>
  <c r="Q236" i="5" a="1"/>
  <c r="Q236" i="5" s="1"/>
  <c r="Q237" i="5" a="1"/>
  <c r="Q237" i="5" s="1"/>
  <c r="Q238" i="5" a="1"/>
  <c r="Q238" i="5" s="1"/>
  <c r="Q239" i="5" a="1"/>
  <c r="Q239" i="5" s="1"/>
  <c r="Q240" i="5" a="1"/>
  <c r="Q240" i="5" s="1"/>
  <c r="Q241" i="5" a="1"/>
  <c r="Q241" i="5" s="1"/>
  <c r="Q242" i="5" a="1"/>
  <c r="Q242" i="5" s="1"/>
  <c r="Q243" i="5" a="1"/>
  <c r="Q243" i="5" s="1"/>
  <c r="Q244" i="5" a="1"/>
  <c r="Q244" i="5" s="1"/>
  <c r="Q245" i="5" a="1"/>
  <c r="Q245" i="5" s="1"/>
  <c r="Q246" i="5" a="1"/>
  <c r="Q246" i="5" s="1"/>
  <c r="Q247" i="5" a="1"/>
  <c r="Q247" i="5" s="1"/>
  <c r="Q248" i="5" a="1"/>
  <c r="Q248" i="5" s="1"/>
  <c r="Q249" i="5" a="1"/>
  <c r="Q249" i="5" s="1"/>
  <c r="Q250" i="5" a="1"/>
  <c r="Q250" i="5" s="1"/>
  <c r="Q251" i="5" a="1"/>
  <c r="Q251" i="5" s="1"/>
  <c r="Q252" i="5" a="1"/>
  <c r="Q252" i="5" s="1"/>
  <c r="Q253" i="5" a="1"/>
  <c r="Q253" i="5" s="1"/>
  <c r="Q254" i="5" a="1"/>
  <c r="Q254" i="5" s="1"/>
  <c r="Q255" i="5" a="1"/>
  <c r="Q255" i="5" s="1"/>
  <c r="Q256" i="5" a="1"/>
  <c r="Q256" i="5" s="1"/>
  <c r="Q257" i="5" a="1"/>
  <c r="Q257" i="5" s="1"/>
  <c r="Q258" i="5" a="1"/>
  <c r="Q258" i="5" s="1"/>
  <c r="Q259" i="5" a="1"/>
  <c r="Q259" i="5" s="1"/>
  <c r="Q260" i="5" a="1"/>
  <c r="Q260" i="5" s="1"/>
  <c r="Q261" i="5" a="1"/>
  <c r="Q261" i="5" s="1"/>
  <c r="Q262" i="5" a="1"/>
  <c r="Q262" i="5" s="1"/>
  <c r="Q263" i="5" a="1"/>
  <c r="Q263" i="5" s="1"/>
  <c r="Q264" i="5" a="1"/>
  <c r="Q264" i="5" s="1"/>
  <c r="Q265" i="5" a="1"/>
  <c r="Q265" i="5" s="1"/>
  <c r="Q266" i="5" a="1"/>
  <c r="Q266" i="5" s="1"/>
  <c r="Q267" i="5" a="1"/>
  <c r="Q267" i="5" s="1"/>
  <c r="Q268" i="5" a="1"/>
  <c r="Q268" i="5" s="1"/>
  <c r="Q269" i="5" a="1"/>
  <c r="Q269" i="5" s="1"/>
  <c r="Q270" i="5" a="1"/>
  <c r="Q270" i="5" s="1"/>
  <c r="Q271" i="5" a="1"/>
  <c r="Q271" i="5" s="1"/>
  <c r="Q272" i="5" a="1"/>
  <c r="Q272" i="5" s="1"/>
  <c r="Q273" i="5" a="1"/>
  <c r="Q273" i="5" s="1"/>
  <c r="Q274" i="5" a="1"/>
  <c r="Q274" i="5" s="1"/>
  <c r="Q275" i="5" a="1"/>
  <c r="Q275" i="5" s="1"/>
  <c r="Q276" i="5" a="1"/>
  <c r="Q276" i="5" s="1"/>
  <c r="Q277" i="5" a="1"/>
  <c r="Q277" i="5" s="1"/>
  <c r="Q278" i="5" a="1"/>
  <c r="Q278" i="5" s="1"/>
  <c r="Q279" i="5" a="1"/>
  <c r="Q279" i="5" s="1"/>
  <c r="Q280" i="5" a="1"/>
  <c r="Q280" i="5" s="1"/>
  <c r="Q281" i="5" a="1"/>
  <c r="Q281" i="5" s="1"/>
  <c r="Q282" i="5" a="1"/>
  <c r="Q282" i="5" s="1"/>
  <c r="Q283" i="5" a="1"/>
  <c r="Q283" i="5" s="1"/>
  <c r="Q284" i="5" a="1"/>
  <c r="Q284" i="5" s="1"/>
  <c r="Q285" i="5" a="1"/>
  <c r="Q285" i="5" s="1"/>
  <c r="Q286" i="5" a="1"/>
  <c r="Q286" i="5" s="1"/>
  <c r="Q287" i="5" a="1"/>
  <c r="Q287" i="5" s="1"/>
  <c r="Q288" i="5" a="1"/>
  <c r="Q288" i="5" s="1"/>
  <c r="Q289" i="5" a="1"/>
  <c r="Q289" i="5" s="1"/>
  <c r="Q290" i="5" a="1"/>
  <c r="Q290" i="5" s="1"/>
  <c r="Q291" i="5" a="1"/>
  <c r="Q291" i="5" s="1"/>
  <c r="Q292" i="5" a="1"/>
  <c r="Q292" i="5" s="1"/>
  <c r="Q293" i="5" a="1"/>
  <c r="Q293" i="5" s="1"/>
  <c r="Q294" i="5" a="1"/>
  <c r="Q294" i="5" s="1"/>
  <c r="Q295" i="5" a="1"/>
  <c r="Q295" i="5" s="1"/>
  <c r="Q296" i="5" a="1"/>
  <c r="Q296" i="5" s="1"/>
  <c r="Q297" i="5" a="1"/>
  <c r="Q297" i="5" s="1"/>
  <c r="Q298" i="5" a="1"/>
  <c r="Q298" i="5" s="1"/>
  <c r="Q299" i="5" a="1"/>
  <c r="Q299" i="5" s="1"/>
  <c r="Q300" i="5" a="1"/>
  <c r="Q300" i="5" s="1"/>
  <c r="Q301" i="5" a="1"/>
  <c r="Q301" i="5" s="1"/>
  <c r="Q302" i="5" a="1"/>
  <c r="Q302" i="5" s="1"/>
  <c r="Q303" i="5" a="1"/>
  <c r="Q303" i="5" s="1"/>
  <c r="Q304" i="5" a="1"/>
  <c r="Q304" i="5" s="1"/>
  <c r="N2" i="5"/>
  <c r="N3" i="5"/>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M3" i="5"/>
  <c r="O3" i="5" s="1"/>
  <c r="P3" i="5" s="1" a="1"/>
  <c r="P3" i="5" s="1"/>
  <c r="M4" i="5"/>
  <c r="O4" i="5" s="1"/>
  <c r="P4" i="5" s="1" a="1"/>
  <c r="P4" i="5" s="1"/>
  <c r="M5" i="5"/>
  <c r="O5" i="5" s="1"/>
  <c r="P5" i="5" s="1" a="1"/>
  <c r="P5" i="5" s="1"/>
  <c r="M6" i="5"/>
  <c r="O6" i="5" s="1"/>
  <c r="P6" i="5" s="1" a="1"/>
  <c r="P6" i="5" s="1"/>
  <c r="M7" i="5"/>
  <c r="O7" i="5" s="1"/>
  <c r="P7" i="5" s="1" a="1"/>
  <c r="P7" i="5" s="1"/>
  <c r="M8" i="5"/>
  <c r="O8" i="5" s="1"/>
  <c r="P8" i="5" s="1" a="1"/>
  <c r="P8" i="5" s="1"/>
  <c r="M9" i="5"/>
  <c r="O9" i="5" s="1"/>
  <c r="P9" i="5" s="1" a="1"/>
  <c r="P9" i="5" s="1"/>
  <c r="M10" i="5"/>
  <c r="O10" i="5" s="1"/>
  <c r="P10" i="5" s="1" a="1"/>
  <c r="P10" i="5" s="1"/>
  <c r="M11" i="5"/>
  <c r="O11" i="5" s="1"/>
  <c r="P11" i="5" s="1" a="1"/>
  <c r="P11" i="5" s="1"/>
  <c r="M12" i="5"/>
  <c r="O12" i="5" s="1"/>
  <c r="P12" i="5" s="1" a="1"/>
  <c r="P12" i="5" s="1"/>
  <c r="M13" i="5"/>
  <c r="O13" i="5" s="1"/>
  <c r="P13" i="5" s="1" a="1"/>
  <c r="P13" i="5" s="1"/>
  <c r="M14" i="5"/>
  <c r="O14" i="5" s="1"/>
  <c r="P14" i="5" s="1" a="1"/>
  <c r="P14" i="5" s="1"/>
  <c r="M15" i="5"/>
  <c r="O15" i="5" s="1"/>
  <c r="P15" i="5" s="1" a="1"/>
  <c r="P15" i="5" s="1"/>
  <c r="M16" i="5"/>
  <c r="O16" i="5" s="1"/>
  <c r="P16" i="5" s="1" a="1"/>
  <c r="P16" i="5" s="1"/>
  <c r="M17" i="5"/>
  <c r="O17" i="5" s="1"/>
  <c r="P17" i="5" s="1" a="1"/>
  <c r="P17" i="5" s="1"/>
  <c r="M18" i="5"/>
  <c r="O18" i="5" s="1"/>
  <c r="P18" i="5" s="1" a="1"/>
  <c r="P18" i="5" s="1"/>
  <c r="M19" i="5"/>
  <c r="O19" i="5" s="1"/>
  <c r="P19" i="5" s="1" a="1"/>
  <c r="P19" i="5" s="1"/>
  <c r="M20" i="5"/>
  <c r="O20" i="5" s="1"/>
  <c r="P20" i="5" s="1" a="1"/>
  <c r="P20" i="5" s="1"/>
  <c r="M21" i="5"/>
  <c r="O21" i="5" s="1"/>
  <c r="P21" i="5" s="1" a="1"/>
  <c r="P21" i="5" s="1"/>
  <c r="M22" i="5"/>
  <c r="O22" i="5" s="1"/>
  <c r="P22" i="5" s="1" a="1"/>
  <c r="P22" i="5" s="1"/>
  <c r="M23" i="5"/>
  <c r="O23" i="5" s="1"/>
  <c r="P23" i="5" s="1" a="1"/>
  <c r="P23" i="5" s="1"/>
  <c r="M24" i="5"/>
  <c r="O24" i="5" s="1"/>
  <c r="P24" i="5" s="1" a="1"/>
  <c r="P24" i="5" s="1"/>
  <c r="M25" i="5"/>
  <c r="O25" i="5" s="1"/>
  <c r="P25" i="5" s="1" a="1"/>
  <c r="P25" i="5" s="1"/>
  <c r="M26" i="5"/>
  <c r="O26" i="5" s="1"/>
  <c r="P26" i="5" s="1" a="1"/>
  <c r="P26" i="5" s="1"/>
  <c r="M27" i="5"/>
  <c r="O27" i="5" s="1"/>
  <c r="P27" i="5" s="1" a="1"/>
  <c r="P27" i="5" s="1"/>
  <c r="M28" i="5"/>
  <c r="O28" i="5" s="1"/>
  <c r="P28" i="5" s="1" a="1"/>
  <c r="P28" i="5" s="1"/>
  <c r="M29" i="5"/>
  <c r="O29" i="5" s="1"/>
  <c r="P29" i="5" s="1" a="1"/>
  <c r="P29" i="5" s="1"/>
  <c r="M30" i="5"/>
  <c r="O30" i="5" s="1"/>
  <c r="P30" i="5" s="1" a="1"/>
  <c r="P30" i="5" s="1"/>
  <c r="M31" i="5"/>
  <c r="O31" i="5" s="1"/>
  <c r="P31" i="5" s="1" a="1"/>
  <c r="P31" i="5" s="1"/>
  <c r="M32" i="5"/>
  <c r="O32" i="5" s="1"/>
  <c r="P32" i="5" s="1" a="1"/>
  <c r="P32" i="5" s="1"/>
  <c r="M33" i="5"/>
  <c r="O33" i="5" s="1"/>
  <c r="P33" i="5" s="1" a="1"/>
  <c r="P33" i="5" s="1"/>
  <c r="M34" i="5"/>
  <c r="O34" i="5" s="1"/>
  <c r="P34" i="5" s="1" a="1"/>
  <c r="P34" i="5" s="1"/>
  <c r="M35" i="5"/>
  <c r="O35" i="5" s="1"/>
  <c r="P35" i="5" s="1" a="1"/>
  <c r="P35" i="5" s="1"/>
  <c r="M36" i="5"/>
  <c r="O36" i="5" s="1"/>
  <c r="P36" i="5" s="1" a="1"/>
  <c r="P36" i="5" s="1"/>
  <c r="M37" i="5"/>
  <c r="O37" i="5" s="1"/>
  <c r="P37" i="5" s="1" a="1"/>
  <c r="P37" i="5" s="1"/>
  <c r="M38" i="5"/>
  <c r="O38" i="5" s="1"/>
  <c r="P38" i="5" s="1" a="1"/>
  <c r="P38" i="5" s="1"/>
  <c r="M39" i="5"/>
  <c r="O39" i="5" s="1"/>
  <c r="P39" i="5" s="1" a="1"/>
  <c r="P39" i="5" s="1"/>
  <c r="M40" i="5"/>
  <c r="O40" i="5" s="1"/>
  <c r="P40" i="5" s="1" a="1"/>
  <c r="P40" i="5" s="1"/>
  <c r="M41" i="5"/>
  <c r="O41" i="5" s="1"/>
  <c r="P41" i="5" s="1" a="1"/>
  <c r="P41" i="5" s="1"/>
  <c r="M42" i="5"/>
  <c r="O42" i="5" s="1"/>
  <c r="P42" i="5" s="1" a="1"/>
  <c r="P42" i="5" s="1"/>
  <c r="M43" i="5"/>
  <c r="O43" i="5" s="1"/>
  <c r="P43" i="5" s="1" a="1"/>
  <c r="P43" i="5" s="1"/>
  <c r="M44" i="5"/>
  <c r="O44" i="5" s="1"/>
  <c r="P44" i="5" s="1" a="1"/>
  <c r="P44" i="5" s="1"/>
  <c r="M45" i="5"/>
  <c r="O45" i="5" s="1"/>
  <c r="P45" i="5" s="1" a="1"/>
  <c r="P45" i="5" s="1"/>
  <c r="M46" i="5"/>
  <c r="O46" i="5" s="1"/>
  <c r="P46" i="5" s="1" a="1"/>
  <c r="P46" i="5" s="1"/>
  <c r="M47" i="5"/>
  <c r="O47" i="5" s="1"/>
  <c r="P47" i="5" s="1" a="1"/>
  <c r="P47" i="5" s="1"/>
  <c r="M48" i="5"/>
  <c r="O48" i="5" s="1"/>
  <c r="P48" i="5" s="1" a="1"/>
  <c r="P48" i="5" s="1"/>
  <c r="M49" i="5"/>
  <c r="O49" i="5" s="1"/>
  <c r="P49" i="5" s="1" a="1"/>
  <c r="P49" i="5" s="1"/>
  <c r="M50" i="5"/>
  <c r="O50" i="5" s="1"/>
  <c r="P50" i="5" s="1" a="1"/>
  <c r="P50" i="5" s="1"/>
  <c r="M51" i="5"/>
  <c r="O51" i="5" s="1"/>
  <c r="P51" i="5" s="1" a="1"/>
  <c r="P51" i="5" s="1"/>
  <c r="M52" i="5"/>
  <c r="O52" i="5" s="1"/>
  <c r="P52" i="5" s="1" a="1"/>
  <c r="P52" i="5" s="1"/>
  <c r="M53" i="5"/>
  <c r="O53" i="5" s="1"/>
  <c r="P53" i="5" s="1" a="1"/>
  <c r="P53" i="5" s="1"/>
  <c r="M54" i="5"/>
  <c r="O54" i="5" s="1"/>
  <c r="P54" i="5" s="1" a="1"/>
  <c r="P54" i="5" s="1"/>
  <c r="M55" i="5"/>
  <c r="O55" i="5" s="1"/>
  <c r="P55" i="5" s="1" a="1"/>
  <c r="P55" i="5" s="1"/>
  <c r="M56" i="5"/>
  <c r="O56" i="5" s="1"/>
  <c r="P56" i="5" s="1" a="1"/>
  <c r="P56" i="5" s="1"/>
  <c r="M57" i="5"/>
  <c r="O57" i="5" s="1"/>
  <c r="P57" i="5" s="1" a="1"/>
  <c r="P57" i="5" s="1"/>
  <c r="M58" i="5"/>
  <c r="O58" i="5" s="1"/>
  <c r="P58" i="5" s="1" a="1"/>
  <c r="P58" i="5" s="1"/>
  <c r="M59" i="5"/>
  <c r="O59" i="5" s="1"/>
  <c r="P59" i="5" s="1" a="1"/>
  <c r="P59" i="5" s="1"/>
  <c r="M60" i="5"/>
  <c r="O60" i="5" s="1"/>
  <c r="P60" i="5" s="1" a="1"/>
  <c r="P60" i="5" s="1"/>
  <c r="M61" i="5"/>
  <c r="O61" i="5" s="1"/>
  <c r="P61" i="5" s="1" a="1"/>
  <c r="P61" i="5" s="1"/>
  <c r="M62" i="5"/>
  <c r="O62" i="5" s="1"/>
  <c r="P62" i="5" s="1" a="1"/>
  <c r="P62" i="5" s="1"/>
  <c r="M63" i="5"/>
  <c r="O63" i="5" s="1"/>
  <c r="P63" i="5" s="1" a="1"/>
  <c r="P63" i="5" s="1"/>
  <c r="M64" i="5"/>
  <c r="O64" i="5" s="1"/>
  <c r="P64" i="5" s="1" a="1"/>
  <c r="P64" i="5" s="1"/>
  <c r="M65" i="5"/>
  <c r="O65" i="5" s="1"/>
  <c r="P65" i="5" s="1" a="1"/>
  <c r="P65" i="5" s="1"/>
  <c r="M66" i="5"/>
  <c r="O66" i="5" s="1"/>
  <c r="P66" i="5" s="1" a="1"/>
  <c r="P66" i="5" s="1"/>
  <c r="M67" i="5"/>
  <c r="O67" i="5" s="1"/>
  <c r="P67" i="5" s="1" a="1"/>
  <c r="P67" i="5" s="1"/>
  <c r="M68" i="5"/>
  <c r="O68" i="5" s="1"/>
  <c r="P68" i="5" s="1" a="1"/>
  <c r="P68" i="5" s="1"/>
  <c r="M69" i="5"/>
  <c r="O69" i="5" s="1"/>
  <c r="P69" i="5" s="1" a="1"/>
  <c r="P69" i="5" s="1"/>
  <c r="M70" i="5"/>
  <c r="O70" i="5" s="1"/>
  <c r="P70" i="5" s="1" a="1"/>
  <c r="P70" i="5" s="1"/>
  <c r="M71" i="5"/>
  <c r="O71" i="5" s="1"/>
  <c r="P71" i="5" s="1" a="1"/>
  <c r="P71" i="5" s="1"/>
  <c r="M72" i="5"/>
  <c r="O72" i="5" s="1"/>
  <c r="P72" i="5" s="1" a="1"/>
  <c r="P72" i="5" s="1"/>
  <c r="M73" i="5"/>
  <c r="O73" i="5" s="1"/>
  <c r="P73" i="5" s="1" a="1"/>
  <c r="P73" i="5" s="1"/>
  <c r="M74" i="5"/>
  <c r="O74" i="5" s="1"/>
  <c r="P74" i="5" s="1" a="1"/>
  <c r="P74" i="5" s="1"/>
  <c r="M75" i="5"/>
  <c r="O75" i="5" s="1"/>
  <c r="P75" i="5" s="1" a="1"/>
  <c r="P75" i="5" s="1"/>
  <c r="M76" i="5"/>
  <c r="O76" i="5" s="1"/>
  <c r="P76" i="5" s="1" a="1"/>
  <c r="P76" i="5" s="1"/>
  <c r="M77" i="5"/>
  <c r="O77" i="5" s="1"/>
  <c r="P77" i="5" s="1" a="1"/>
  <c r="P77" i="5" s="1"/>
  <c r="M78" i="5"/>
  <c r="O78" i="5" s="1"/>
  <c r="P78" i="5" s="1" a="1"/>
  <c r="P78" i="5" s="1"/>
  <c r="M79" i="5"/>
  <c r="O79" i="5" s="1"/>
  <c r="P79" i="5" s="1" a="1"/>
  <c r="P79" i="5" s="1"/>
  <c r="M80" i="5"/>
  <c r="O80" i="5" s="1"/>
  <c r="P80" i="5" s="1" a="1"/>
  <c r="P80" i="5" s="1"/>
  <c r="M81" i="5"/>
  <c r="O81" i="5" s="1"/>
  <c r="P81" i="5" s="1" a="1"/>
  <c r="P81" i="5" s="1"/>
  <c r="M82" i="5"/>
  <c r="O82" i="5" s="1"/>
  <c r="P82" i="5" s="1" a="1"/>
  <c r="P82" i="5" s="1"/>
  <c r="M83" i="5"/>
  <c r="O83" i="5" s="1"/>
  <c r="P83" i="5" s="1" a="1"/>
  <c r="P83" i="5" s="1"/>
  <c r="M84" i="5"/>
  <c r="O84" i="5" s="1"/>
  <c r="P84" i="5" s="1" a="1"/>
  <c r="P84" i="5" s="1"/>
  <c r="M85" i="5"/>
  <c r="O85" i="5" s="1"/>
  <c r="P85" i="5" s="1" a="1"/>
  <c r="P85" i="5" s="1"/>
  <c r="M86" i="5"/>
  <c r="O86" i="5" s="1"/>
  <c r="P86" i="5" s="1" a="1"/>
  <c r="P86" i="5" s="1"/>
  <c r="M87" i="5"/>
  <c r="O87" i="5" s="1"/>
  <c r="P87" i="5" s="1" a="1"/>
  <c r="P87" i="5" s="1"/>
  <c r="M88" i="5"/>
  <c r="O88" i="5" s="1"/>
  <c r="P88" i="5" s="1" a="1"/>
  <c r="P88" i="5" s="1"/>
  <c r="M89" i="5"/>
  <c r="O89" i="5" s="1"/>
  <c r="P89" i="5" s="1" a="1"/>
  <c r="P89" i="5" s="1"/>
  <c r="M90" i="5"/>
  <c r="O90" i="5" s="1"/>
  <c r="P90" i="5" s="1" a="1"/>
  <c r="P90" i="5" s="1"/>
  <c r="M91" i="5"/>
  <c r="O91" i="5" s="1"/>
  <c r="P91" i="5" s="1" a="1"/>
  <c r="P91" i="5" s="1"/>
  <c r="M92" i="5"/>
  <c r="O92" i="5" s="1"/>
  <c r="P92" i="5" s="1" a="1"/>
  <c r="P92" i="5" s="1"/>
  <c r="M93" i="5"/>
  <c r="O93" i="5" s="1"/>
  <c r="P93" i="5" s="1" a="1"/>
  <c r="P93" i="5" s="1"/>
  <c r="M94" i="5"/>
  <c r="O94" i="5" s="1"/>
  <c r="P94" i="5" s="1" a="1"/>
  <c r="P94" i="5" s="1"/>
  <c r="M95" i="5"/>
  <c r="O95" i="5" s="1"/>
  <c r="P95" i="5" s="1" a="1"/>
  <c r="P95" i="5" s="1"/>
  <c r="M96" i="5"/>
  <c r="O96" i="5" s="1"/>
  <c r="P96" i="5" s="1" a="1"/>
  <c r="P96" i="5" s="1"/>
  <c r="M97" i="5"/>
  <c r="O97" i="5" s="1"/>
  <c r="P97" i="5" s="1" a="1"/>
  <c r="P97" i="5" s="1"/>
  <c r="M98" i="5"/>
  <c r="O98" i="5" s="1"/>
  <c r="P98" i="5" s="1" a="1"/>
  <c r="P98" i="5" s="1"/>
  <c r="M99" i="5"/>
  <c r="O99" i="5" s="1"/>
  <c r="P99" i="5" s="1" a="1"/>
  <c r="P99" i="5" s="1"/>
  <c r="M100" i="5"/>
  <c r="O100" i="5" s="1"/>
  <c r="P100" i="5" s="1" a="1"/>
  <c r="P100" i="5" s="1"/>
  <c r="M101" i="5"/>
  <c r="O101" i="5" s="1"/>
  <c r="P101" i="5" s="1" a="1"/>
  <c r="P101" i="5" s="1"/>
  <c r="M102" i="5"/>
  <c r="O102" i="5" s="1"/>
  <c r="P102" i="5" s="1" a="1"/>
  <c r="P102" i="5" s="1"/>
  <c r="M103" i="5"/>
  <c r="O103" i="5" s="1"/>
  <c r="P103" i="5" s="1" a="1"/>
  <c r="P103" i="5" s="1"/>
  <c r="M104" i="5"/>
  <c r="O104" i="5" s="1"/>
  <c r="P104" i="5" s="1" a="1"/>
  <c r="P104" i="5" s="1"/>
  <c r="M105" i="5"/>
  <c r="O105" i="5" s="1"/>
  <c r="P105" i="5" s="1" a="1"/>
  <c r="P105" i="5" s="1"/>
  <c r="M106" i="5"/>
  <c r="O106" i="5" s="1"/>
  <c r="P106" i="5" s="1" a="1"/>
  <c r="P106" i="5" s="1"/>
  <c r="M107" i="5"/>
  <c r="O107" i="5" s="1"/>
  <c r="P107" i="5" s="1" a="1"/>
  <c r="P107" i="5" s="1"/>
  <c r="M108" i="5"/>
  <c r="O108" i="5" s="1"/>
  <c r="P108" i="5" s="1" a="1"/>
  <c r="P108" i="5" s="1"/>
  <c r="M109" i="5"/>
  <c r="O109" i="5" s="1"/>
  <c r="P109" i="5" s="1" a="1"/>
  <c r="P109" i="5" s="1"/>
  <c r="M110" i="5"/>
  <c r="O110" i="5" s="1"/>
  <c r="P110" i="5" s="1" a="1"/>
  <c r="P110" i="5" s="1"/>
  <c r="M111" i="5"/>
  <c r="O111" i="5" s="1"/>
  <c r="P111" i="5" s="1" a="1"/>
  <c r="P111" i="5" s="1"/>
  <c r="M112" i="5"/>
  <c r="O112" i="5" s="1"/>
  <c r="P112" i="5" s="1" a="1"/>
  <c r="P112" i="5" s="1"/>
  <c r="M113" i="5"/>
  <c r="O113" i="5" s="1"/>
  <c r="P113" i="5" s="1" a="1"/>
  <c r="P113" i="5" s="1"/>
  <c r="M114" i="5"/>
  <c r="O114" i="5" s="1"/>
  <c r="P114" i="5" s="1" a="1"/>
  <c r="P114" i="5" s="1"/>
  <c r="M115" i="5"/>
  <c r="O115" i="5" s="1"/>
  <c r="P115" i="5" s="1" a="1"/>
  <c r="P115" i="5" s="1"/>
  <c r="M116" i="5"/>
  <c r="O116" i="5" s="1"/>
  <c r="P116" i="5" s="1" a="1"/>
  <c r="P116" i="5" s="1"/>
  <c r="M117" i="5"/>
  <c r="O117" i="5" s="1"/>
  <c r="P117" i="5" s="1" a="1"/>
  <c r="P117" i="5" s="1"/>
  <c r="M118" i="5"/>
  <c r="O118" i="5" s="1"/>
  <c r="P118" i="5" s="1" a="1"/>
  <c r="P118" i="5" s="1"/>
  <c r="M119" i="5"/>
  <c r="O119" i="5" s="1"/>
  <c r="P119" i="5" s="1" a="1"/>
  <c r="P119" i="5" s="1"/>
  <c r="M120" i="5"/>
  <c r="O120" i="5" s="1"/>
  <c r="P120" i="5" s="1" a="1"/>
  <c r="P120" i="5" s="1"/>
  <c r="M121" i="5"/>
  <c r="O121" i="5" s="1"/>
  <c r="P121" i="5" s="1" a="1"/>
  <c r="P121" i="5" s="1"/>
  <c r="M122" i="5"/>
  <c r="O122" i="5" s="1"/>
  <c r="P122" i="5" s="1" a="1"/>
  <c r="P122" i="5" s="1"/>
  <c r="M123" i="5"/>
  <c r="O123" i="5" s="1"/>
  <c r="P123" i="5" s="1" a="1"/>
  <c r="P123" i="5" s="1"/>
  <c r="M124" i="5"/>
  <c r="O124" i="5" s="1"/>
  <c r="P124" i="5" s="1" a="1"/>
  <c r="P124" i="5" s="1"/>
  <c r="M125" i="5"/>
  <c r="O125" i="5" s="1"/>
  <c r="P125" i="5" s="1" a="1"/>
  <c r="P125" i="5" s="1"/>
  <c r="M126" i="5"/>
  <c r="O126" i="5" s="1"/>
  <c r="P126" i="5" s="1" a="1"/>
  <c r="P126" i="5" s="1"/>
  <c r="M127" i="5"/>
  <c r="O127" i="5" s="1"/>
  <c r="P127" i="5" s="1" a="1"/>
  <c r="P127" i="5" s="1"/>
  <c r="M128" i="5"/>
  <c r="O128" i="5" s="1"/>
  <c r="P128" i="5" s="1" a="1"/>
  <c r="P128" i="5" s="1"/>
  <c r="M129" i="5"/>
  <c r="O129" i="5" s="1"/>
  <c r="P129" i="5" s="1" a="1"/>
  <c r="P129" i="5" s="1"/>
  <c r="M130" i="5"/>
  <c r="O130" i="5" s="1"/>
  <c r="P130" i="5" s="1" a="1"/>
  <c r="P130" i="5" s="1"/>
  <c r="M131" i="5"/>
  <c r="O131" i="5" s="1"/>
  <c r="P131" i="5" s="1" a="1"/>
  <c r="P131" i="5" s="1"/>
  <c r="M132" i="5"/>
  <c r="O132" i="5" s="1"/>
  <c r="P132" i="5" s="1" a="1"/>
  <c r="P132" i="5" s="1"/>
  <c r="M133" i="5"/>
  <c r="O133" i="5" s="1"/>
  <c r="P133" i="5" s="1" a="1"/>
  <c r="P133" i="5" s="1"/>
  <c r="M134" i="5"/>
  <c r="O134" i="5" s="1"/>
  <c r="P134" i="5" s="1" a="1"/>
  <c r="P134" i="5" s="1"/>
  <c r="M135" i="5"/>
  <c r="O135" i="5" s="1"/>
  <c r="P135" i="5" s="1" a="1"/>
  <c r="P135" i="5" s="1"/>
  <c r="M136" i="5"/>
  <c r="O136" i="5" s="1"/>
  <c r="P136" i="5" s="1" a="1"/>
  <c r="P136" i="5" s="1"/>
  <c r="M137" i="5"/>
  <c r="O137" i="5" s="1"/>
  <c r="P137" i="5" s="1" a="1"/>
  <c r="P137" i="5" s="1"/>
  <c r="M138" i="5"/>
  <c r="O138" i="5" s="1"/>
  <c r="P138" i="5" s="1" a="1"/>
  <c r="P138" i="5" s="1"/>
  <c r="M139" i="5"/>
  <c r="O139" i="5" s="1"/>
  <c r="P139" i="5" s="1" a="1"/>
  <c r="P139" i="5" s="1"/>
  <c r="M140" i="5"/>
  <c r="O140" i="5" s="1"/>
  <c r="P140" i="5" s="1" a="1"/>
  <c r="P140" i="5" s="1"/>
  <c r="M141" i="5"/>
  <c r="O141" i="5" s="1"/>
  <c r="P141" i="5" s="1" a="1"/>
  <c r="P141" i="5" s="1"/>
  <c r="M142" i="5"/>
  <c r="O142" i="5" s="1"/>
  <c r="P142" i="5" s="1" a="1"/>
  <c r="P142" i="5" s="1"/>
  <c r="M143" i="5"/>
  <c r="O143" i="5" s="1"/>
  <c r="P143" i="5" s="1" a="1"/>
  <c r="P143" i="5" s="1"/>
  <c r="M144" i="5"/>
  <c r="O144" i="5" s="1"/>
  <c r="P144" i="5" s="1" a="1"/>
  <c r="P144" i="5" s="1"/>
  <c r="M145" i="5"/>
  <c r="O145" i="5" s="1"/>
  <c r="P145" i="5" s="1" a="1"/>
  <c r="P145" i="5" s="1"/>
  <c r="M146" i="5"/>
  <c r="O146" i="5" s="1"/>
  <c r="P146" i="5" s="1" a="1"/>
  <c r="P146" i="5" s="1"/>
  <c r="M147" i="5"/>
  <c r="O147" i="5" s="1"/>
  <c r="P147" i="5" s="1" a="1"/>
  <c r="P147" i="5" s="1"/>
  <c r="M148" i="5"/>
  <c r="O148" i="5" s="1"/>
  <c r="P148" i="5" s="1" a="1"/>
  <c r="P148" i="5" s="1"/>
  <c r="M149" i="5"/>
  <c r="O149" i="5" s="1"/>
  <c r="P149" i="5" s="1" a="1"/>
  <c r="P149" i="5" s="1"/>
  <c r="M150" i="5"/>
  <c r="O150" i="5" s="1"/>
  <c r="P150" i="5" s="1" a="1"/>
  <c r="P150" i="5" s="1"/>
  <c r="M151" i="5"/>
  <c r="O151" i="5" s="1"/>
  <c r="P151" i="5" s="1" a="1"/>
  <c r="P151" i="5" s="1"/>
  <c r="M152" i="5"/>
  <c r="O152" i="5" s="1"/>
  <c r="P152" i="5" s="1" a="1"/>
  <c r="P152" i="5" s="1"/>
  <c r="M153" i="5"/>
  <c r="O153" i="5" s="1"/>
  <c r="P153" i="5" s="1" a="1"/>
  <c r="P153" i="5" s="1"/>
  <c r="M154" i="5"/>
  <c r="O154" i="5" s="1"/>
  <c r="P154" i="5" s="1" a="1"/>
  <c r="P154" i="5" s="1"/>
  <c r="M155" i="5"/>
  <c r="O155" i="5" s="1"/>
  <c r="P155" i="5" s="1" a="1"/>
  <c r="P155" i="5" s="1"/>
  <c r="M156" i="5"/>
  <c r="O156" i="5" s="1"/>
  <c r="P156" i="5" s="1" a="1"/>
  <c r="P156" i="5" s="1"/>
  <c r="M157" i="5"/>
  <c r="O157" i="5" s="1"/>
  <c r="P157" i="5" s="1" a="1"/>
  <c r="P157" i="5" s="1"/>
  <c r="M158" i="5"/>
  <c r="O158" i="5" s="1"/>
  <c r="P158" i="5" s="1" a="1"/>
  <c r="P158" i="5" s="1"/>
  <c r="M159" i="5"/>
  <c r="O159" i="5" s="1"/>
  <c r="P159" i="5" s="1" a="1"/>
  <c r="P159" i="5" s="1"/>
  <c r="M160" i="5"/>
  <c r="O160" i="5" s="1"/>
  <c r="P160" i="5" s="1" a="1"/>
  <c r="P160" i="5" s="1"/>
  <c r="M161" i="5"/>
  <c r="O161" i="5" s="1"/>
  <c r="P161" i="5" s="1" a="1"/>
  <c r="P161" i="5" s="1"/>
  <c r="M162" i="5"/>
  <c r="O162" i="5" s="1"/>
  <c r="P162" i="5" s="1" a="1"/>
  <c r="P162" i="5" s="1"/>
  <c r="M163" i="5"/>
  <c r="O163" i="5" s="1"/>
  <c r="P163" i="5" s="1" a="1"/>
  <c r="P163" i="5" s="1"/>
  <c r="M164" i="5"/>
  <c r="O164" i="5" s="1"/>
  <c r="P164" i="5" s="1" a="1"/>
  <c r="P164" i="5" s="1"/>
  <c r="M165" i="5"/>
  <c r="O165" i="5" s="1"/>
  <c r="P165" i="5" s="1" a="1"/>
  <c r="P165" i="5" s="1"/>
  <c r="M166" i="5"/>
  <c r="O166" i="5" s="1"/>
  <c r="P166" i="5" s="1" a="1"/>
  <c r="P166" i="5" s="1"/>
  <c r="M167" i="5"/>
  <c r="O167" i="5" s="1"/>
  <c r="P167" i="5" s="1" a="1"/>
  <c r="P167" i="5" s="1"/>
  <c r="M168" i="5"/>
  <c r="O168" i="5" s="1"/>
  <c r="P168" i="5" s="1" a="1"/>
  <c r="P168" i="5" s="1"/>
  <c r="M169" i="5"/>
  <c r="O169" i="5" s="1"/>
  <c r="P169" i="5" s="1" a="1"/>
  <c r="P169" i="5" s="1"/>
  <c r="M170" i="5"/>
  <c r="O170" i="5" s="1"/>
  <c r="P170" i="5" s="1" a="1"/>
  <c r="P170" i="5" s="1"/>
  <c r="M171" i="5"/>
  <c r="O171" i="5" s="1"/>
  <c r="P171" i="5" s="1" a="1"/>
  <c r="P171" i="5" s="1"/>
  <c r="M172" i="5"/>
  <c r="O172" i="5" s="1"/>
  <c r="P172" i="5" s="1" a="1"/>
  <c r="P172" i="5" s="1"/>
  <c r="M173" i="5"/>
  <c r="O173" i="5" s="1"/>
  <c r="P173" i="5" s="1" a="1"/>
  <c r="P173" i="5" s="1"/>
  <c r="M174" i="5"/>
  <c r="O174" i="5" s="1"/>
  <c r="P174" i="5" s="1" a="1"/>
  <c r="P174" i="5" s="1"/>
  <c r="M175" i="5"/>
  <c r="O175" i="5" s="1"/>
  <c r="P175" i="5" s="1" a="1"/>
  <c r="P175" i="5" s="1"/>
  <c r="M176" i="5"/>
  <c r="O176" i="5" s="1"/>
  <c r="P176" i="5" s="1" a="1"/>
  <c r="P176" i="5" s="1"/>
  <c r="M177" i="5"/>
  <c r="O177" i="5" s="1"/>
  <c r="P177" i="5" s="1" a="1"/>
  <c r="P177" i="5" s="1"/>
  <c r="M178" i="5"/>
  <c r="O178" i="5" s="1"/>
  <c r="P178" i="5" s="1" a="1"/>
  <c r="P178" i="5" s="1"/>
  <c r="M179" i="5"/>
  <c r="O179" i="5" s="1"/>
  <c r="P179" i="5" s="1" a="1"/>
  <c r="P179" i="5" s="1"/>
  <c r="M180" i="5"/>
  <c r="O180" i="5" s="1"/>
  <c r="P180" i="5" s="1" a="1"/>
  <c r="P180" i="5" s="1"/>
  <c r="M181" i="5"/>
  <c r="O181" i="5" s="1"/>
  <c r="P181" i="5" s="1" a="1"/>
  <c r="P181" i="5" s="1"/>
  <c r="M182" i="5"/>
  <c r="O182" i="5" s="1"/>
  <c r="P182" i="5" s="1" a="1"/>
  <c r="P182" i="5" s="1"/>
  <c r="M183" i="5"/>
  <c r="O183" i="5" s="1"/>
  <c r="P183" i="5" s="1" a="1"/>
  <c r="P183" i="5" s="1"/>
  <c r="M184" i="5"/>
  <c r="O184" i="5" s="1"/>
  <c r="P184" i="5" s="1" a="1"/>
  <c r="P184" i="5" s="1"/>
  <c r="M185" i="5"/>
  <c r="O185" i="5" s="1"/>
  <c r="P185" i="5" s="1" a="1"/>
  <c r="P185" i="5" s="1"/>
  <c r="M186" i="5"/>
  <c r="O186" i="5" s="1"/>
  <c r="P186" i="5" s="1" a="1"/>
  <c r="P186" i="5" s="1"/>
  <c r="M187" i="5"/>
  <c r="O187" i="5" s="1"/>
  <c r="P187" i="5" s="1" a="1"/>
  <c r="P187" i="5" s="1"/>
  <c r="M188" i="5"/>
  <c r="O188" i="5" s="1"/>
  <c r="P188" i="5" s="1" a="1"/>
  <c r="P188" i="5" s="1"/>
  <c r="M189" i="5"/>
  <c r="O189" i="5" s="1"/>
  <c r="P189" i="5" s="1" a="1"/>
  <c r="P189" i="5" s="1"/>
  <c r="M190" i="5"/>
  <c r="O190" i="5" s="1"/>
  <c r="P190" i="5" s="1" a="1"/>
  <c r="P190" i="5" s="1"/>
  <c r="M191" i="5"/>
  <c r="O191" i="5" s="1"/>
  <c r="P191" i="5" s="1" a="1"/>
  <c r="P191" i="5" s="1"/>
  <c r="M192" i="5"/>
  <c r="O192" i="5" s="1"/>
  <c r="P192" i="5" s="1" a="1"/>
  <c r="P192" i="5" s="1"/>
  <c r="M193" i="5"/>
  <c r="O193" i="5" s="1"/>
  <c r="P193" i="5" s="1" a="1"/>
  <c r="P193" i="5" s="1"/>
  <c r="M194" i="5"/>
  <c r="O194" i="5" s="1"/>
  <c r="P194" i="5" s="1" a="1"/>
  <c r="P194" i="5" s="1"/>
  <c r="M195" i="5"/>
  <c r="O195" i="5" s="1"/>
  <c r="P195" i="5" s="1" a="1"/>
  <c r="P195" i="5" s="1"/>
  <c r="M196" i="5"/>
  <c r="O196" i="5" s="1"/>
  <c r="P196" i="5" s="1" a="1"/>
  <c r="P196" i="5" s="1"/>
  <c r="M197" i="5"/>
  <c r="O197" i="5" s="1"/>
  <c r="P197" i="5" s="1" a="1"/>
  <c r="P197" i="5" s="1"/>
  <c r="M198" i="5"/>
  <c r="O198" i="5" s="1"/>
  <c r="P198" i="5" s="1" a="1"/>
  <c r="P198" i="5" s="1"/>
  <c r="M199" i="5"/>
  <c r="O199" i="5" s="1"/>
  <c r="P199" i="5" s="1" a="1"/>
  <c r="P199" i="5" s="1"/>
  <c r="M200" i="5"/>
  <c r="O200" i="5" s="1"/>
  <c r="P200" i="5" s="1" a="1"/>
  <c r="P200" i="5" s="1"/>
  <c r="M201" i="5"/>
  <c r="O201" i="5" s="1"/>
  <c r="P201" i="5" s="1" a="1"/>
  <c r="P201" i="5" s="1"/>
  <c r="M202" i="5"/>
  <c r="O202" i="5" s="1"/>
  <c r="P202" i="5" s="1" a="1"/>
  <c r="P202" i="5" s="1"/>
  <c r="M203" i="5"/>
  <c r="O203" i="5" s="1"/>
  <c r="P203" i="5" s="1" a="1"/>
  <c r="P203" i="5" s="1"/>
  <c r="M204" i="5"/>
  <c r="O204" i="5" s="1"/>
  <c r="P204" i="5" s="1" a="1"/>
  <c r="P204" i="5" s="1"/>
  <c r="M205" i="5"/>
  <c r="O205" i="5" s="1"/>
  <c r="P205" i="5" s="1" a="1"/>
  <c r="P205" i="5" s="1"/>
  <c r="M206" i="5"/>
  <c r="O206" i="5" s="1"/>
  <c r="P206" i="5" s="1" a="1"/>
  <c r="P206" i="5" s="1"/>
  <c r="M207" i="5"/>
  <c r="O207" i="5" s="1"/>
  <c r="P207" i="5" s="1" a="1"/>
  <c r="P207" i="5" s="1"/>
  <c r="M208" i="5"/>
  <c r="O208" i="5" s="1"/>
  <c r="P208" i="5" s="1" a="1"/>
  <c r="P208" i="5" s="1"/>
  <c r="M209" i="5"/>
  <c r="O209" i="5" s="1"/>
  <c r="P209" i="5" s="1" a="1"/>
  <c r="P209" i="5" s="1"/>
  <c r="M210" i="5"/>
  <c r="O210" i="5" s="1"/>
  <c r="P210" i="5" s="1" a="1"/>
  <c r="P210" i="5" s="1"/>
  <c r="M211" i="5"/>
  <c r="O211" i="5" s="1"/>
  <c r="P211" i="5" s="1" a="1"/>
  <c r="P211" i="5" s="1"/>
  <c r="M212" i="5"/>
  <c r="O212" i="5" s="1"/>
  <c r="P212" i="5" s="1" a="1"/>
  <c r="P212" i="5" s="1"/>
  <c r="M213" i="5"/>
  <c r="O213" i="5" s="1"/>
  <c r="P213" i="5" s="1" a="1"/>
  <c r="P213" i="5" s="1"/>
  <c r="M214" i="5"/>
  <c r="O214" i="5" s="1"/>
  <c r="P214" i="5" s="1" a="1"/>
  <c r="P214" i="5" s="1"/>
  <c r="M215" i="5"/>
  <c r="O215" i="5" s="1"/>
  <c r="P215" i="5" s="1" a="1"/>
  <c r="P215" i="5" s="1"/>
  <c r="M216" i="5"/>
  <c r="O216" i="5" s="1"/>
  <c r="P216" i="5" s="1" a="1"/>
  <c r="P216" i="5" s="1"/>
  <c r="M217" i="5"/>
  <c r="O217" i="5" s="1"/>
  <c r="P217" i="5" s="1" a="1"/>
  <c r="P217" i="5" s="1"/>
  <c r="M218" i="5"/>
  <c r="O218" i="5" s="1"/>
  <c r="P218" i="5" s="1" a="1"/>
  <c r="P218" i="5" s="1"/>
  <c r="M219" i="5"/>
  <c r="O219" i="5" s="1"/>
  <c r="P219" i="5" s="1" a="1"/>
  <c r="P219" i="5" s="1"/>
  <c r="M220" i="5"/>
  <c r="O220" i="5" s="1"/>
  <c r="P220" i="5" s="1" a="1"/>
  <c r="P220" i="5" s="1"/>
  <c r="M221" i="5"/>
  <c r="O221" i="5" s="1"/>
  <c r="P221" i="5" s="1" a="1"/>
  <c r="P221" i="5" s="1"/>
  <c r="M222" i="5"/>
  <c r="O222" i="5" s="1"/>
  <c r="P222" i="5" s="1" a="1"/>
  <c r="P222" i="5" s="1"/>
  <c r="M223" i="5"/>
  <c r="O223" i="5" s="1"/>
  <c r="P223" i="5" s="1" a="1"/>
  <c r="P223" i="5" s="1"/>
  <c r="M224" i="5"/>
  <c r="O224" i="5" s="1"/>
  <c r="P224" i="5" s="1" a="1"/>
  <c r="P224" i="5" s="1"/>
  <c r="M225" i="5"/>
  <c r="O225" i="5" s="1"/>
  <c r="P225" i="5" s="1" a="1"/>
  <c r="P225" i="5" s="1"/>
  <c r="M226" i="5"/>
  <c r="O226" i="5" s="1"/>
  <c r="P226" i="5" s="1" a="1"/>
  <c r="P226" i="5" s="1"/>
  <c r="M227" i="5"/>
  <c r="O227" i="5" s="1"/>
  <c r="P227" i="5" s="1" a="1"/>
  <c r="P227" i="5" s="1"/>
  <c r="M228" i="5"/>
  <c r="O228" i="5" s="1"/>
  <c r="P228" i="5" s="1" a="1"/>
  <c r="P228" i="5" s="1"/>
  <c r="M229" i="5"/>
  <c r="O229" i="5" s="1"/>
  <c r="P229" i="5" s="1" a="1"/>
  <c r="P229" i="5" s="1"/>
  <c r="M230" i="5"/>
  <c r="O230" i="5" s="1"/>
  <c r="P230" i="5" s="1" a="1"/>
  <c r="P230" i="5" s="1"/>
  <c r="M231" i="5"/>
  <c r="O231" i="5" s="1"/>
  <c r="P231" i="5" s="1" a="1"/>
  <c r="P231" i="5" s="1"/>
  <c r="M232" i="5"/>
  <c r="O232" i="5" s="1"/>
  <c r="P232" i="5" s="1" a="1"/>
  <c r="P232" i="5" s="1"/>
  <c r="M233" i="5"/>
  <c r="O233" i="5" s="1"/>
  <c r="P233" i="5" s="1" a="1"/>
  <c r="P233" i="5" s="1"/>
  <c r="M234" i="5"/>
  <c r="O234" i="5" s="1"/>
  <c r="P234" i="5" s="1" a="1"/>
  <c r="P234" i="5" s="1"/>
  <c r="M235" i="5"/>
  <c r="O235" i="5" s="1"/>
  <c r="P235" i="5" s="1" a="1"/>
  <c r="P235" i="5" s="1"/>
  <c r="M236" i="5"/>
  <c r="O236" i="5" s="1"/>
  <c r="P236" i="5" s="1" a="1"/>
  <c r="P236" i="5" s="1"/>
  <c r="M237" i="5"/>
  <c r="O237" i="5" s="1"/>
  <c r="P237" i="5" s="1" a="1"/>
  <c r="P237" i="5" s="1"/>
  <c r="M238" i="5"/>
  <c r="O238" i="5" s="1"/>
  <c r="P238" i="5" s="1" a="1"/>
  <c r="P238" i="5" s="1"/>
  <c r="M239" i="5"/>
  <c r="O239" i="5" s="1"/>
  <c r="P239" i="5" s="1" a="1"/>
  <c r="P239" i="5" s="1"/>
  <c r="M240" i="5"/>
  <c r="O240" i="5" s="1"/>
  <c r="P240" i="5" s="1" a="1"/>
  <c r="P240" i="5" s="1"/>
  <c r="M241" i="5"/>
  <c r="O241" i="5" s="1"/>
  <c r="P241" i="5" s="1" a="1"/>
  <c r="P241" i="5" s="1"/>
  <c r="M242" i="5"/>
  <c r="O242" i="5" s="1"/>
  <c r="P242" i="5" s="1" a="1"/>
  <c r="P242" i="5" s="1"/>
  <c r="M243" i="5"/>
  <c r="O243" i="5" s="1"/>
  <c r="P243" i="5" s="1" a="1"/>
  <c r="P243" i="5" s="1"/>
  <c r="M244" i="5"/>
  <c r="O244" i="5" s="1"/>
  <c r="P244" i="5" s="1" a="1"/>
  <c r="P244" i="5" s="1"/>
  <c r="M245" i="5"/>
  <c r="O245" i="5" s="1"/>
  <c r="P245" i="5" s="1" a="1"/>
  <c r="P245" i="5" s="1"/>
  <c r="M246" i="5"/>
  <c r="O246" i="5" s="1"/>
  <c r="P246" i="5" s="1" a="1"/>
  <c r="P246" i="5" s="1"/>
  <c r="M247" i="5"/>
  <c r="O247" i="5" s="1"/>
  <c r="P247" i="5" s="1" a="1"/>
  <c r="P247" i="5" s="1"/>
  <c r="M248" i="5"/>
  <c r="O248" i="5" s="1"/>
  <c r="P248" i="5" s="1" a="1"/>
  <c r="P248" i="5" s="1"/>
  <c r="M249" i="5"/>
  <c r="O249" i="5" s="1"/>
  <c r="P249" i="5" s="1" a="1"/>
  <c r="P249" i="5" s="1"/>
  <c r="M250" i="5"/>
  <c r="O250" i="5" s="1"/>
  <c r="P250" i="5" s="1" a="1"/>
  <c r="P250" i="5" s="1"/>
  <c r="M251" i="5"/>
  <c r="O251" i="5" s="1"/>
  <c r="P251" i="5" s="1" a="1"/>
  <c r="P251" i="5" s="1"/>
  <c r="M252" i="5"/>
  <c r="O252" i="5" s="1"/>
  <c r="P252" i="5" s="1" a="1"/>
  <c r="P252" i="5" s="1"/>
  <c r="M253" i="5"/>
  <c r="O253" i="5" s="1"/>
  <c r="P253" i="5" s="1" a="1"/>
  <c r="P253" i="5" s="1"/>
  <c r="M254" i="5"/>
  <c r="O254" i="5" s="1"/>
  <c r="P254" i="5" s="1" a="1"/>
  <c r="P254" i="5" s="1"/>
  <c r="M255" i="5"/>
  <c r="O255" i="5" s="1"/>
  <c r="P255" i="5" s="1" a="1"/>
  <c r="P255" i="5" s="1"/>
  <c r="M256" i="5"/>
  <c r="O256" i="5" s="1"/>
  <c r="P256" i="5" s="1" a="1"/>
  <c r="P256" i="5" s="1"/>
  <c r="M257" i="5"/>
  <c r="O257" i="5" s="1"/>
  <c r="P257" i="5" s="1" a="1"/>
  <c r="P257" i="5" s="1"/>
  <c r="M258" i="5"/>
  <c r="O258" i="5" s="1"/>
  <c r="P258" i="5" s="1" a="1"/>
  <c r="P258" i="5" s="1"/>
  <c r="M259" i="5"/>
  <c r="O259" i="5" s="1"/>
  <c r="P259" i="5" s="1" a="1"/>
  <c r="P259" i="5" s="1"/>
  <c r="M260" i="5"/>
  <c r="O260" i="5" s="1"/>
  <c r="P260" i="5" s="1" a="1"/>
  <c r="P260" i="5" s="1"/>
  <c r="M261" i="5"/>
  <c r="O261" i="5" s="1"/>
  <c r="P261" i="5" s="1" a="1"/>
  <c r="P261" i="5" s="1"/>
  <c r="M262" i="5"/>
  <c r="O262" i="5" s="1"/>
  <c r="P262" i="5" s="1" a="1"/>
  <c r="P262" i="5" s="1"/>
  <c r="M263" i="5"/>
  <c r="O263" i="5" s="1"/>
  <c r="P263" i="5" s="1" a="1"/>
  <c r="P263" i="5" s="1"/>
  <c r="M264" i="5"/>
  <c r="O264" i="5" s="1"/>
  <c r="P264" i="5" s="1" a="1"/>
  <c r="P264" i="5" s="1"/>
  <c r="M265" i="5"/>
  <c r="O265" i="5" s="1"/>
  <c r="P265" i="5" s="1" a="1"/>
  <c r="P265" i="5" s="1"/>
  <c r="M266" i="5"/>
  <c r="O266" i="5" s="1"/>
  <c r="P266" i="5" s="1" a="1"/>
  <c r="P266" i="5" s="1"/>
  <c r="M267" i="5"/>
  <c r="O267" i="5" s="1"/>
  <c r="P267" i="5" s="1" a="1"/>
  <c r="P267" i="5" s="1"/>
  <c r="M268" i="5"/>
  <c r="O268" i="5" s="1"/>
  <c r="P268" i="5" s="1" a="1"/>
  <c r="P268" i="5" s="1"/>
  <c r="M269" i="5"/>
  <c r="O269" i="5" s="1"/>
  <c r="P269" i="5" s="1" a="1"/>
  <c r="P269" i="5" s="1"/>
  <c r="M270" i="5"/>
  <c r="O270" i="5" s="1"/>
  <c r="P270" i="5" s="1" a="1"/>
  <c r="P270" i="5" s="1"/>
  <c r="M271" i="5"/>
  <c r="O271" i="5" s="1"/>
  <c r="P271" i="5" s="1" a="1"/>
  <c r="P271" i="5" s="1"/>
  <c r="M272" i="5"/>
  <c r="O272" i="5" s="1"/>
  <c r="P272" i="5" s="1" a="1"/>
  <c r="P272" i="5" s="1"/>
  <c r="M273" i="5"/>
  <c r="O273" i="5" s="1"/>
  <c r="P273" i="5" s="1" a="1"/>
  <c r="P273" i="5" s="1"/>
  <c r="M274" i="5"/>
  <c r="O274" i="5" s="1"/>
  <c r="P274" i="5" s="1" a="1"/>
  <c r="P274" i="5" s="1"/>
  <c r="M275" i="5"/>
  <c r="O275" i="5" s="1"/>
  <c r="P275" i="5" s="1" a="1"/>
  <c r="P275" i="5" s="1"/>
  <c r="M276" i="5"/>
  <c r="O276" i="5" s="1"/>
  <c r="P276" i="5" s="1" a="1"/>
  <c r="P276" i="5" s="1"/>
  <c r="M277" i="5"/>
  <c r="O277" i="5" s="1"/>
  <c r="P277" i="5" s="1" a="1"/>
  <c r="P277" i="5" s="1"/>
  <c r="M278" i="5"/>
  <c r="O278" i="5" s="1"/>
  <c r="P278" i="5" s="1" a="1"/>
  <c r="P278" i="5" s="1"/>
  <c r="M279" i="5"/>
  <c r="O279" i="5" s="1"/>
  <c r="P279" i="5" s="1" a="1"/>
  <c r="P279" i="5" s="1"/>
  <c r="M280" i="5"/>
  <c r="O280" i="5" s="1"/>
  <c r="P280" i="5" s="1" a="1"/>
  <c r="P280" i="5" s="1"/>
  <c r="M281" i="5"/>
  <c r="O281" i="5" s="1"/>
  <c r="P281" i="5" s="1" a="1"/>
  <c r="P281" i="5" s="1"/>
  <c r="M282" i="5"/>
  <c r="O282" i="5" s="1"/>
  <c r="P282" i="5" s="1" a="1"/>
  <c r="P282" i="5" s="1"/>
  <c r="M283" i="5"/>
  <c r="O283" i="5" s="1"/>
  <c r="P283" i="5" s="1" a="1"/>
  <c r="P283" i="5" s="1"/>
  <c r="M284" i="5"/>
  <c r="O284" i="5" s="1"/>
  <c r="P284" i="5" s="1" a="1"/>
  <c r="P284" i="5" s="1"/>
  <c r="M285" i="5"/>
  <c r="O285" i="5" s="1"/>
  <c r="P285" i="5" s="1" a="1"/>
  <c r="P285" i="5" s="1"/>
  <c r="M286" i="5"/>
  <c r="O286" i="5" s="1"/>
  <c r="P286" i="5" s="1" a="1"/>
  <c r="P286" i="5" s="1"/>
  <c r="M287" i="5"/>
  <c r="O287" i="5" s="1"/>
  <c r="P287" i="5" s="1" a="1"/>
  <c r="P287" i="5" s="1"/>
  <c r="M288" i="5"/>
  <c r="O288" i="5" s="1"/>
  <c r="P288" i="5" s="1" a="1"/>
  <c r="P288" i="5" s="1"/>
  <c r="M289" i="5"/>
  <c r="O289" i="5" s="1"/>
  <c r="P289" i="5" s="1" a="1"/>
  <c r="P289" i="5" s="1"/>
  <c r="M290" i="5"/>
  <c r="O290" i="5" s="1"/>
  <c r="P290" i="5" s="1" a="1"/>
  <c r="P290" i="5" s="1"/>
  <c r="M291" i="5"/>
  <c r="O291" i="5" s="1"/>
  <c r="P291" i="5" s="1" a="1"/>
  <c r="P291" i="5" s="1"/>
  <c r="M292" i="5"/>
  <c r="O292" i="5" s="1"/>
  <c r="P292" i="5" s="1" a="1"/>
  <c r="P292" i="5" s="1"/>
  <c r="M293" i="5"/>
  <c r="O293" i="5" s="1"/>
  <c r="P293" i="5" s="1" a="1"/>
  <c r="P293" i="5" s="1"/>
  <c r="M294" i="5"/>
  <c r="O294" i="5" s="1"/>
  <c r="P294" i="5" s="1" a="1"/>
  <c r="P294" i="5" s="1"/>
  <c r="M295" i="5"/>
  <c r="O295" i="5" s="1"/>
  <c r="P295" i="5" s="1" a="1"/>
  <c r="P295" i="5" s="1"/>
  <c r="M296" i="5"/>
  <c r="O296" i="5" s="1"/>
  <c r="P296" i="5" s="1" a="1"/>
  <c r="P296" i="5" s="1"/>
  <c r="M297" i="5"/>
  <c r="O297" i="5" s="1"/>
  <c r="P297" i="5" s="1" a="1"/>
  <c r="P297" i="5" s="1"/>
  <c r="M298" i="5"/>
  <c r="O298" i="5" s="1"/>
  <c r="P298" i="5" s="1" a="1"/>
  <c r="P298" i="5" s="1"/>
  <c r="M299" i="5"/>
  <c r="O299" i="5" s="1"/>
  <c r="P299" i="5" s="1" a="1"/>
  <c r="P299" i="5" s="1"/>
  <c r="M300" i="5"/>
  <c r="O300" i="5" s="1"/>
  <c r="P300" i="5" s="1" a="1"/>
  <c r="P300" i="5" s="1"/>
  <c r="M301" i="5"/>
  <c r="O301" i="5" s="1"/>
  <c r="P301" i="5" s="1" a="1"/>
  <c r="P301" i="5" s="1"/>
  <c r="M302" i="5"/>
  <c r="O302" i="5" s="1"/>
  <c r="P302" i="5" s="1" a="1"/>
  <c r="P302" i="5" s="1"/>
  <c r="M303" i="5"/>
  <c r="O303" i="5" s="1"/>
  <c r="P303" i="5" s="1" a="1"/>
  <c r="P303" i="5" s="1"/>
  <c r="M304" i="5"/>
  <c r="O304" i="5" s="1"/>
  <c r="P304" i="5" s="1" a="1"/>
  <c r="P304" i="5" s="1"/>
  <c r="A1805" i="7"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328CC76-8368-4B0F-8D74-A4AE96689F3A}" keepAlive="1" name="Query - 10301,Superintendent - 1,5,Accounta" description="Connection to the '10301,Superintendent - 1,5,Accounta' query in the workbook." type="5" refreshedVersion="0" background="1">
    <dbPr connection="Provider=Microsoft.Mashup.OleDb.1;Data Source=$Workbook$;Location=&quot;10301,Superintendent - 1,5,Accounta&quot;;Extended Properties=&quot;&quot;" command="SELECT * FROM [10301,Superintendent - 1,5,Accounta]"/>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<sst xmlns="http://schemas.openxmlformats.org/spreadsheetml/2006/main" count="22121" uniqueCount="4563">
  <si>
    <t>Name</t>
  </si>
  <si>
    <t>Job Code</t>
  </si>
  <si>
    <t>Job Title</t>
  </si>
  <si>
    <t>Hire Date</t>
  </si>
  <si>
    <t>User Name</t>
  </si>
  <si>
    <t>Manager</t>
  </si>
  <si>
    <t>Company Location</t>
  </si>
  <si>
    <t>Branch</t>
  </si>
  <si>
    <t>Houser, Rykley</t>
  </si>
  <si>
    <t>Estimator - 2</t>
  </si>
  <si>
    <t>rhouser@gslelectric.com</t>
  </si>
  <si>
    <t>Aaron Houser</t>
  </si>
  <si>
    <t>Great Salt Lake Electric, Inc.</t>
  </si>
  <si>
    <t>SLC</t>
  </si>
  <si>
    <t>McKeon, Kirk</t>
  </si>
  <si>
    <t>Estimator - 1</t>
  </si>
  <si>
    <t>kmckeon@gslelectric.com</t>
  </si>
  <si>
    <t>Anderson, Lisa</t>
  </si>
  <si>
    <t>Electrical Project Administrat</t>
  </si>
  <si>
    <t>landerson@gslelectric.com</t>
  </si>
  <si>
    <t>Billy Johnson</t>
  </si>
  <si>
    <t>Bindrup, Shayne</t>
  </si>
  <si>
    <t>General Superintendent</t>
  </si>
  <si>
    <t>sbindrup@gslelectric.com</t>
  </si>
  <si>
    <t>Capell, Phil</t>
  </si>
  <si>
    <t>Director of Pre-Const Svcs</t>
  </si>
  <si>
    <t>pcapell@gslelectric.com</t>
  </si>
  <si>
    <t>Chadwick, Dale</t>
  </si>
  <si>
    <t>Design Build Manager</t>
  </si>
  <si>
    <t>cchadwick@gslelectric.com</t>
  </si>
  <si>
    <t>Christensen, Nyle</t>
  </si>
  <si>
    <t>Electrical Project Manager - 2</t>
  </si>
  <si>
    <t>nchristensen@gslelectric.com</t>
  </si>
  <si>
    <t>Hancock, Joel</t>
  </si>
  <si>
    <t>jhancock@gslelectric.com</t>
  </si>
  <si>
    <t>Hartwell, Michael</t>
  </si>
  <si>
    <t>mhartwell@gslelectric.com</t>
  </si>
  <si>
    <t>Houser, Aaron</t>
  </si>
  <si>
    <t>Specail Projects Depart Mgr</t>
  </si>
  <si>
    <t>ahouser@gslelectric.com</t>
  </si>
  <si>
    <t>Morley, Michael</t>
  </si>
  <si>
    <t>Low Voltage Systems Dept Mgr</t>
  </si>
  <si>
    <t>mmorley@gslelectric.com</t>
  </si>
  <si>
    <t>Peterson, Luke</t>
  </si>
  <si>
    <t>Electrical Project Manager - 3</t>
  </si>
  <si>
    <t>lpeterson@gslelectric.com</t>
  </si>
  <si>
    <t>Sorensen, Jarryd</t>
  </si>
  <si>
    <t>jsorensen@gslelectric.com</t>
  </si>
  <si>
    <t>Spencer, Christopher</t>
  </si>
  <si>
    <t>Electrical Asst. Project Mgr.</t>
  </si>
  <si>
    <t>cspencer@gslelectric.com</t>
  </si>
  <si>
    <t>Svedin, Kirt</t>
  </si>
  <si>
    <t>Electrical Project Manager - 1</t>
  </si>
  <si>
    <t>ksvedin@gslelectric.com</t>
  </si>
  <si>
    <t>Taft, Andrew</t>
  </si>
  <si>
    <t>adtaft@gslelectric.com</t>
  </si>
  <si>
    <t>Weise, Shane</t>
  </si>
  <si>
    <t>Pre Con/Prefab/Manufact Super</t>
  </si>
  <si>
    <t>sweise@gslelectric.com</t>
  </si>
  <si>
    <t>Duenas, Adrian</t>
  </si>
  <si>
    <t>Shop Foreman</t>
  </si>
  <si>
    <t>aduenas@gslelectric.com</t>
  </si>
  <si>
    <t>Billy Smith</t>
  </si>
  <si>
    <t>Lane, Bryan</t>
  </si>
  <si>
    <t>blane@gslelectric.com</t>
  </si>
  <si>
    <t>Lovato, Michael</t>
  </si>
  <si>
    <t>Expeditor</t>
  </si>
  <si>
    <t>mlovato@gslelectric.com</t>
  </si>
  <si>
    <t>Martinson, Lars</t>
  </si>
  <si>
    <t>lmartinson@gslelectric.com</t>
  </si>
  <si>
    <t>Brian Cornia</t>
  </si>
  <si>
    <t>Sahli, Gavin</t>
  </si>
  <si>
    <t>Warehouse Assistant</t>
  </si>
  <si>
    <t>gsahli@gslelectric.com</t>
  </si>
  <si>
    <t>Taft, Dale</t>
  </si>
  <si>
    <t>drtaft@gslelectric.com</t>
  </si>
  <si>
    <t>Black, Herbert</t>
  </si>
  <si>
    <t>Branch Manager</t>
  </si>
  <si>
    <t>lblack@gslelectric.com</t>
  </si>
  <si>
    <t>Cody Cummings</t>
  </si>
  <si>
    <t>Lee, J-Dean</t>
  </si>
  <si>
    <t>Purchasing Administrator</t>
  </si>
  <si>
    <t>jlee@gslelectric.com</t>
  </si>
  <si>
    <t>Cubalah Zaragoza</t>
  </si>
  <si>
    <t>Benson, Troy</t>
  </si>
  <si>
    <t>Designer - 6</t>
  </si>
  <si>
    <t>tbenson@gslelectric.com</t>
  </si>
  <si>
    <t>Dale Chadwick</t>
  </si>
  <si>
    <t>Hoyt, Taylor</t>
  </si>
  <si>
    <t>Designer - 3</t>
  </si>
  <si>
    <t>thoyt@gslelectric.com</t>
  </si>
  <si>
    <t>Nuffer, Myron</t>
  </si>
  <si>
    <t>Designer - 2</t>
  </si>
  <si>
    <t>dnuffer@gslelectric.com</t>
  </si>
  <si>
    <t>Paxton, Steven</t>
  </si>
  <si>
    <t>Safety Superintendent</t>
  </si>
  <si>
    <t>spaxton@gslelectric.com</t>
  </si>
  <si>
    <t>David Richards</t>
  </si>
  <si>
    <t>Worley, Derek</t>
  </si>
  <si>
    <t>dworley@gslelectric.com</t>
  </si>
  <si>
    <t>Delgado Villa, Ismael</t>
  </si>
  <si>
    <t>LVS Lead Tech - 3</t>
  </si>
  <si>
    <t>idelgadovilla@gslelectric.com</t>
  </si>
  <si>
    <t>Dion Cacho</t>
  </si>
  <si>
    <t>Gootee, Joseph</t>
  </si>
  <si>
    <t>SP Foreman - 2</t>
  </si>
  <si>
    <t>jgootee@gslelectric.com</t>
  </si>
  <si>
    <t>Hunt, Monica</t>
  </si>
  <si>
    <t>mseaton@gslelectric.com</t>
  </si>
  <si>
    <t>Molina, Sonny</t>
  </si>
  <si>
    <t>LVS Foreman - 1</t>
  </si>
  <si>
    <t>smolina@gslelectric.com</t>
  </si>
  <si>
    <t>Morelli, Ronald</t>
  </si>
  <si>
    <t>SP Leadman - 3</t>
  </si>
  <si>
    <t>rmorelli@gslelectric.com</t>
  </si>
  <si>
    <t>Nielsen, James</t>
  </si>
  <si>
    <t>LVS Superintendent - 2</t>
  </si>
  <si>
    <t>jamesnielsen@gslelectric.com</t>
  </si>
  <si>
    <t>Salazar Morales, Jose</t>
  </si>
  <si>
    <t>jrsalazar@gslelectric.com</t>
  </si>
  <si>
    <t>Sorensen, Michael</t>
  </si>
  <si>
    <t>SP Superintendent - 1</t>
  </si>
  <si>
    <t>msorensen@gslelectric.com</t>
  </si>
  <si>
    <t>Galvan, Rogelio</t>
  </si>
  <si>
    <t>rgalvan@gslelectric.com</t>
  </si>
  <si>
    <t>Dustin Williams</t>
  </si>
  <si>
    <t>Abram, Kamisha</t>
  </si>
  <si>
    <t>Apprentice - 4B</t>
  </si>
  <si>
    <t>kabram@gslelectric.com</t>
  </si>
  <si>
    <t>Glen Nelson</t>
  </si>
  <si>
    <t>Aguilera, Jason</t>
  </si>
  <si>
    <t>jaguilera@gslelectric.com</t>
  </si>
  <si>
    <t>Aleman, Luis</t>
  </si>
  <si>
    <t>Apprentice - 2B</t>
  </si>
  <si>
    <t>laleman@gslelectric.com</t>
  </si>
  <si>
    <t>Alesandrini, Michael</t>
  </si>
  <si>
    <t>Unlicensed Journeyman</t>
  </si>
  <si>
    <t>malesandrini@gslelectric.com</t>
  </si>
  <si>
    <t>Alvarez Hernandez, Sandro</t>
  </si>
  <si>
    <t>salvarezherndandez@gslelectric.com</t>
  </si>
  <si>
    <t>Andrews Trotter, Israel</t>
  </si>
  <si>
    <t>Apprentice - 2A</t>
  </si>
  <si>
    <t>iandrewstrotter@gslelectric.com</t>
  </si>
  <si>
    <t>Baldwin, Dakota</t>
  </si>
  <si>
    <t>dbaldwin@gslelectric.com</t>
  </si>
  <si>
    <t>Balean, Jordan</t>
  </si>
  <si>
    <t>Journeyman - 3</t>
  </si>
  <si>
    <t>jbalean@gslelectric.com</t>
  </si>
  <si>
    <t>Ballestero, Dany</t>
  </si>
  <si>
    <t>dballestero@gslelectric.com</t>
  </si>
  <si>
    <t>Barks, Dustin</t>
  </si>
  <si>
    <t>dbarks@gslelectric.com</t>
  </si>
  <si>
    <t>Bautista, Angel</t>
  </si>
  <si>
    <t>Unindentrured Apprentice</t>
  </si>
  <si>
    <t>abautista@gslelectric.com</t>
  </si>
  <si>
    <t>Bihl, Eric</t>
  </si>
  <si>
    <t>Leadman - 1</t>
  </si>
  <si>
    <t>ebihl@gslelectric.com</t>
  </si>
  <si>
    <t>Bravo, Christian</t>
  </si>
  <si>
    <t>cbravo@gslelectric.com</t>
  </si>
  <si>
    <t>Britt, James</t>
  </si>
  <si>
    <t>Apprentice - 1B</t>
  </si>
  <si>
    <t>jbritt@gslelectric.com</t>
  </si>
  <si>
    <t>Brown, Kevin</t>
  </si>
  <si>
    <t>Leadman - 3</t>
  </si>
  <si>
    <t>kbrown@gslelectric.com</t>
  </si>
  <si>
    <t>Bruins, Braden</t>
  </si>
  <si>
    <t>Apprentice - 4A</t>
  </si>
  <si>
    <t>bbruins@gslelectric.com</t>
  </si>
  <si>
    <t>Burt, Jonah</t>
  </si>
  <si>
    <t>jburt@gslelectric.com</t>
  </si>
  <si>
    <t>Burton, Shane</t>
  </si>
  <si>
    <t>sburton@gslelectric.com</t>
  </si>
  <si>
    <t>Bustamante Castaneda, Enrique</t>
  </si>
  <si>
    <t>ebustamantecastaneda@gslelectric.com</t>
  </si>
  <si>
    <t>Campbell, Josh</t>
  </si>
  <si>
    <t>jcampbell@gslelectric.com</t>
  </si>
  <si>
    <t>Carbajal, Carlos</t>
  </si>
  <si>
    <t>ccarbajal@gslelectric.com</t>
  </si>
  <si>
    <t>Carlone, Brian</t>
  </si>
  <si>
    <t>bcarlone@gslelectric.com</t>
  </si>
  <si>
    <t>Carrasco, Jose</t>
  </si>
  <si>
    <t>jcarrasco@gslelectric.com</t>
  </si>
  <si>
    <t>Carrillo, Oscar</t>
  </si>
  <si>
    <t>Foreman - 1</t>
  </si>
  <si>
    <t>ocarrillo@gslelectric.com</t>
  </si>
  <si>
    <t>Castaneda, Ramon</t>
  </si>
  <si>
    <t>Leadman - 2</t>
  </si>
  <si>
    <t>rcastaneda@gslelectric.com</t>
  </si>
  <si>
    <t>Castro Martinez, Hector</t>
  </si>
  <si>
    <t>hcastromartinez@gslelectric.com</t>
  </si>
  <si>
    <t>Ceniceros, Matthew</t>
  </si>
  <si>
    <t>mceniceros@gslelectric.com</t>
  </si>
  <si>
    <t>Chavez, Cruz</t>
  </si>
  <si>
    <t>cchavez@gslelectric.com</t>
  </si>
  <si>
    <t>Chrisman, Dylan</t>
  </si>
  <si>
    <t>dchrisman@gslelectric.com</t>
  </si>
  <si>
    <t>Collins, Cameron</t>
  </si>
  <si>
    <t>ccollins@gslelectric.com</t>
  </si>
  <si>
    <t>Collins, William</t>
  </si>
  <si>
    <t>Superintendent - 3</t>
  </si>
  <si>
    <t>bcollins@gslelectric.com</t>
  </si>
  <si>
    <t>Creegan, Daniel</t>
  </si>
  <si>
    <t>dcreegan@gslelectric.com</t>
  </si>
  <si>
    <t>De Paz, Fredy</t>
  </si>
  <si>
    <t>fdepaz@gslelectric.com</t>
  </si>
  <si>
    <t>DeGuzman, Darius</t>
  </si>
  <si>
    <t>ddeguzman@gslelectric.com</t>
  </si>
  <si>
    <t>Duenez Flores, Gonzalo</t>
  </si>
  <si>
    <t>gduenezflores@gslelectric.com</t>
  </si>
  <si>
    <t>Dunlap, Eric</t>
  </si>
  <si>
    <t>edunlap@gslelectric.com</t>
  </si>
  <si>
    <t>Eddins, James</t>
  </si>
  <si>
    <t>jeddins@gslelectric.com</t>
  </si>
  <si>
    <t>Epling, Erik</t>
  </si>
  <si>
    <t>eepling@gslelectric.com</t>
  </si>
  <si>
    <t>Esparza, Roy</t>
  </si>
  <si>
    <t>resparza@gslelectric.com</t>
  </si>
  <si>
    <t>Fellabaum, Samuel</t>
  </si>
  <si>
    <t>Journeyman - 1</t>
  </si>
  <si>
    <t>sfellabaum@gslelectric.com</t>
  </si>
  <si>
    <t>Fiorenza, Charles</t>
  </si>
  <si>
    <t>Superintendent - 1</t>
  </si>
  <si>
    <t>cfiorenza@gslelectric.com</t>
  </si>
  <si>
    <t>Flores, Benjamin</t>
  </si>
  <si>
    <t>bflores@gslelectric.com</t>
  </si>
  <si>
    <t>Flores Gutierrez, Mario</t>
  </si>
  <si>
    <t>mfloresgutierrez@gslelectric.com</t>
  </si>
  <si>
    <t>Nevada Location</t>
  </si>
  <si>
    <t>Foltz, KC</t>
  </si>
  <si>
    <t>kfoltz@gslelectric.com</t>
  </si>
  <si>
    <t>Garcia, Daniel</t>
  </si>
  <si>
    <t>dgarcia@gslelectric.com</t>
  </si>
  <si>
    <t>Garcia, Erik</t>
  </si>
  <si>
    <t>eogarcia@gslelectric.com</t>
  </si>
  <si>
    <t>Garcia Velazco, Nancy</t>
  </si>
  <si>
    <t>ngarciavelazco@gslelectric.com</t>
  </si>
  <si>
    <t>Gavryush, Eduard</t>
  </si>
  <si>
    <t>egavryush@gslelectric.com</t>
  </si>
  <si>
    <t>Gifford, Bo</t>
  </si>
  <si>
    <t>Superintendent - 2</t>
  </si>
  <si>
    <t>bgifford@gslelectric.com</t>
  </si>
  <si>
    <t>Glad, Samuel</t>
  </si>
  <si>
    <t>sglad@gslelectric.com</t>
  </si>
  <si>
    <t>Gonzalez, Carlos</t>
  </si>
  <si>
    <t>carlosgonzalez@gslelectric.com</t>
  </si>
  <si>
    <t>Gonzalez Fregoso, Rodrigo</t>
  </si>
  <si>
    <t>rgonzalezfregoso@gslelectric.com</t>
  </si>
  <si>
    <t>Hampton, Bo</t>
  </si>
  <si>
    <t>Foreman - 3</t>
  </si>
  <si>
    <t>bhampton@gslelectric.com</t>
  </si>
  <si>
    <t>Hernandez, Daniel</t>
  </si>
  <si>
    <t>danhernandez@gslelectric.com</t>
  </si>
  <si>
    <t>Hernandez, Dodani</t>
  </si>
  <si>
    <t>dhernandez@gslelectric.com</t>
  </si>
  <si>
    <t>Hernandez Apolinar, Norberto</t>
  </si>
  <si>
    <t>nhernandezapolinar@gslelectric.com</t>
  </si>
  <si>
    <t>Hernandez Gutierrez, Christopher</t>
  </si>
  <si>
    <t>chernandezgutierrez@gslelectric.com</t>
  </si>
  <si>
    <t>Herrera Maganda, Jose</t>
  </si>
  <si>
    <t>jherreramaganda@gslelectric.com</t>
  </si>
  <si>
    <t>Hill, Mark</t>
  </si>
  <si>
    <t>mhill@gslelectric.com</t>
  </si>
  <si>
    <t>Hodnett, Christopher</t>
  </si>
  <si>
    <t>chodnett@gslelectric.com</t>
  </si>
  <si>
    <t>Huth, Christopher</t>
  </si>
  <si>
    <t>chuth@gslelectric.com</t>
  </si>
  <si>
    <t>Ibarra, Angel</t>
  </si>
  <si>
    <t>aibarra@gslelectric.com</t>
  </si>
  <si>
    <t>Iloreta, Shawn</t>
  </si>
  <si>
    <t>siloreta@gslelectric.com</t>
  </si>
  <si>
    <t>Irazaba, Juan</t>
  </si>
  <si>
    <t>Apprentice - 3A</t>
  </si>
  <si>
    <t>jirazaba@gslelectric.com</t>
  </si>
  <si>
    <t>King, Mason</t>
  </si>
  <si>
    <t>mking@gslelectric.com</t>
  </si>
  <si>
    <t>Kmitas, Juozas</t>
  </si>
  <si>
    <t>jkmitas@gslelectric.com</t>
  </si>
  <si>
    <t>Ledezma, Eddiberto</t>
  </si>
  <si>
    <t>eledezma@gslelectric.com</t>
  </si>
  <si>
    <t>Lopez, Noell</t>
  </si>
  <si>
    <t>nlopez@gslelectric.com</t>
  </si>
  <si>
    <t>Loza, Miguel</t>
  </si>
  <si>
    <t>mloza@gslelectric.com</t>
  </si>
  <si>
    <t>Lundy, Moliere</t>
  </si>
  <si>
    <t>mlundy@gslelectric.com</t>
  </si>
  <si>
    <t>Manzo, Mark</t>
  </si>
  <si>
    <t>mmanzo@gslelectric.com</t>
  </si>
  <si>
    <t>Martinez, Emiliano</t>
  </si>
  <si>
    <t>emartinez@gslelectric.com</t>
  </si>
  <si>
    <t>McMurtrey, Zachary</t>
  </si>
  <si>
    <t>zmcmurtrey@gslelectric.com</t>
  </si>
  <si>
    <t>Mejia, Jordan</t>
  </si>
  <si>
    <t>jmejia@gslelectric.com</t>
  </si>
  <si>
    <t>Miralrio, Juan</t>
  </si>
  <si>
    <t>jmiralrio@gslelectric.com</t>
  </si>
  <si>
    <t>Miranda Pumay, Abel</t>
  </si>
  <si>
    <t>Journeyman - 2</t>
  </si>
  <si>
    <t>amirandapumay@gslelectric.com</t>
  </si>
  <si>
    <t>Montoya, Irlek</t>
  </si>
  <si>
    <t>imontoya@gslelectric.com</t>
  </si>
  <si>
    <t>Morales, Marcos</t>
  </si>
  <si>
    <t>mmorales@gslelectric.com</t>
  </si>
  <si>
    <t>Moure, Henry</t>
  </si>
  <si>
    <t>hmoure@gslelectric.com</t>
  </si>
  <si>
    <t>Munoz, Daniel</t>
  </si>
  <si>
    <t>dmunoz@gslelectric.com</t>
  </si>
  <si>
    <t>Muro, Keegan</t>
  </si>
  <si>
    <t>kmuro@gslelectric.com</t>
  </si>
  <si>
    <t>Negrete, Manuel</t>
  </si>
  <si>
    <t>mnegrete@gslelectric.com</t>
  </si>
  <si>
    <t>Ochoa, Vanessa</t>
  </si>
  <si>
    <t>vochoa@gslelectric.com</t>
  </si>
  <si>
    <t>Pacheco Veloz, Livan</t>
  </si>
  <si>
    <t>LPacheco-Veloz@gslelectric.com</t>
  </si>
  <si>
    <t>Peabody, John</t>
  </si>
  <si>
    <t>jpeabody@gslelectric.com</t>
  </si>
  <si>
    <t>Perez, Omar</t>
  </si>
  <si>
    <t>operez@gslelectric.com</t>
  </si>
  <si>
    <t>Pirog, Zdzislaw</t>
  </si>
  <si>
    <t>zpirog@gslelectric.com</t>
  </si>
  <si>
    <t>Pittman, Daquon</t>
  </si>
  <si>
    <t>dpittman@gslelectric.com</t>
  </si>
  <si>
    <t>Polo, Gustavo</t>
  </si>
  <si>
    <t>gpolo@gslelectric.com</t>
  </si>
  <si>
    <t>Poulson, Michael Aiden</t>
  </si>
  <si>
    <t>apoulson@gslelectric.com</t>
  </si>
  <si>
    <t>Poynor, Corey</t>
  </si>
  <si>
    <t>cpoynor@gslelectric.com</t>
  </si>
  <si>
    <t>Quinones, Hassan</t>
  </si>
  <si>
    <t>hquinones@gslelectric.com</t>
  </si>
  <si>
    <t>Ramirez, Juan</t>
  </si>
  <si>
    <t>jramirez@gslelectric.com</t>
  </si>
  <si>
    <t>Reyes, Kevin</t>
  </si>
  <si>
    <t>kreyes@gslelectric.com</t>
  </si>
  <si>
    <t>Rivera, Martin</t>
  </si>
  <si>
    <t>mrivera@gslelectric.com</t>
  </si>
  <si>
    <t>Robinson, Lamonta</t>
  </si>
  <si>
    <t>lrobinson@gslelectric.com</t>
  </si>
  <si>
    <t>Rodriguez, Jesus</t>
  </si>
  <si>
    <t>jrodriguez@gslelectric.com</t>
  </si>
  <si>
    <t>Rodriguez Llamas, Elmer</t>
  </si>
  <si>
    <t>erodriguez@gslelectric.com</t>
  </si>
  <si>
    <t>Rosas Kuh, Omar</t>
  </si>
  <si>
    <t>orasaskuh@gslelectric.com</t>
  </si>
  <si>
    <t>Saenz Alvarez, Gerardo</t>
  </si>
  <si>
    <t>Apprentice - 3B</t>
  </si>
  <si>
    <t>gsaenzalvarez@gslelectric.com</t>
  </si>
  <si>
    <t>Salazar, Adrian</t>
  </si>
  <si>
    <t>asalazar@gslelectric.com</t>
  </si>
  <si>
    <t>Salazar, Jose</t>
  </si>
  <si>
    <t>jsalazar@gslelectric.com</t>
  </si>
  <si>
    <t>Sanabria, Jacob</t>
  </si>
  <si>
    <t>jsanabria@gslelectric.com</t>
  </si>
  <si>
    <t>Santiago, Phillip</t>
  </si>
  <si>
    <t>psantiago@gslelectric.com</t>
  </si>
  <si>
    <t>Saxton, Mark</t>
  </si>
  <si>
    <t>msaxton@gslelectric.com</t>
  </si>
  <si>
    <t>Schroyer, Daniel</t>
  </si>
  <si>
    <t>dschroyer@gslelectric.com</t>
  </si>
  <si>
    <t>Selvan, Scott</t>
  </si>
  <si>
    <t>sselvan@gslelectric.com</t>
  </si>
  <si>
    <t>Serrato, Ramon</t>
  </si>
  <si>
    <t>rserrato@gslelectric.com</t>
  </si>
  <si>
    <t>Sexton, Clay</t>
  </si>
  <si>
    <t>csexton@gslelectric.com</t>
  </si>
  <si>
    <t>Snook, Denver</t>
  </si>
  <si>
    <t>dsnook@gslelectric.com</t>
  </si>
  <si>
    <t>Solis, Gavyn</t>
  </si>
  <si>
    <t>gsolis@gslelectric.com</t>
  </si>
  <si>
    <t>Tapia Armstrong, Dominik</t>
  </si>
  <si>
    <t>dtapiaarmstrong@gslelectric.com</t>
  </si>
  <si>
    <t>Tapia Armstrong, Jordan</t>
  </si>
  <si>
    <t>jtarmstrong@gslelectric.com</t>
  </si>
  <si>
    <t>Taylor, Dewayne</t>
  </si>
  <si>
    <t>dtaylor@gslelectric.com</t>
  </si>
  <si>
    <t>Tewes, Jerry</t>
  </si>
  <si>
    <t>jtewes@gslelectric.com</t>
  </si>
  <si>
    <t>Valenzuela Natividad, Armando</t>
  </si>
  <si>
    <t>avalenzuelanatividad@gslelectric.com</t>
  </si>
  <si>
    <t>Vargas, Jordy</t>
  </si>
  <si>
    <t>jvargas@gslelectric.com</t>
  </si>
  <si>
    <t>Vargas Gomez, Hector</t>
  </si>
  <si>
    <t>hvargas@gslelectric.com</t>
  </si>
  <si>
    <t>Wells, Chase</t>
  </si>
  <si>
    <t>cwells@gslelectric.com</t>
  </si>
  <si>
    <t>Wesp, Daniel</t>
  </si>
  <si>
    <t>dwesp@gslelectric.com</t>
  </si>
  <si>
    <t>Zapari, Melchor</t>
  </si>
  <si>
    <t>mzapari@gslelectric.com</t>
  </si>
  <si>
    <t>Cornia, Brian</t>
  </si>
  <si>
    <t>Purchasing Manager</t>
  </si>
  <si>
    <t>bcornia@gslelectric.com</t>
  </si>
  <si>
    <t>Herbert Black</t>
  </si>
  <si>
    <t>Dyreng, Jenny</t>
  </si>
  <si>
    <t>Receptionist/Purch, Admin, HR</t>
  </si>
  <si>
    <t>jdyreng@gslelectric.com</t>
  </si>
  <si>
    <t>Jensen, Tenette</t>
  </si>
  <si>
    <t>tenettejensen@gslelectric.com</t>
  </si>
  <si>
    <t>Julie Ewing</t>
  </si>
  <si>
    <t>Zaragoza, Cubalah</t>
  </si>
  <si>
    <t>qz@gslelectric.com</t>
  </si>
  <si>
    <t>Capell, Lance</t>
  </si>
  <si>
    <t>CEO</t>
  </si>
  <si>
    <t>lcapell@gslelectric.com</t>
  </si>
  <si>
    <t>Lance Capell</t>
  </si>
  <si>
    <t>Cummings, Cody</t>
  </si>
  <si>
    <t>ccummings@gslelectric.com</t>
  </si>
  <si>
    <t>Ewing, Julie</t>
  </si>
  <si>
    <t>Business Manager</t>
  </si>
  <si>
    <t>jewing@gslelectric.com</t>
  </si>
  <si>
    <t>Ewing, Thomas</t>
  </si>
  <si>
    <t>tewing@gslelectric.com</t>
  </si>
  <si>
    <t>Hartwell, Becky</t>
  </si>
  <si>
    <t>Corporate Payroll Manager</t>
  </si>
  <si>
    <t>bhartwell@gslelectric.com1</t>
  </si>
  <si>
    <t>Lifferth, Robert</t>
  </si>
  <si>
    <t>Corporate Secretary</t>
  </si>
  <si>
    <t>blifferth@gslelectric.com</t>
  </si>
  <si>
    <t>Palache, Sheila</t>
  </si>
  <si>
    <t>Corporate Benefits Mgr.</t>
  </si>
  <si>
    <t>spalache@gslelectric.com</t>
  </si>
  <si>
    <t>Roberts, Kellie</t>
  </si>
  <si>
    <t>Corporate AP Manager</t>
  </si>
  <si>
    <t>kroberts@gslelectric.com</t>
  </si>
  <si>
    <t>Robinson, Michelle</t>
  </si>
  <si>
    <t>Corp. Human Resource Manager</t>
  </si>
  <si>
    <t>mrobinson@gslelectric.com</t>
  </si>
  <si>
    <t>Wood, Colleen</t>
  </si>
  <si>
    <t>Corporate GL Manager</t>
  </si>
  <si>
    <t>cwood@gslelectric.com</t>
  </si>
  <si>
    <t>Fackrell, Cody</t>
  </si>
  <si>
    <t>LVS Tech - 1</t>
  </si>
  <si>
    <t>cfackrell@gslelectric.com</t>
  </si>
  <si>
    <t>Michael Morley</t>
  </si>
  <si>
    <t>Winder, Jacob</t>
  </si>
  <si>
    <t>LVS Project Administrator</t>
  </si>
  <si>
    <t>jwinder@gslelectric.com</t>
  </si>
  <si>
    <t>Callaway, Jeramie</t>
  </si>
  <si>
    <t>LVS Assistant Project Manager</t>
  </si>
  <si>
    <t>jcallaway@gslelectric.com</t>
  </si>
  <si>
    <t>Phil Capell</t>
  </si>
  <si>
    <t>Eastham, Joshua</t>
  </si>
  <si>
    <t>jeastham@gslelectric.com</t>
  </si>
  <si>
    <t>Thackeray, Alan</t>
  </si>
  <si>
    <t>Estimator - 3</t>
  </si>
  <si>
    <t>sthackeray@gslelectric.com</t>
  </si>
  <si>
    <t>Wilkins, Matthew</t>
  </si>
  <si>
    <t>mwilkins@gslelectric.com</t>
  </si>
  <si>
    <t>Stevenson, Derrick</t>
  </si>
  <si>
    <t>ddstevenson@gslelectric.com</t>
  </si>
  <si>
    <t>Shane Weise</t>
  </si>
  <si>
    <t>Alloway, Kaioteh</t>
  </si>
  <si>
    <t>kalloway@gslelectric.com</t>
  </si>
  <si>
    <t>Shayne Bindrup</t>
  </si>
  <si>
    <t>Auger, Shawn</t>
  </si>
  <si>
    <t>sauger@gslelectric.com</t>
  </si>
  <si>
    <t>Baker, Michael</t>
  </si>
  <si>
    <t>Foreman - 2</t>
  </si>
  <si>
    <t>mbaker@gslelectric.com</t>
  </si>
  <si>
    <t>Barlow, Eric</t>
  </si>
  <si>
    <t>ebarlow@gslelectric.com</t>
  </si>
  <si>
    <t>Barlow, Ernest</t>
  </si>
  <si>
    <t>ejbarlow@gslelectric.com</t>
  </si>
  <si>
    <t>Barnes, Brody</t>
  </si>
  <si>
    <t>bbarnes@gslelectric.com</t>
  </si>
  <si>
    <t>Barnett, Joshua</t>
  </si>
  <si>
    <t>jbarnett@gslelectric.com</t>
  </si>
  <si>
    <t>Bautista, Frank</t>
  </si>
  <si>
    <t>fbautista@gslelectric.com</t>
  </si>
  <si>
    <t>Beck, Porter</t>
  </si>
  <si>
    <t>pbeck@gslelectric.com</t>
  </si>
  <si>
    <t>Beebe, Ryan</t>
  </si>
  <si>
    <t>rbeebe@gslelectric.com</t>
  </si>
  <si>
    <t>Bernal, Antonio</t>
  </si>
  <si>
    <t>Apprentice - 1A</t>
  </si>
  <si>
    <t>abernal@gslelectric.com</t>
  </si>
  <si>
    <t>Bhutia, Thendup</t>
  </si>
  <si>
    <t>tbhutia@gslelectric.com</t>
  </si>
  <si>
    <t>Black, Mitchell</t>
  </si>
  <si>
    <t>Apprentice - 5B</t>
  </si>
  <si>
    <t>mblack@gslelectric.com</t>
  </si>
  <si>
    <t>Blackard, Kameron</t>
  </si>
  <si>
    <t>kjblackard@gslelectric.com</t>
  </si>
  <si>
    <t>Blackard, Kelly</t>
  </si>
  <si>
    <t>kblackard@gslelectric.com</t>
  </si>
  <si>
    <t>Brewster, Chad</t>
  </si>
  <si>
    <t>cbrewster@gslelectric.com</t>
  </si>
  <si>
    <t>Burt, Wesley</t>
  </si>
  <si>
    <t>wburt@gslelectric.com</t>
  </si>
  <si>
    <t>Carini, Antonio</t>
  </si>
  <si>
    <t>acarini@gslelectric.com</t>
  </si>
  <si>
    <t>Cowan, Taylor</t>
  </si>
  <si>
    <t>tcowan@gslelectric.com</t>
  </si>
  <si>
    <t>Cunningham, Dallas</t>
  </si>
  <si>
    <t>dcunningham@gslelectric.com</t>
  </si>
  <si>
    <t>Curtis, Brock</t>
  </si>
  <si>
    <t>bcurtis@gslelectric.com</t>
  </si>
  <si>
    <t>Duros, David</t>
  </si>
  <si>
    <t>dduros@gslelectric.com</t>
  </si>
  <si>
    <t>Edwards, Richard</t>
  </si>
  <si>
    <t>redwards@gslelectric.com</t>
  </si>
  <si>
    <t>Ellsworth, Thomas</t>
  </si>
  <si>
    <t>tellsworth@gslelectric.com</t>
  </si>
  <si>
    <t>Fackrell, Misty</t>
  </si>
  <si>
    <t>mfackrell@gslelectric.com</t>
  </si>
  <si>
    <t>Folkman, Mark</t>
  </si>
  <si>
    <t>mfolkman@gslelectric.com</t>
  </si>
  <si>
    <t>Frasche, Christian</t>
  </si>
  <si>
    <t>cfrasche@gslelectric.com</t>
  </si>
  <si>
    <t>Fritzges, Kevin</t>
  </si>
  <si>
    <t>kfritzges@gslelectric.com</t>
  </si>
  <si>
    <t>Gardner, Matthew</t>
  </si>
  <si>
    <t>mgardner@gslelectric.com</t>
  </si>
  <si>
    <t>Garrett, Robert</t>
  </si>
  <si>
    <t>LVS Lead Tech - 1</t>
  </si>
  <si>
    <t>rgarrett@gslelectric.com</t>
  </si>
  <si>
    <t>Gilson, Joshua</t>
  </si>
  <si>
    <t>jgilson@gslelectric.com</t>
  </si>
  <si>
    <t>Hampton, Austin</t>
  </si>
  <si>
    <t>ahampton@gslelectric.com</t>
  </si>
  <si>
    <t>Hampton, Larry</t>
  </si>
  <si>
    <t>Apprentice - 5A</t>
  </si>
  <si>
    <t>lhampton@gslelectric.com</t>
  </si>
  <si>
    <t>Harmston, Christopher</t>
  </si>
  <si>
    <t>charmston@gslelectric.com</t>
  </si>
  <si>
    <t>Harmston, James</t>
  </si>
  <si>
    <t>jharmston@gslelectric.com</t>
  </si>
  <si>
    <t>Harmston, Kieran</t>
  </si>
  <si>
    <t>kharmston@gslelectric.com</t>
  </si>
  <si>
    <t>Harmston, Phillip</t>
  </si>
  <si>
    <t>pharmston@gslelectric.com</t>
  </si>
  <si>
    <t>Haveron, Hayden</t>
  </si>
  <si>
    <t>hhaveron@gslelectric.com</t>
  </si>
  <si>
    <t>Haveron, Kyler</t>
  </si>
  <si>
    <t>khaveron@gslelectric.com</t>
  </si>
  <si>
    <t>Hawkins, Caleb</t>
  </si>
  <si>
    <t>chawkins@gslelectric.com</t>
  </si>
  <si>
    <t>Hiatt, Denver</t>
  </si>
  <si>
    <t>dhiatt@gslelectric.com</t>
  </si>
  <si>
    <t>Hiatt, Spencer</t>
  </si>
  <si>
    <t>shiatt@gslelectric.com</t>
  </si>
  <si>
    <t>Hobbs, Travis</t>
  </si>
  <si>
    <t>thobbs@gslelectric.com</t>
  </si>
  <si>
    <t>Hoffman, Richard</t>
  </si>
  <si>
    <t>rhoffman@gslelectric.com</t>
  </si>
  <si>
    <t>Holmes, Robert</t>
  </si>
  <si>
    <t>rholmes@gslelectric.com</t>
  </si>
  <si>
    <t>Jackson, Jeffery</t>
  </si>
  <si>
    <t>jjackson@gslelectric.com</t>
  </si>
  <si>
    <t>Jensen, Kayden</t>
  </si>
  <si>
    <t>kdjensen@gslelectric.com</t>
  </si>
  <si>
    <t>Jensen, Larry</t>
  </si>
  <si>
    <t>lkjensen@gslelectric.com</t>
  </si>
  <si>
    <t>Jensen, Sonny</t>
  </si>
  <si>
    <t>sjensen@gslelectric.com</t>
  </si>
  <si>
    <t>Jewkes, Sophie</t>
  </si>
  <si>
    <t>sjewkes@gslelectric.com</t>
  </si>
  <si>
    <t>Johanson, Frank</t>
  </si>
  <si>
    <t>fjohanson@gslelectric.com</t>
  </si>
  <si>
    <t>Johnson, John</t>
  </si>
  <si>
    <t>jjohnson@gslelectric.com</t>
  </si>
  <si>
    <t>Judd, Nathan</t>
  </si>
  <si>
    <t>njudd@gslelectric.com</t>
  </si>
  <si>
    <t>Kay, Payton</t>
  </si>
  <si>
    <t>pkay@gslelectric.com</t>
  </si>
  <si>
    <t>Keil, William</t>
  </si>
  <si>
    <t>wkeil@gslelectric.com</t>
  </si>
  <si>
    <t>Kipping, Sylus</t>
  </si>
  <si>
    <t>skipping@gslelectric.com</t>
  </si>
  <si>
    <t>Kropf, Shylar</t>
  </si>
  <si>
    <t>skropf@gslelectric.com</t>
  </si>
  <si>
    <t>Laoongjit, Soravut</t>
  </si>
  <si>
    <t>slaoongjit@gslelectric.com</t>
  </si>
  <si>
    <t>Larsen, Jaxon</t>
  </si>
  <si>
    <t>jlarsen@gslelectric.com</t>
  </si>
  <si>
    <t>Lofgren, John</t>
  </si>
  <si>
    <t>jlofgren@gslelectric.com</t>
  </si>
  <si>
    <t>Lyman, Kameron</t>
  </si>
  <si>
    <t>klyman@gslelectric.com</t>
  </si>
  <si>
    <t>Manwaring, Nyal</t>
  </si>
  <si>
    <t>nmanwaring@gslelectric.com</t>
  </si>
  <si>
    <t>Martell, Kody</t>
  </si>
  <si>
    <t>kmartell@gslelectric.com</t>
  </si>
  <si>
    <t>Mills, Todd</t>
  </si>
  <si>
    <t>tmills@gslelectric.com</t>
  </si>
  <si>
    <t>Montour, Christopher</t>
  </si>
  <si>
    <t>cmontour@gslelectric.com</t>
  </si>
  <si>
    <t>Morris, Joseph</t>
  </si>
  <si>
    <t>jmorris@gslelectric.com</t>
  </si>
  <si>
    <t>Morris, Quinnton</t>
  </si>
  <si>
    <t>qmorris@gslelectric.com</t>
  </si>
  <si>
    <t>Mortensen, Brodyn</t>
  </si>
  <si>
    <t>bmortensen@gslelectric.com</t>
  </si>
  <si>
    <t>Mullen, Bryce</t>
  </si>
  <si>
    <t>bmullen@gslelectric.com</t>
  </si>
  <si>
    <t>Nielsen, Jeremiah</t>
  </si>
  <si>
    <t>jnielsen@gslelectric.com</t>
  </si>
  <si>
    <t>Nielsen, Matthew</t>
  </si>
  <si>
    <t>mnielsen@gslelectric.com</t>
  </si>
  <si>
    <t>Nilsen, Chris</t>
  </si>
  <si>
    <t>cnilsen@gslelectric.com</t>
  </si>
  <si>
    <t>Ortiz, Andrew</t>
  </si>
  <si>
    <t>aortiz@gslelectric.com</t>
  </si>
  <si>
    <t>Palache, Jason</t>
  </si>
  <si>
    <t>jpalache@gslelectric.com</t>
  </si>
  <si>
    <t>Patton, Cole</t>
  </si>
  <si>
    <t>cpatton@gslelectric.com</t>
  </si>
  <si>
    <t>Pendleton, Jaryd</t>
  </si>
  <si>
    <t>jpendleton@gslelectric.com</t>
  </si>
  <si>
    <t>Pendleton, Oral</t>
  </si>
  <si>
    <t>bpendleton@gslelectric.com</t>
  </si>
  <si>
    <t>Peterson, Jaden</t>
  </si>
  <si>
    <t>jadenpeterson@gslelectric.com</t>
  </si>
  <si>
    <t>Peterson, Kelcie</t>
  </si>
  <si>
    <t>ktpeterson@gslelectric.com</t>
  </si>
  <si>
    <t>Price, Hunter</t>
  </si>
  <si>
    <t>hprice@gslelectric.com</t>
  </si>
  <si>
    <t>Remington, Wade</t>
  </si>
  <si>
    <t>wremington@gslelectric.com</t>
  </si>
  <si>
    <t>Richins, Tyler</t>
  </si>
  <si>
    <t>trichins@gslelectric.com</t>
  </si>
  <si>
    <t>Roberts, Canon</t>
  </si>
  <si>
    <t>croberts@gslelectric.com</t>
  </si>
  <si>
    <t>Rojas, Edgar</t>
  </si>
  <si>
    <t>erojas@gslelectric.com</t>
  </si>
  <si>
    <t>Romero, Bernardo</t>
  </si>
  <si>
    <t>bromero@gslelectric.com</t>
  </si>
  <si>
    <t>Sayer, Jeffery</t>
  </si>
  <si>
    <t>jsayer@gslelectric.com</t>
  </si>
  <si>
    <t>Serrato, Alex</t>
  </si>
  <si>
    <t>aserrato@gslelectric.com</t>
  </si>
  <si>
    <t>Sharpe, Caleb</t>
  </si>
  <si>
    <t>csharpe@gslelectric.com</t>
  </si>
  <si>
    <t>Sharpe, Sean</t>
  </si>
  <si>
    <t>ssharpe@gslelectric.com</t>
  </si>
  <si>
    <t>Sloan, Shazer</t>
  </si>
  <si>
    <t>ssloan@gslelectric.com</t>
  </si>
  <si>
    <t>Smalley, Gregory</t>
  </si>
  <si>
    <t>gsmalley@gslelectric.com</t>
  </si>
  <si>
    <t>Smart, Joseph</t>
  </si>
  <si>
    <t>jsmart@gslelectric.com</t>
  </si>
  <si>
    <t>Smith, Jordan</t>
  </si>
  <si>
    <t>jsmith@gslelectric.com</t>
  </si>
  <si>
    <t>Spencer, Justin</t>
  </si>
  <si>
    <t>jspencer@gslelectric.com</t>
  </si>
  <si>
    <t>Steel, Robert</t>
  </si>
  <si>
    <t>rsteel@gslelectric.com</t>
  </si>
  <si>
    <t>Stonebraker, Jason</t>
  </si>
  <si>
    <t>jstonebraker@gslelectric.com</t>
  </si>
  <si>
    <t>Stringer, Zachary</t>
  </si>
  <si>
    <t>zstringer@gslelectric.com</t>
  </si>
  <si>
    <t>Tabone, Jeremy</t>
  </si>
  <si>
    <t>jtabone@gslelectric.com</t>
  </si>
  <si>
    <t>Taylor, Anthonie</t>
  </si>
  <si>
    <t>ataylor@gslelectric.com</t>
  </si>
  <si>
    <t>Valgardson, Logan</t>
  </si>
  <si>
    <t>lvalgardson@gslelectric.com</t>
  </si>
  <si>
    <t>VanZutphen, Christopher</t>
  </si>
  <si>
    <t>cvanzutphen@gslelectric.com</t>
  </si>
  <si>
    <t>Willahan, Russell</t>
  </si>
  <si>
    <t>rwillahan@gslelectric.com</t>
  </si>
  <si>
    <t>Wilson, Cameron</t>
  </si>
  <si>
    <t>cwilson@gslelectric.com</t>
  </si>
  <si>
    <t>Woods, Kevin</t>
  </si>
  <si>
    <t>kcwoods@gslelectric.com</t>
  </si>
  <si>
    <t>York, Kaleb</t>
  </si>
  <si>
    <t>kyork@gslelectric.com</t>
  </si>
  <si>
    <t>Houghton, Gene</t>
  </si>
  <si>
    <t>ghoughton@gslelectric.com</t>
  </si>
  <si>
    <t>Steven Paxton</t>
  </si>
  <si>
    <t>Ewing, Chad</t>
  </si>
  <si>
    <t>Marketing &amp; BD Manager</t>
  </si>
  <si>
    <t>cewing@gslelectric.com1</t>
  </si>
  <si>
    <t>Thomas Ewing</t>
  </si>
  <si>
    <t>Hogan, Heather</t>
  </si>
  <si>
    <t>Training Prog Develop Assistan</t>
  </si>
  <si>
    <t>hewing@gslelectric.com</t>
  </si>
  <si>
    <t>Jensen, Thomas</t>
  </si>
  <si>
    <t>tjensen@gslelectric.com</t>
  </si>
  <si>
    <t>Johnson, Billy</t>
  </si>
  <si>
    <t>bjohnson@gslelectric.com</t>
  </si>
  <si>
    <t>Richards, David</t>
  </si>
  <si>
    <t>Director of Safety &amp; Training</t>
  </si>
  <si>
    <t>drichards@gslelectric.com</t>
  </si>
  <si>
    <t>Baldwin, Chad</t>
  </si>
  <si>
    <t>cbaldwin@gslelectric.com</t>
  </si>
  <si>
    <t>Thomas Jensen</t>
  </si>
  <si>
    <t>Bartholomew, Kenneth</t>
  </si>
  <si>
    <t>kbartholomew@gslelectric.com</t>
  </si>
  <si>
    <t>Cacho, Dion</t>
  </si>
  <si>
    <t>SP Dept Mgr</t>
  </si>
  <si>
    <t>dcacho@gslelectric.com</t>
  </si>
  <si>
    <t>Carrillo, Adan</t>
  </si>
  <si>
    <t>acarrillo@gslelectric.com</t>
  </si>
  <si>
    <t>Nelson, Glen</t>
  </si>
  <si>
    <t>gnelson@gslelectric.com</t>
  </si>
  <si>
    <t>Palache, Troy</t>
  </si>
  <si>
    <t>Cheif Estimator</t>
  </si>
  <si>
    <t>tpalache@gslelectric.com</t>
  </si>
  <si>
    <t>Scruggs, Kevin</t>
  </si>
  <si>
    <t>kscruggs@gslelectric.com</t>
  </si>
  <si>
    <t>Smith, Billy</t>
  </si>
  <si>
    <t>bsmith@gslelectric.com</t>
  </si>
  <si>
    <t>Reyes, Irvin</t>
  </si>
  <si>
    <t>ireyes@gslelectric.com</t>
  </si>
  <si>
    <t>Troy Palache</t>
  </si>
  <si>
    <t>Wuopio, Stephanie</t>
  </si>
  <si>
    <t>swuopio@gslelectric.com</t>
  </si>
  <si>
    <t>Zurbriggen, Nicholas</t>
  </si>
  <si>
    <t>nzurbriggen@gslelectric.com</t>
  </si>
  <si>
    <t>Corporate</t>
  </si>
  <si>
    <t>LV</t>
  </si>
  <si>
    <t>SLC, LV</t>
  </si>
  <si>
    <t>Branch Safety Superintendent</t>
  </si>
  <si>
    <t>NV</t>
  </si>
  <si>
    <t>President / COO</t>
  </si>
  <si>
    <t>Additional Executive Role</t>
  </si>
  <si>
    <t>Executive Committee, ESOP Trustee, Board of Directors</t>
  </si>
  <si>
    <t>Executive Committee, ESOP Trustee Board, Board of Directors</t>
  </si>
  <si>
    <t>Board of Directors</t>
  </si>
  <si>
    <t>Next Job Code</t>
  </si>
  <si>
    <t>Skills Needed</t>
  </si>
  <si>
    <t>Succession Plan Job Code</t>
  </si>
  <si>
    <t>Succession Plan Job Title</t>
  </si>
  <si>
    <t>Executive Role</t>
  </si>
  <si>
    <t>Skills Needed – Current</t>
  </si>
  <si>
    <t>Skills Needed – Executive Role</t>
  </si>
  <si>
    <t>JobCode</t>
  </si>
  <si>
    <t>Project Coordinator</t>
  </si>
  <si>
    <t>Electrical Project Administrator</t>
  </si>
  <si>
    <t>Unindentured Apprentice</t>
  </si>
  <si>
    <t>Laborer</t>
  </si>
  <si>
    <t>Welder</t>
  </si>
  <si>
    <t>CFO</t>
  </si>
  <si>
    <t>SP Asst. PM/Est/Bus Dev</t>
  </si>
  <si>
    <t>SP Project Administrator</t>
  </si>
  <si>
    <t>President</t>
  </si>
  <si>
    <t>Corp. Recruiter &amp; HR Admin.</t>
  </si>
  <si>
    <t>Chief Estimator</t>
  </si>
  <si>
    <t>Field Safety Supervisor</t>
  </si>
  <si>
    <t>Director of Pre - Const Svcs</t>
  </si>
  <si>
    <t/>
  </si>
  <si>
    <t>Low Voltage Systems Project Manager</t>
  </si>
  <si>
    <t>SP PM - 1</t>
  </si>
  <si>
    <t>SP PM - 2</t>
  </si>
  <si>
    <t>SP PM - 3</t>
  </si>
  <si>
    <t>COO</t>
  </si>
  <si>
    <t>TBD</t>
  </si>
  <si>
    <t>Special Projects Depart Mgr</t>
  </si>
  <si>
    <t>Designer - 4</t>
  </si>
  <si>
    <t>Designer - 5</t>
  </si>
  <si>
    <t>Project Manager - 1</t>
  </si>
  <si>
    <t>Lead Estimator - 1</t>
  </si>
  <si>
    <t>Lead Estimator - 2</t>
  </si>
  <si>
    <t>LVS Superintendent - 1</t>
  </si>
  <si>
    <t>LVS Lead Tech - 2</t>
  </si>
  <si>
    <t>LVS Tech - 2</t>
  </si>
  <si>
    <t>Project Manager - 2</t>
  </si>
  <si>
    <t>Project Manager - 3</t>
  </si>
  <si>
    <t>SP Foreman - 1</t>
  </si>
  <si>
    <t>SP Foreman - 3</t>
  </si>
  <si>
    <t>SP Journeyman - 1</t>
  </si>
  <si>
    <t>SP Journeyman - 2</t>
  </si>
  <si>
    <t>SP Journeyman - 3</t>
  </si>
  <si>
    <t>SP Leadman - 1</t>
  </si>
  <si>
    <t>SP Leadman - 2</t>
  </si>
  <si>
    <t>SP Superintendent - 2</t>
  </si>
  <si>
    <t>Skill</t>
  </si>
  <si>
    <t>Skill Type</t>
  </si>
  <si>
    <t>Employee Name</t>
  </si>
  <si>
    <t>Skill Status</t>
  </si>
  <si>
    <t>Verified By</t>
  </si>
  <si>
    <t>Current Job Code</t>
  </si>
  <si>
    <t>Succession Job Code</t>
  </si>
  <si>
    <t>Count of required skills</t>
  </si>
  <si>
    <t>Count of required skills met</t>
  </si>
  <si>
    <t>% readiness</t>
  </si>
  <si>
    <t>Employee</t>
  </si>
  <si>
    <t>Succession Skills Ready – Required Total</t>
  </si>
  <si>
    <t>Succession Skills Ready – Required Met</t>
  </si>
  <si>
    <t>Succession Skills Readiness %</t>
  </si>
  <si>
    <t>Succession Skills Readiness Status</t>
  </si>
  <si>
    <t>Weight</t>
  </si>
  <si>
    <t>Succession Skills Ready – Total Points</t>
  </si>
  <si>
    <t>Succession Skills Ready – Points Met</t>
  </si>
  <si>
    <t>Succession Skills Readiness % (Weighted)</t>
  </si>
  <si>
    <t>Missing Required Skills – Succession (Top 5)</t>
  </si>
  <si>
    <t>Notes – Skills/Development</t>
  </si>
  <si>
    <t>Verified</t>
  </si>
  <si>
    <t>Date Verified</t>
  </si>
  <si>
    <t>Notes</t>
  </si>
  <si>
    <t>Required</t>
  </si>
  <si>
    <t>Role Level</t>
  </si>
  <si>
    <t>Capabilities</t>
  </si>
  <si>
    <t xml:space="preserve"> Required </t>
  </si>
  <si>
    <t xml:space="preserve"> Recommended </t>
  </si>
  <si>
    <t xml:space="preserve"> Superintendent - 2 </t>
  </si>
  <si>
    <t xml:space="preserve"> Proven track record as Superintendent - 1 </t>
  </si>
  <si>
    <t xml:space="preserve"> Demonstrate consistent success across multiple projects </t>
  </si>
  <si>
    <t xml:space="preserve"> Sustain budget and schedule performance over time </t>
  </si>
  <si>
    <t>Task</t>
  </si>
  <si>
    <t>Skill ID</t>
  </si>
  <si>
    <t>ADAPT</t>
  </si>
  <si>
    <t>Prioritization</t>
  </si>
  <si>
    <t>Skill Category Dropdown List</t>
  </si>
  <si>
    <t>Situational leadership</t>
  </si>
  <si>
    <t>Emotional intelligence</t>
  </si>
  <si>
    <t>Communication style adjustment</t>
  </si>
  <si>
    <t>Stakeholder awareness</t>
  </si>
  <si>
    <t>Team assessment (skills &amp; maturity)</t>
  </si>
  <si>
    <t>Conflict management</t>
  </si>
  <si>
    <t>Change management</t>
  </si>
  <si>
    <t>Flexibility in leadership approach</t>
  </si>
  <si>
    <t>Delegation based on conditions</t>
  </si>
  <si>
    <t>Decision making under uncertainty</t>
  </si>
  <si>
    <t>PLAN</t>
  </si>
  <si>
    <t>Project assessment</t>
  </si>
  <si>
    <t>Rapid situational analysis</t>
  </si>
  <si>
    <t>Gap identification</t>
  </si>
  <si>
    <t>3-week lookahead planning</t>
  </si>
  <si>
    <t>Workflow sequencing</t>
  </si>
  <si>
    <t>Constraint identification</t>
  </si>
  <si>
    <t>Manpower forecasting</t>
  </si>
  <si>
    <t>Crew balancing</t>
  </si>
  <si>
    <t>Skill mix optimization</t>
  </si>
  <si>
    <t>Schedule interpretation</t>
  </si>
  <si>
    <t>Critical path awareness</t>
  </si>
  <si>
    <t>Float management</t>
  </si>
  <si>
    <t>Production analysis</t>
  </si>
  <si>
    <t>Recovery planning</t>
  </si>
  <si>
    <t>Workface planning</t>
  </si>
  <si>
    <t>Planning communication</t>
  </si>
  <si>
    <t>Expectation setting</t>
  </si>
  <si>
    <t>Plan reinforcement</t>
  </si>
  <si>
    <t>Situational assessment</t>
  </si>
  <si>
    <t>Risk-based decision sequencing</t>
  </si>
  <si>
    <t>Time allocation judgment</t>
  </si>
  <si>
    <t>Judgment under uncertainty</t>
  </si>
  <si>
    <t>Risk tolerance assessment</t>
  </si>
  <si>
    <t>Information filtering</t>
  </si>
  <si>
    <t>Tradeoff analysis</t>
  </si>
  <si>
    <t>Decisiveness under pressure</t>
  </si>
  <si>
    <t>Budget awareness</t>
  </si>
  <si>
    <t>Cost-to-complete evaluation</t>
  </si>
  <si>
    <t>Production vs. cost analysis</t>
  </si>
  <si>
    <t>Waste identification</t>
  </si>
  <si>
    <t>Corrective action planning</t>
  </si>
  <si>
    <t>Milestone tracking</t>
  </si>
  <si>
    <t>Look-ahead planning</t>
  </si>
  <si>
    <t>Recovery scheduling</t>
  </si>
  <si>
    <t>Constraint removal</t>
  </si>
  <si>
    <t>Multi-crew coordination</t>
  </si>
  <si>
    <t>Authority presence</t>
  </si>
  <si>
    <t>Consistency of leadership standards</t>
  </si>
  <si>
    <t>Influence without micromanagement</t>
  </si>
  <si>
    <t>Leadership adaptability</t>
  </si>
  <si>
    <t>Role clarity</t>
  </si>
  <si>
    <t>Responsibility alignment</t>
  </si>
  <si>
    <t>Authority assignment</t>
  </si>
  <si>
    <t>Clear verbal communication</t>
  </si>
  <si>
    <t>Message consistency</t>
  </si>
  <si>
    <t>Active listening</t>
  </si>
  <si>
    <t>Feedback clarity</t>
  </si>
  <si>
    <t>Progress tracking</t>
  </si>
  <si>
    <t>Trust-based oversight</t>
  </si>
  <si>
    <t>Intervention timing</t>
  </si>
  <si>
    <t>Coaching conversations</t>
  </si>
  <si>
    <t>Constructive feedback delivery</t>
  </si>
  <si>
    <t>Behavior correction</t>
  </si>
  <si>
    <t>Performance development</t>
  </si>
  <si>
    <t>PERF</t>
  </si>
  <si>
    <t>LEAD</t>
  </si>
  <si>
    <t>COMM</t>
  </si>
  <si>
    <t>COACH</t>
  </si>
  <si>
    <t>Performance standards definition</t>
  </si>
  <si>
    <t>Role clarity communication</t>
  </si>
  <si>
    <t>Consistency of expectations</t>
  </si>
  <si>
    <t>Manpower allocation</t>
  </si>
  <si>
    <t>Priority alignment</t>
  </si>
  <si>
    <t>Resource leveling</t>
  </si>
  <si>
    <t>Crew balancing judgment</t>
  </si>
  <si>
    <t>Performance observation</t>
  </si>
  <si>
    <t>Trend recognition</t>
  </si>
  <si>
    <t>Early issue detection</t>
  </si>
  <si>
    <t>Accountability enforcement</t>
  </si>
  <si>
    <t>Performance diagnosis</t>
  </si>
  <si>
    <t>Development planning</t>
  </si>
  <si>
    <t>Cost code comprehension</t>
  </si>
  <si>
    <t>Labor budget interpretation</t>
  </si>
  <si>
    <t>Budget variance awareness</t>
  </si>
  <si>
    <t>Production tracking</t>
  </si>
  <si>
    <t>Earned value awareness</t>
  </si>
  <si>
    <t>Corrective labor planning</t>
  </si>
  <si>
    <t>Cost risk identification</t>
  </si>
  <si>
    <t>Trend analysis</t>
  </si>
  <si>
    <t>Forecast adjustment</t>
  </si>
  <si>
    <t>Financial communication</t>
  </si>
  <si>
    <t>Issue escalation</t>
  </si>
  <si>
    <t>Scope recognition</t>
  </si>
  <si>
    <t>Contract awareness</t>
  </si>
  <si>
    <t>Change trigger identification</t>
  </si>
  <si>
    <t>Change documentation standards</t>
  </si>
  <si>
    <t>Record accuracy</t>
  </si>
  <si>
    <t>Scope change communication</t>
  </si>
  <si>
    <t>Client-facing messaging</t>
  </si>
  <si>
    <t>Meeting participation</t>
  </si>
  <si>
    <t>Issue representation</t>
  </si>
  <si>
    <t>Schedule communication</t>
  </si>
  <si>
    <t>Dependency explanation</t>
  </si>
  <si>
    <t>Conflict resolution</t>
  </si>
  <si>
    <t>Negotiation between trades</t>
  </si>
  <si>
    <t>Schedule-driven manpower planning</t>
  </si>
  <si>
    <t>Sequence alignment</t>
  </si>
  <si>
    <t>Feedback framing</t>
  </si>
  <si>
    <t>Accurate record keeping</t>
  </si>
  <si>
    <t>Timely documentation</t>
  </si>
  <si>
    <t>Demonstrate consistent success across multiple projects</t>
  </si>
  <si>
    <t>Multi-project performance consistency</t>
  </si>
  <si>
    <t>Cross-project prioritization</t>
  </si>
  <si>
    <t>Performance trend analysis</t>
  </si>
  <si>
    <t>Sustain budget and schedule performance over time</t>
  </si>
  <si>
    <t>Long-term budget control</t>
  </si>
  <si>
    <t>Schedule sustainability management</t>
  </si>
  <si>
    <t>Proactive risk mitigation</t>
  </si>
  <si>
    <t>Maintain stable foreman and crew performance</t>
  </si>
  <si>
    <t>Leadership continuity</t>
  </si>
  <si>
    <t>Expectation reinforcement</t>
  </si>
  <si>
    <t>Leadership consistency across projects</t>
  </si>
  <si>
    <t>OVST</t>
  </si>
  <si>
    <t>Audit foreman planning and execution regularly</t>
  </si>
  <si>
    <t>Planning audit capability</t>
  </si>
  <si>
    <t>Execution quality assessment</t>
  </si>
  <si>
    <t>Compliance verification</t>
  </si>
  <si>
    <t>ACCT</t>
  </si>
  <si>
    <t>Hold foremen accountable for missed expectations</t>
  </si>
  <si>
    <t>Corrective action initiation</t>
  </si>
  <si>
    <t>PMGT</t>
  </si>
  <si>
    <t>Identify patterns of underperformance across projects</t>
  </si>
  <si>
    <t>Pattern recognition across projects</t>
  </si>
  <si>
    <t>Root cause analysis</t>
  </si>
  <si>
    <t>Lead and review performance evaluations for foremen</t>
  </si>
  <si>
    <t>Evaluation leadership</t>
  </si>
  <si>
    <t>Evaluation consistency enforcement</t>
  </si>
  <si>
    <t>Ensure evaluations result in actionable development plans</t>
  </si>
  <si>
    <t>Development plan creation</t>
  </si>
  <si>
    <t>Follow-through accountability</t>
  </si>
  <si>
    <t>DOC</t>
  </si>
  <si>
    <t>Ensure consistency and quality of evaluations across projects</t>
  </si>
  <si>
    <t>Documentation standardization</t>
  </si>
  <si>
    <t>Quality control of evaluations</t>
  </si>
  <si>
    <t>PRODEV</t>
  </si>
  <si>
    <t>Continuous learning engagement</t>
  </si>
  <si>
    <t>TECH</t>
  </si>
  <si>
    <t>Advanced software proficiency</t>
  </si>
  <si>
    <t>DEC</t>
  </si>
  <si>
    <t>JAN</t>
  </si>
  <si>
    <t>FEB</t>
  </si>
  <si>
    <t>MAR</t>
  </si>
  <si>
    <t>APR</t>
  </si>
  <si>
    <t>FUP</t>
  </si>
  <si>
    <t>COORD</t>
  </si>
  <si>
    <t>BUDG</t>
  </si>
  <si>
    <t>FIN</t>
  </si>
  <si>
    <t>CHG</t>
  </si>
  <si>
    <t>COLLAB</t>
  </si>
  <si>
    <t>Description</t>
  </si>
  <si>
    <t>Skill_ID</t>
  </si>
  <si>
    <t>Primary_Category</t>
  </si>
  <si>
    <t>SKL-0001</t>
  </si>
  <si>
    <t>Ability to plan and sequence work effectively, using schedules, constraints, and lookahead thinking to meet targets.</t>
  </si>
  <si>
    <t>SKL-0002</t>
  </si>
  <si>
    <t>Ability to set expectations, enforce accountability, and initiate timely corrective action when performance deviates.</t>
  </si>
  <si>
    <t>SKL-0003</t>
  </si>
  <si>
    <t>Ability to maintain accurate, timely documentation and verify compliance to support accountability and project controls.</t>
  </si>
  <si>
    <t>SKL-0004</t>
  </si>
  <si>
    <t>Ability to communicate clearly and consistently about active listening.</t>
  </si>
  <si>
    <t>SKL-0005</t>
  </si>
  <si>
    <t>Proficiency with advanced software tools needed to plan, track, communicate, and manage project work.</t>
  </si>
  <si>
    <t>SKL-0006</t>
  </si>
  <si>
    <t>Ability to lead effectively through presence, standards, and influenceâ€”aligning teams without micromanaging.</t>
  </si>
  <si>
    <t>SKL-0007</t>
  </si>
  <si>
    <t>SKL-0008</t>
  </si>
  <si>
    <t>Competency related to behavior correction that supports effective field/project leadership and execution.</t>
  </si>
  <si>
    <t>SKL-0009</t>
  </si>
  <si>
    <t>Ability to understand and manage cost, budget, and productivity drivers to control project financial performance.</t>
  </si>
  <si>
    <t>SKL-0010</t>
  </si>
  <si>
    <t>SKL-0011</t>
  </si>
  <si>
    <t>SKL-0012</t>
  </si>
  <si>
    <t>Competency related to change management that supports effective field/project leadership and execution.</t>
  </si>
  <si>
    <t>SKL-0013</t>
  </si>
  <si>
    <t>Competency related to change trigger identification that supports effective field/project leadership and execution.</t>
  </si>
  <si>
    <t>SKL-0014</t>
  </si>
  <si>
    <t>Ability to communicate clearly and consistently about clear verbal.</t>
  </si>
  <si>
    <t>SKL-0015</t>
  </si>
  <si>
    <t>Ability to communicate clearly and consistently about client-facing messaging.</t>
  </si>
  <si>
    <t>SKL-0016</t>
  </si>
  <si>
    <t>Ability to coach and develop people through feedback, diagnosis, and follow-through to improve performance.</t>
  </si>
  <si>
    <t>SKL-0017</t>
  </si>
  <si>
    <t>Ability to communicate clearly and consistently about style adjustment.</t>
  </si>
  <si>
    <t>SKL-0018</t>
  </si>
  <si>
    <t>SKL-0019</t>
  </si>
  <si>
    <t>Competency related to conflict management that supports effective field/project leadership and execution.</t>
  </si>
  <si>
    <t>SKL-0020</t>
  </si>
  <si>
    <t>Competency related to conflict resolution that supports effective field/project leadership and execution.</t>
  </si>
  <si>
    <t>SKL-0021</t>
  </si>
  <si>
    <t>Competency related to consistency of expectations that supports effective field/project leadership and execution.</t>
  </si>
  <si>
    <t>SKL-0022</t>
  </si>
  <si>
    <t>SKL-0023</t>
  </si>
  <si>
    <t>Competency related to constraint identification that supports effective field/project leadership and execution.</t>
  </si>
  <si>
    <t>SKL-0024</t>
  </si>
  <si>
    <t>Competency related to constraint removal that supports effective field/project leadership and execution.</t>
  </si>
  <si>
    <t>SKL-0025</t>
  </si>
  <si>
    <t>SKL-0026</t>
  </si>
  <si>
    <t>Competency related to continuous learning engagement that supports effective field/project leadership and execution.</t>
  </si>
  <si>
    <t>SKL-0027</t>
  </si>
  <si>
    <t>Competency related to contract awareness that supports effective field/project leadership and execution.</t>
  </si>
  <si>
    <t>SKL-0028</t>
  </si>
  <si>
    <t>SKL-0029</t>
  </si>
  <si>
    <t>SKL-0030</t>
  </si>
  <si>
    <t>SKL-0031</t>
  </si>
  <si>
    <t>SKL-0032</t>
  </si>
  <si>
    <t>SKL-0033</t>
  </si>
  <si>
    <t>SKL-0034</t>
  </si>
  <si>
    <t>Ability to coordinate resources and people (manpower, priorities, and workload) to keep work flowing efficiently.</t>
  </si>
  <si>
    <t>SKL-0035</t>
  </si>
  <si>
    <t>SKL-0036</t>
  </si>
  <si>
    <t>Competency related to critical path awareness that supports effective field/project leadership and execution.</t>
  </si>
  <si>
    <t>SKL-0037</t>
  </si>
  <si>
    <t>Competency related to cross-project prioritization that supports effective field/project leadership and execution.</t>
  </si>
  <si>
    <t>SKL-0038</t>
  </si>
  <si>
    <t>Ability to assess risk and make sound decisions under uncertainty to protect safety, quality, schedule, and cost.</t>
  </si>
  <si>
    <t>SKL-0039</t>
  </si>
  <si>
    <t>Competency related to decisiveness under pressure that supports effective field/project leadership and execution.</t>
  </si>
  <si>
    <t>SKL-0040</t>
  </si>
  <si>
    <t>Competency related to delegation based on conditions that supports effective field/project leadership and execution.</t>
  </si>
  <si>
    <t>SKL-0041</t>
  </si>
  <si>
    <t>SKL-0042</t>
  </si>
  <si>
    <t>SKL-0043</t>
  </si>
  <si>
    <t>SKL-0044</t>
  </si>
  <si>
    <t>SKL-0045</t>
  </si>
  <si>
    <t>Competency related to early issue detection that supports effective field/project leadership and execution.</t>
  </si>
  <si>
    <t>SKL-0046</t>
  </si>
  <si>
    <t>SKL-0047</t>
  </si>
  <si>
    <t>Competency related to emotional intelligence that supports effective field/project leadership and execution.</t>
  </si>
  <si>
    <t>SKL-0048</t>
  </si>
  <si>
    <t>SKL-0049</t>
  </si>
  <si>
    <t>SKL-0050</t>
  </si>
  <si>
    <t>Ability to analyze performance and trends, evaluate execution quality, and identify issues early for action.</t>
  </si>
  <si>
    <t>SKL-0051</t>
  </si>
  <si>
    <t>Competency related to expectation reinforcement that supports effective field/project leadership and execution.</t>
  </si>
  <si>
    <t>SKL-0052</t>
  </si>
  <si>
    <t>Competency related to expectation setting that supports effective field/project leadership and execution.</t>
  </si>
  <si>
    <t>SKL-0053</t>
  </si>
  <si>
    <t>SKL-0054</t>
  </si>
  <si>
    <t>SKL-0055</t>
  </si>
  <si>
    <t>Ability to communicate clearly and consistently about financial.</t>
  </si>
  <si>
    <t>SKL-0056</t>
  </si>
  <si>
    <t>SKL-0057</t>
  </si>
  <si>
    <t>Competency related to float management that supports effective field/project leadership and execution.</t>
  </si>
  <si>
    <t>SKL-0058</t>
  </si>
  <si>
    <t>SKL-0059</t>
  </si>
  <si>
    <t>Competency related to forecast adjustment that supports effective field/project leadership and execution.</t>
  </si>
  <si>
    <t>SKL-0060</t>
  </si>
  <si>
    <t>Competency related to gap identification that supports effective field/project leadership and execution.</t>
  </si>
  <si>
    <t>SKL-0061</t>
  </si>
  <si>
    <t>SKL-0062</t>
  </si>
  <si>
    <t>Competency related to information filtering that supports effective field/project leadership and execution.</t>
  </si>
  <si>
    <t>SKL-0063</t>
  </si>
  <si>
    <t>Competency related to intervention timing that supports effective field/project leadership and execution.</t>
  </si>
  <si>
    <t>SKL-0064</t>
  </si>
  <si>
    <t>Competency related to issue escalation that supports effective field/project leadership and execution.</t>
  </si>
  <si>
    <t>SKL-0065</t>
  </si>
  <si>
    <t>Competency related to issue representation that supports effective field/project leadership and execution.</t>
  </si>
  <si>
    <t>SKL-0066</t>
  </si>
  <si>
    <t>SKL-0067</t>
  </si>
  <si>
    <t>SKL-0068</t>
  </si>
  <si>
    <t>SKL-0069</t>
  </si>
  <si>
    <t>SKL-0070</t>
  </si>
  <si>
    <t>SKL-0071</t>
  </si>
  <si>
    <t>SKL-0072</t>
  </si>
  <si>
    <t>SKL-0073</t>
  </si>
  <si>
    <t>SKL-0074</t>
  </si>
  <si>
    <t>Competency related to manpower forecasting that supports effective field/project leadership and execution.</t>
  </si>
  <si>
    <t>SKL-0075</t>
  </si>
  <si>
    <t>Competency related to meeting participation that supports effective field/project leadership and execution.</t>
  </si>
  <si>
    <t>SKL-0076</t>
  </si>
  <si>
    <t>Competency related to message consistency that supports effective field/project leadership and execution.</t>
  </si>
  <si>
    <t>SKL-0077</t>
  </si>
  <si>
    <t>Competency related to milestone tracking that supports effective field/project leadership and execution.</t>
  </si>
  <si>
    <t>SKL-0078</t>
  </si>
  <si>
    <t>SKL-0079</t>
  </si>
  <si>
    <t>Competency related to multi-project performance consistency that supports effective field/project leadership and execution.</t>
  </si>
  <si>
    <t>SKL-0080</t>
  </si>
  <si>
    <t>Competency related to negotiation between trades that supports effective field/project leadership and execution.</t>
  </si>
  <si>
    <t>SKL-0081</t>
  </si>
  <si>
    <t>Competency related to pattern recognition across projects that supports effective field/project leadership and execution.</t>
  </si>
  <si>
    <t>SKL-0082</t>
  </si>
  <si>
    <t>SKL-0083</t>
  </si>
  <si>
    <t>Competency related to performance diagnosis that supports effective field/project leadership and execution.</t>
  </si>
  <si>
    <t>SKL-0084</t>
  </si>
  <si>
    <t>SKL-0085</t>
  </si>
  <si>
    <t>Competency related to performance standards definition that supports effective field/project leadership and execution.</t>
  </si>
  <si>
    <t>SKL-0086</t>
  </si>
  <si>
    <t>SKL-0087</t>
  </si>
  <si>
    <t>SKL-0088</t>
  </si>
  <si>
    <t>SKL-0089</t>
  </si>
  <si>
    <t>Ability to communicate clearly and consistently about planning.</t>
  </si>
  <si>
    <t>SKL-0090</t>
  </si>
  <si>
    <t>Competency related to prioritization that supports effective field/project leadership and execution.</t>
  </si>
  <si>
    <t>SKL-0091</t>
  </si>
  <si>
    <t>Competency related to priority alignment that supports effective field/project leadership and execution.</t>
  </si>
  <si>
    <t>SKL-0092</t>
  </si>
  <si>
    <t>SKL-0093</t>
  </si>
  <si>
    <t>SKL-0094</t>
  </si>
  <si>
    <t>Competency related to production tracking that supports effective field/project leadership and execution.</t>
  </si>
  <si>
    <t>SKL-0095</t>
  </si>
  <si>
    <t>SKL-0096</t>
  </si>
  <si>
    <t>Competency related to progress tracking that supports effective field/project leadership and execution.</t>
  </si>
  <si>
    <t>SKL-0097</t>
  </si>
  <si>
    <t>SKL-0098</t>
  </si>
  <si>
    <t>SKL-0099</t>
  </si>
  <si>
    <t>SKL-0100</t>
  </si>
  <si>
    <t>SKL-0101</t>
  </si>
  <si>
    <t>SKL-0102</t>
  </si>
  <si>
    <t>Competency related to recovery scheduling that supports effective field/project leadership and execution.</t>
  </si>
  <si>
    <t>SKL-0103</t>
  </si>
  <si>
    <t>SKL-0104</t>
  </si>
  <si>
    <t>Competency related to responsibility alignment that supports effective field/project leadership and execution.</t>
  </si>
  <si>
    <t>SKL-0105</t>
  </si>
  <si>
    <t>SKL-0106</t>
  </si>
  <si>
    <t>SKL-0107</t>
  </si>
  <si>
    <t>Competency related to role clarity that supports effective field/project leadership and execution.</t>
  </si>
  <si>
    <t>SKL-0108</t>
  </si>
  <si>
    <t>Ability to communicate clearly and consistently about role clarity.</t>
  </si>
  <si>
    <t>SKL-0109</t>
  </si>
  <si>
    <t>SKL-0110</t>
  </si>
  <si>
    <t>Ability to communicate clearly and consistently about schedule.</t>
  </si>
  <si>
    <t>SKL-0111</t>
  </si>
  <si>
    <t>SKL-0112</t>
  </si>
  <si>
    <t>SKL-0113</t>
  </si>
  <si>
    <t>SKL-0114</t>
  </si>
  <si>
    <t>Ability to communicate clearly and consistently about scope change.</t>
  </si>
  <si>
    <t>SKL-0115</t>
  </si>
  <si>
    <t>Competency related to scope recognition that supports effective field/project leadership and execution.</t>
  </si>
  <si>
    <t>SKL-0116</t>
  </si>
  <si>
    <t>SKL-0117</t>
  </si>
  <si>
    <t>SKL-0118</t>
  </si>
  <si>
    <t>SKL-0119</t>
  </si>
  <si>
    <t>Competency related to skill mix optimization that supports effective field/project leadership and execution.</t>
  </si>
  <si>
    <t>SKL-0120</t>
  </si>
  <si>
    <t>Competency related to stakeholder awareness that supports effective field/project leadership and execution.</t>
  </si>
  <si>
    <t>SKL-0121</t>
  </si>
  <si>
    <t>SKL-0122</t>
  </si>
  <si>
    <t>SKL-0123</t>
  </si>
  <si>
    <t>SKL-0124</t>
  </si>
  <si>
    <t>SKL-0125</t>
  </si>
  <si>
    <t>SKL-0126</t>
  </si>
  <si>
    <t>SKL-0127</t>
  </si>
  <si>
    <t>Competency related to trust-based oversight that supports effective field/project leadership and execution.</t>
  </si>
  <si>
    <t>SKL-0128</t>
  </si>
  <si>
    <t>Competency related to waste identification that supports effective field/project leadership and execution.</t>
  </si>
  <si>
    <t>SKL-0129</t>
  </si>
  <si>
    <t>SKL-0130</t>
  </si>
  <si>
    <t>Skill Description</t>
  </si>
  <si>
    <t>Primary Skill Category</t>
  </si>
  <si>
    <t>Secondary  Skills  Categories</t>
  </si>
  <si>
    <t>Secondary Categories</t>
  </si>
  <si>
    <t>Ability to analyze performance and trends</t>
  </si>
  <si>
    <t>Ability to understand and manage cost</t>
  </si>
  <si>
    <t>Ability to plan and sequence work effectively</t>
  </si>
  <si>
    <t>LEAD, PLAN</t>
  </si>
  <si>
    <t>Ability to maintain accurate</t>
  </si>
  <si>
    <t>Coach foremen on gaps in leadership or execution</t>
  </si>
  <si>
    <t>Ability to lead effectively through presence standards and influence—aligning teams without micromanaging.</t>
  </si>
  <si>
    <t>Ability to analyze performance and trends evaluate execution quality and identify issues early for action.</t>
  </si>
  <si>
    <t>Ability to understand and manage cost budget and productivity drivers to control project financial performance.</t>
  </si>
  <si>
    <t>Ability to plan and sequence work effectively using schedules constraints and lookahead thinking to meet targets.</t>
  </si>
  <si>
    <t>Ability to set expectations enforce accountability and initiate timely corrective action when performance deviates.</t>
  </si>
  <si>
    <t>Ability to coach and develop people through feedback diagnosis and follow-through to improve performance.</t>
  </si>
  <si>
    <t>Ability to maintain accurate timely documentation and verify compliance to support accountability and project controls.</t>
  </si>
  <si>
    <t xml:space="preserve"> Proven track record as Superintendent - 1</t>
  </si>
  <si>
    <t>Review job cost / cost codes weekly (labor hours quantities productivity vs plan)</t>
  </si>
  <si>
    <t>Compare budget vs actuals and flag variances early (by area crew or phase)</t>
  </si>
  <si>
    <t>Update cost-to-complete regularly (don’t wait for the end of the month)</t>
  </si>
  <si>
    <t>Adjust the forecast when trends change (production rate shifts scope changes constraints)</t>
  </si>
  <si>
    <t>Track the schedule and milestones (what’s due what’s slipping why)</t>
  </si>
  <si>
    <t>Monitor critical path and float (so you don’t burn float unnoticed)</t>
  </si>
  <si>
    <t>Run / validate 3-week lookahead planning (make sure foremen have a realistic plan)</t>
  </si>
  <si>
    <t>Identify and remove constraints (material access drawings inspections coordination)</t>
  </si>
  <si>
    <t>Balance manpower to the plan (right crew size/skill mix to hit weekly targets)</t>
  </si>
  <si>
    <t>Coordinate sequencing with other trades/GC (prevent downtime and rework)</t>
  </si>
  <si>
    <t>Implement recovery plans immediately when behind (re-sequence add resources adjust workface)</t>
  </si>
  <si>
    <t>Communicate budget/schedule status clearly to PM/GC (issues impacts decisions needed)</t>
  </si>
  <si>
    <t>Ability to coordinate resources and people (manpower</t>
  </si>
  <si>
    <t>Set clear expectations and standards for foremen (quality productivity planning documentation safety communication)</t>
  </si>
  <si>
    <t>Hold regular check-ins with foremen (weekly/bi-weekly) to review performance needs and obstacles</t>
  </si>
  <si>
    <t>Ability to analyze performance and trends and identify issues early for action.</t>
  </si>
  <si>
    <t>Audit foreman execution in the field (planning quality crew direction readiness)</t>
  </si>
  <si>
    <t>Monitor crew productivity and behavior trends and address slippage early</t>
  </si>
  <si>
    <t>Coach foremen on leadership gaps (communication delegation accountability conflict)</t>
  </si>
  <si>
    <t>Enforce accountability consistently (recognize good performance; correct misses promptly)</t>
  </si>
  <si>
    <t>Stabilize manpower and skill mix (avoid churn; adjust crew balance deliberately)</t>
  </si>
  <si>
    <t>Ability to coordinate resources and people (manpower priorities and workload) to keep work flowing efficiently.</t>
  </si>
  <si>
    <t>Resolve crew conflicts quickly and keep foremen aligned on expectations</t>
  </si>
  <si>
    <t>Support foremen with resources (tools materials information coordination) so they can lead effectively</t>
  </si>
  <si>
    <t>Identify high/low performers and create an improvement plan (with follow-up)</t>
  </si>
  <si>
    <t>Maintain continuity across projects by reinforcing the same leadership standards everywhere</t>
  </si>
  <si>
    <t>Back up foremen decisions appropriately (don’t undermine them; correct privately; align publicly)</t>
  </si>
  <si>
    <t>Blueprint reading</t>
  </si>
  <si>
    <t>Spec reading</t>
  </si>
  <si>
    <t>NEC knowledge</t>
  </si>
  <si>
    <t>NFPA 70E / electrical safety knowledge</t>
  </si>
  <si>
    <t>Electrical systems knowledge (power, lighting, gear, controls, low voltage interfaces)</t>
  </si>
  <si>
    <t>Field verification / as-built validation</t>
  </si>
  <si>
    <t>Constructability review</t>
  </si>
  <si>
    <t>Trade coordination awareness (HVAC, fire, structural, ceilings)</t>
  </si>
  <si>
    <t>Sequencing and dependency recognition</t>
  </si>
  <si>
    <t>Risk spotting (safety, schedule, cost, access)</t>
  </si>
  <si>
    <t>Long-lead material awareness</t>
  </si>
  <si>
    <t>Scope gap detection (exclusions, “by others,” unclear responsibilities)</t>
  </si>
  <si>
    <t>RFI identification and drafting ability</t>
  </si>
  <si>
    <t>Change order recognition</t>
  </si>
  <si>
    <t>Rapid quantity takeoff</t>
  </si>
  <si>
    <t>Labor production rate judgment</t>
  </si>
  <si>
    <t>Crew planning (skill mix, manpower)</t>
  </si>
  <si>
    <t>Logistics planning (access, lifts, laydown, shutdowns)</t>
  </si>
  <si>
    <t>Hazard assessment / Job Hazard Analysis</t>
  </si>
  <si>
    <t>Decision-making under time pressure</t>
  </si>
  <si>
    <t>Clear communication (field-to-PM/GC)</t>
  </si>
  <si>
    <t>Documentation (notes, markups, photos)</t>
  </si>
  <si>
    <t>Delegation</t>
  </si>
  <si>
    <t>Problem-solving</t>
  </si>
  <si>
    <t>Electrical systems knowledge</t>
  </si>
  <si>
    <t>Trade coordination awareness</t>
  </si>
  <si>
    <t>Risk spotting</t>
  </si>
  <si>
    <t xml:space="preserve">Level 1 Superintenedent </t>
  </si>
  <si>
    <t>RFI</t>
  </si>
  <si>
    <t>Skill Category</t>
  </si>
  <si>
    <t>Licensing</t>
  </si>
  <si>
    <t>Maintain AHJ-issued Journeyman license</t>
  </si>
  <si>
    <t>Code</t>
  </si>
  <si>
    <t>Use NEC to resolve code issues on the project</t>
  </si>
  <si>
    <t>Drawings</t>
  </si>
  <si>
    <t>Read and interpret electrical prints</t>
  </si>
  <si>
    <t>Specs</t>
  </si>
  <si>
    <t>Understand and follow project specifications</t>
  </si>
  <si>
    <t>Quality</t>
  </si>
  <si>
    <t>Be production-oriented with emphasis on quality</t>
  </si>
  <si>
    <t>Safety</t>
  </si>
  <si>
    <t>Comply with GSL safety program and jobsite safety requirements</t>
  </si>
  <si>
    <t>Training</t>
  </si>
  <si>
    <t>Train apprentices in the trade</t>
  </si>
  <si>
    <t>Lean</t>
  </si>
  <si>
    <t>Use GSL SOPs and lean construction principles</t>
  </si>
  <si>
    <t>Recommended</t>
  </si>
  <si>
    <t>Planning</t>
  </si>
  <si>
    <t>Plan and carry out assigned work</t>
  </si>
  <si>
    <t>Raceway</t>
  </si>
  <si>
    <t>Layout and install raceway systems</t>
  </si>
  <si>
    <t>Systems</t>
  </si>
  <si>
    <t>Demonstrate understanding of the systems being installed/serviced</t>
  </si>
  <si>
    <t>Troubleshooting</t>
  </si>
  <si>
    <t>Troubleshoot basic power and control systems</t>
  </si>
  <si>
    <t>Controls</t>
  </si>
  <si>
    <t>Demonstrate competence in basic control systems</t>
  </si>
  <si>
    <t>Productivity</t>
  </si>
  <si>
    <t>Consistently meet production demands</t>
  </si>
  <si>
    <t>Leadership</t>
  </si>
  <si>
    <t>Mentor and train apprentices and journeymen</t>
  </si>
  <si>
    <t>Development</t>
  </si>
  <si>
    <t>Complete outside trade-related training (per code cycle)</t>
  </si>
  <si>
    <t>Demonstrate advanced raceway knowledge across system types</t>
  </si>
  <si>
    <t>Wire Pulls</t>
  </si>
  <si>
    <t>Set up and complete large wire pulls</t>
  </si>
  <si>
    <t>Demonstrate competence across multiple control systems</t>
  </si>
  <si>
    <t>Controls Logic</t>
  </si>
  <si>
    <t>Understand ladder logic and ladder diagrams</t>
  </si>
  <si>
    <t>Perform advanced troubleshooting</t>
  </si>
  <si>
    <t>Demonstrate competence at Journeyman-3 level</t>
  </si>
  <si>
    <t>Manage a small crew under foreman direction</t>
  </si>
  <si>
    <t>Maintain production levels for the crew</t>
  </si>
  <si>
    <t>Review timecards for errors and verify hours and quantities are correct</t>
  </si>
  <si>
    <t>Communicate job impacts to the foreman</t>
  </si>
  <si>
    <t>Work as a journeyman for the majority of the day</t>
  </si>
  <si>
    <t>Conduct toolbox safety meetings</t>
  </si>
  <si>
    <t>Coordinate work with other trades</t>
  </si>
  <si>
    <t>Actively train apprentices and journeymen</t>
  </si>
  <si>
    <t>Participate in performance evaluations for apprentices and journeymen</t>
  </si>
  <si>
    <t>Build basic computer/software skills</t>
  </si>
  <si>
    <t>Complete outside training incl. at least one computer-related class</t>
  </si>
  <si>
    <t>Manage a larger crew under foreman direction</t>
  </si>
  <si>
    <t>Interact professionally with the client</t>
  </si>
  <si>
    <t>Coordinate 3-week lookahead planning with foreman</t>
  </si>
  <si>
    <t>Coordinate 3-week material requirements with foreman</t>
  </si>
  <si>
    <t>Complete GSL Safety Coordinator training</t>
  </si>
  <si>
    <t>Prepare to participate in the Foreman Training Program</t>
  </si>
  <si>
    <t>Motivate the crew and build engagement</t>
  </si>
  <si>
    <t>Address production issues identified via timecard/Job Plan</t>
  </si>
  <si>
    <t>Demonstrate Leadman-2/3 skills across multiple projects</t>
  </si>
  <si>
    <t>Complete GSL Foreman Training Program</t>
  </si>
  <si>
    <t>Pre-plan the project start-to-finish with PM/management</t>
  </si>
  <si>
    <t>Enforce company policies and procedures</t>
  </si>
  <si>
    <t>Work on tools as crew size/contract requirements allow</t>
  </si>
  <si>
    <t>Demonstrate positive leadership and buy-in to GSL standards</t>
  </si>
  <si>
    <t>Bring multiple projects in on budget</t>
  </si>
  <si>
    <t>Understand contract documents and identify scope limitations</t>
  </si>
  <si>
    <t>Manage multiple leadmen</t>
  </si>
  <si>
    <t>Use and interpret the Job Plan accurately</t>
  </si>
  <si>
    <t>Generate change order information (per PM direction)</t>
  </si>
  <si>
    <t>Manage the schedule with the PM</t>
  </si>
  <si>
    <t>Generate meaningful long-term manpower projections</t>
  </si>
  <si>
    <t>Generate meaningful RFIs and distribute info efficiently</t>
  </si>
  <si>
    <t>Generate quality as-builts/record drawings</t>
  </si>
  <si>
    <t>Complete job closeout</t>
  </si>
  <si>
    <t>Implement company directives on the project</t>
  </si>
  <si>
    <t>Promote and represent GSL professionally to the client</t>
  </si>
  <si>
    <t>Set and accomplish project goals</t>
  </si>
  <si>
    <t>Participate in planning/presenting Foreman Training</t>
  </si>
  <si>
    <t>Maintain long-term performance record at Foreman-2 level</t>
  </si>
  <si>
    <t>Demonstrate proven track record of managing the budget</t>
  </si>
  <si>
    <t>Assignments</t>
  </si>
  <si>
    <t>Take assignments on any project</t>
  </si>
  <si>
    <t>Track Record</t>
  </si>
  <si>
    <t>Demonstrate proven track record as Foreman-2/3</t>
  </si>
  <si>
    <t>Accountability</t>
  </si>
  <si>
    <t>Delegate work and hold others accountable</t>
  </si>
  <si>
    <t>Manage multiple foremen</t>
  </si>
  <si>
    <t>Budget</t>
  </si>
  <si>
    <t>Understand and participate in project budgeting</t>
  </si>
  <si>
    <t>Change Mgmt</t>
  </si>
  <si>
    <t>Prepare and defend change orders (in coordination with PM)</t>
  </si>
  <si>
    <t>Coordination</t>
  </si>
  <si>
    <t>Coordinate in detail with GC and other subcontractors</t>
  </si>
  <si>
    <t>Performance</t>
  </si>
  <si>
    <t>Demonstrate proven track record as Superintendent-1</t>
  </si>
  <si>
    <t>Ensure foremen under you are performing all duties</t>
  </si>
  <si>
    <t>Demonstrate proven track record as Superintendent-2</t>
  </si>
  <si>
    <t>Crew Leadership</t>
  </si>
  <si>
    <t>Timekeeping</t>
  </si>
  <si>
    <t>Communication</t>
  </si>
  <si>
    <t>Field Work</t>
  </si>
  <si>
    <t>Technology</t>
  </si>
  <si>
    <t>Client</t>
  </si>
  <si>
    <t>Materials</t>
  </si>
  <si>
    <t>Software</t>
  </si>
  <si>
    <t>Preplanning</t>
  </si>
  <si>
    <t>Policies</t>
  </si>
  <si>
    <t>Culture</t>
  </si>
  <si>
    <t>Contract</t>
  </si>
  <si>
    <t>Job Plan</t>
  </si>
  <si>
    <t>Schedule</t>
  </si>
  <si>
    <t>Forecasting</t>
  </si>
  <si>
    <t>RFIs</t>
  </si>
  <si>
    <t>Documentation</t>
  </si>
  <si>
    <t>Closeout</t>
  </si>
  <si>
    <t>Directives</t>
  </si>
  <si>
    <t>Goals</t>
  </si>
  <si>
    <t>Use layout drawings to plan work create material list and complete task</t>
  </si>
  <si>
    <t>Take on new systems (e.g. lighting control fire alarm)</t>
  </si>
  <si>
    <t>Basic proficiency in Excel Outlook Word and GSL-used software</t>
  </si>
  <si>
    <t>Conduct performance evaluations for apprentices journeymen and leadmen</t>
  </si>
  <si>
    <t>Conduct performance evaluations for apprentices journeymen leadmen and foremen</t>
  </si>
  <si>
    <t xml:space="preserve"> Accountability </t>
  </si>
  <si>
    <t>Cognitive / Decision Skills</t>
  </si>
  <si>
    <t>JUDG</t>
  </si>
  <si>
    <t>Decision-making under pressure</t>
  </si>
  <si>
    <t>PROB</t>
  </si>
  <si>
    <t>Critical thinking</t>
  </si>
  <si>
    <t>CRIT</t>
  </si>
  <si>
    <t>Risk assessment</t>
  </si>
  <si>
    <t>RISK</t>
  </si>
  <si>
    <t>PRIOR</t>
  </si>
  <si>
    <t>📐 Planning &amp; Execution</t>
  </si>
  <si>
    <t>Project planning</t>
  </si>
  <si>
    <t>Sequencing &amp; dependencies</t>
  </si>
  <si>
    <t>SEQ</t>
  </si>
  <si>
    <t>Logistics planning</t>
  </si>
  <si>
    <t>LOG</t>
  </si>
  <si>
    <t>Crew planning</t>
  </si>
  <si>
    <t>CREW</t>
  </si>
  <si>
    <t>MPWR</t>
  </si>
  <si>
    <t>Short-term lookahead planning</t>
  </si>
  <si>
    <t>LOOK</t>
  </si>
  <si>
    <t>LLM</t>
  </si>
  <si>
    <t>📊 Performance &amp; Productivity</t>
  </si>
  <si>
    <t>Productivity management</t>
  </si>
  <si>
    <t>PROD</t>
  </si>
  <si>
    <t>Labor rate judgment</t>
  </si>
  <si>
    <t>RATE</t>
  </si>
  <si>
    <t>Budget control</t>
  </si>
  <si>
    <t>Cost awareness</t>
  </si>
  <si>
    <t>COST</t>
  </si>
  <si>
    <t>Schedule management</t>
  </si>
  <si>
    <t>SCHED</t>
  </si>
  <si>
    <t>Performance tracking</t>
  </si>
  <si>
    <t>Continuous improvement</t>
  </si>
  <si>
    <t>CI</t>
  </si>
  <si>
    <t>👷 Leadership &amp; People Management</t>
  </si>
  <si>
    <t>Multi-crew leadership</t>
  </si>
  <si>
    <t>MCLEAD</t>
  </si>
  <si>
    <t>DELEG</t>
  </si>
  <si>
    <t>Coaching</t>
  </si>
  <si>
    <t>Mentoring</t>
  </si>
  <si>
    <t>MENT</t>
  </si>
  <si>
    <t>Motivation</t>
  </si>
  <si>
    <t>MOTIV</t>
  </si>
  <si>
    <t>CONFL</t>
  </si>
  <si>
    <t>ROLE</t>
  </si>
  <si>
    <t>🗣 Communication &amp; Coordination</t>
  </si>
  <si>
    <t>Clear communication</t>
  </si>
  <si>
    <t>EXPECT</t>
  </si>
  <si>
    <t>Trade coordination</t>
  </si>
  <si>
    <t>Collaboration</t>
  </si>
  <si>
    <t>Client interaction</t>
  </si>
  <si>
    <t>CLIENT</t>
  </si>
  <si>
    <t>Meeting facilitation</t>
  </si>
  <si>
    <t>MEET</t>
  </si>
  <si>
    <t>Field-to-PM communication</t>
  </si>
  <si>
    <t>F2PM</t>
  </si>
  <si>
    <t>🧾 Documentation &amp; Controls</t>
  </si>
  <si>
    <t>Documentation accuracy</t>
  </si>
  <si>
    <t>Timely reporting</t>
  </si>
  <si>
    <t>TIMELY</t>
  </si>
  <si>
    <t>RFI development</t>
  </si>
  <si>
    <t>CO</t>
  </si>
  <si>
    <t>Change documentation</t>
  </si>
  <si>
    <t>COD</t>
  </si>
  <si>
    <t>Record drawings / as-builts</t>
  </si>
  <si>
    <t>ASBLT</t>
  </si>
  <si>
    <t>Quantity tracking</t>
  </si>
  <si>
    <t>QTY</t>
  </si>
  <si>
    <t>⚡ Technical Electrical Skills</t>
  </si>
  <si>
    <t>BP</t>
  </si>
  <si>
    <t>Specification reading</t>
  </si>
  <si>
    <t>SPEC</t>
  </si>
  <si>
    <t>NEC</t>
  </si>
  <si>
    <t>NFPA 70E / safety knowledge</t>
  </si>
  <si>
    <t>NFPA</t>
  </si>
  <si>
    <t>ELEC</t>
  </si>
  <si>
    <t>Controls systems</t>
  </si>
  <si>
    <t>CTRL</t>
  </si>
  <si>
    <t>TROUBLE</t>
  </si>
  <si>
    <t>CONST</t>
  </si>
  <si>
    <t>🦺 Safety &amp; Compliance</t>
  </si>
  <si>
    <t>Job hazard analysis</t>
  </si>
  <si>
    <t>JHA</t>
  </si>
  <si>
    <t>Safety leadership</t>
  </si>
  <si>
    <t>SAFE</t>
  </si>
  <si>
    <t>PPE enforcement</t>
  </si>
  <si>
    <t>PPE</t>
  </si>
  <si>
    <t>Risk mitigation</t>
  </si>
  <si>
    <t>MIT</t>
  </si>
  <si>
    <t>Regulatory compliance</t>
  </si>
  <si>
    <t>REG</t>
  </si>
  <si>
    <t>💻 Technology &amp; Software</t>
  </si>
  <si>
    <t>Job Plan usage</t>
  </si>
  <si>
    <t>JOBPLAN</t>
  </si>
  <si>
    <t>Procore / PM software</t>
  </si>
  <si>
    <t>PROCORE</t>
  </si>
  <si>
    <t>Excel proficiency</t>
  </si>
  <si>
    <t>EXCEL</t>
  </si>
  <si>
    <t>Outlook / communication tools</t>
  </si>
  <si>
    <t>OUTLOOK</t>
  </si>
  <si>
    <t>Field documentation tools</t>
  </si>
  <si>
    <t>FIELDTECH</t>
  </si>
  <si>
    <t>🎓 Professional Development</t>
  </si>
  <si>
    <t>Trade training participation</t>
  </si>
  <si>
    <t>TRADE</t>
  </si>
  <si>
    <t>Computer skills development</t>
  </si>
  <si>
    <t>COMP</t>
  </si>
  <si>
    <t>Leadership development</t>
  </si>
  <si>
    <t>LDEV</t>
  </si>
  <si>
    <t>Self-improvement</t>
  </si>
  <si>
    <t>SELF</t>
  </si>
  <si>
    <t>Training compliance</t>
  </si>
  <si>
    <t>TRAIN</t>
  </si>
  <si>
    <t>SKILL</t>
  </si>
  <si>
    <t>ABBREVIATION</t>
  </si>
  <si>
    <t>Apprentice Electrician — Requirements by Level</t>
  </si>
  <si>
    <t>First-Year Apprentice (End of Year 1)</t>
  </si>
  <si>
    <r>
      <t xml:space="preserve">A first-year apprentice is focused on </t>
    </r>
    <r>
      <rPr>
        <b/>
        <sz val="11"/>
        <color rgb="FF000000"/>
        <rFont val="Aptos Narrow"/>
        <family val="2"/>
        <scheme val="minor"/>
      </rPr>
      <t>foundational electrical knowledge, basic tools, and safe work practices</t>
    </r>
    <r>
      <rPr>
        <sz val="11"/>
        <color rgb="FF000000"/>
        <rFont val="Aptos Narrow"/>
        <family val="2"/>
        <scheme val="minor"/>
      </rPr>
      <t>.</t>
    </r>
  </si>
  <si>
    <t>Electrical Theory &amp; Fundamentals</t>
  </si>
  <si>
    <t>Apply DC electrical calculations</t>
  </si>
  <si>
    <t>Manipulate formulas to solve for electrical variables</t>
  </si>
  <si>
    <t>Explain electrical concepts in common, practical terms</t>
  </si>
  <si>
    <t>Electrical Systems &amp; Components</t>
  </si>
  <si>
    <t>Identify batteries and sources of electrical energy</t>
  </si>
  <si>
    <t>Recognize nominal AC voltages (single-phase and three-phase)</t>
  </si>
  <si>
    <t>Identify common electrical parts and understand ordering criteria</t>
  </si>
  <si>
    <t>Understand panelboards and their general layout</t>
  </si>
  <si>
    <t>Distinguish between system grounds and equipment grounds</t>
  </si>
  <si>
    <t>Tools &amp; Installation</t>
  </si>
  <si>
    <t>Bend and install EMT conduit using hand benders</t>
  </si>
  <si>
    <t>Set up and pull wire and cable up to #2 AWG</t>
  </si>
  <si>
    <t>Wiring &amp; Circuits</t>
  </si>
  <si>
    <t>Second-Year Apprentice (End of Year 2)</t>
  </si>
  <si>
    <r>
      <t xml:space="preserve">A second-year apprentice expands into </t>
    </r>
    <r>
      <rPr>
        <b/>
        <sz val="11"/>
        <color rgb="FF000000"/>
        <rFont val="Aptos Narrow"/>
        <family val="2"/>
        <scheme val="minor"/>
      </rPr>
      <t>larger systems, blueprint use, and AC theory</t>
    </r>
    <r>
      <rPr>
        <sz val="11"/>
        <color rgb="FF000000"/>
        <rFont val="Aptos Narrow"/>
        <family val="2"/>
        <scheme val="minor"/>
      </rPr>
      <t>.</t>
    </r>
  </si>
  <si>
    <t>Conduit &amp; Installation</t>
  </si>
  <si>
    <t>Install rigid conduit using hand benders</t>
  </si>
  <si>
    <t>Install all conduit systems up to 2"</t>
  </si>
  <si>
    <t>Wiring &amp; Controls</t>
  </si>
  <si>
    <t>Wire simple motor control circuits (start/stop)</t>
  </si>
  <si>
    <t>Rig and pull wire up to 4/0 MCM</t>
  </si>
  <si>
    <t>Properly connect single-phase and three-phase loads</t>
  </si>
  <si>
    <t>Electrical Theory</t>
  </si>
  <si>
    <t>Explain AC waveforms</t>
  </si>
  <si>
    <t>Protection &amp; Equipment</t>
  </si>
  <si>
    <t>Demonstrate basic knowledge of overcurrent protection</t>
  </si>
  <si>
    <t>Demonstrate basic familiarity with transformers</t>
  </si>
  <si>
    <t>Blueprints &amp; Documentation</t>
  </si>
  <si>
    <t>Locate circuits and system information on blueprints</t>
  </si>
  <si>
    <t>Read blueprint elevations and details meaningfully</t>
  </si>
  <si>
    <t>Third-Year Apprentice (End of Year 3)</t>
  </si>
  <si>
    <r>
      <t xml:space="preserve">A third-year apprentice demonstrates </t>
    </r>
    <r>
      <rPr>
        <b/>
        <sz val="11"/>
        <color rgb="FF000000"/>
        <rFont val="Aptos Narrow"/>
        <family val="2"/>
        <scheme val="minor"/>
      </rPr>
      <t>code competency, advanced installation, and testing skills</t>
    </r>
    <r>
      <rPr>
        <sz val="11"/>
        <color rgb="FF000000"/>
        <rFont val="Aptos Narrow"/>
        <family val="2"/>
        <scheme val="minor"/>
      </rPr>
      <t>.</t>
    </r>
  </si>
  <si>
    <t>Conduit, Wire &amp; Equipment</t>
  </si>
  <si>
    <t>Install conduit systems of all sizes</t>
  </si>
  <si>
    <t>Rig and pull all types and sizes of wire and cable</t>
  </si>
  <si>
    <t>NEC Knowledge &amp; Application</t>
  </si>
  <si>
    <t>Drawings &amp; Coordination</t>
  </si>
  <si>
    <t>Cross-reference electrical, mechanical, and architectural drawings</t>
  </si>
  <si>
    <t>Testing &amp; Controls</t>
  </si>
  <si>
    <t>Wire motor controls and simple instrumentation</t>
  </si>
  <si>
    <t>Medium &amp; High Voltage Work</t>
  </si>
  <si>
    <t>Make 5 kV–15 kV terminations and splices</t>
  </si>
  <si>
    <t>Understand high-voltage safety considerations</t>
  </si>
  <si>
    <t>Fourth-Year Apprentice (End of Year 4)</t>
  </si>
  <si>
    <r>
      <t xml:space="preserve">A fourth-year apprentice approaches </t>
    </r>
    <r>
      <rPr>
        <b/>
        <sz val="11"/>
        <color rgb="FF000000"/>
        <rFont val="Aptos Narrow"/>
        <family val="2"/>
        <scheme val="minor"/>
      </rPr>
      <t>journeyman-level technical depth, system understanding, and estimating awareness</t>
    </r>
    <r>
      <rPr>
        <sz val="11"/>
        <color rgb="FF000000"/>
        <rFont val="Aptos Narrow"/>
        <family val="2"/>
        <scheme val="minor"/>
      </rPr>
      <t>.</t>
    </r>
  </si>
  <si>
    <t>Advanced Systems</t>
  </si>
  <si>
    <t>Perform advanced motor control and instrumentation hookups</t>
  </si>
  <si>
    <t>Power Quality &amp; Protection</t>
  </si>
  <si>
    <t>Understand harmonics and power factor issues</t>
  </si>
  <si>
    <t>Test for, recognize, and mitigate power quality problems</t>
  </si>
  <si>
    <t>Understand basic lightning protection systems</t>
  </si>
  <si>
    <t>Equipment &amp; Loads</t>
  </si>
  <si>
    <t>Lighting Systems</t>
  </si>
  <si>
    <t>Layout and basic design</t>
  </si>
  <si>
    <t>Estimating &amp; Design Awareness</t>
  </si>
  <si>
    <t>Understand basic estimating procedures</t>
  </si>
  <si>
    <t>Specialized Knowledge</t>
  </si>
  <si>
    <t>Follow GSL safety policies and procedures</t>
  </si>
  <si>
    <t>Produce high-quality work</t>
  </si>
  <si>
    <t>Meet acceptable production rates</t>
  </si>
  <si>
    <t>Apply Lean construction principles</t>
  </si>
  <si>
    <t>Work effectively as a team member</t>
  </si>
  <si>
    <t>Accept mentoring from Journeymen, Leadmen, and Field Leadership</t>
  </si>
  <si>
    <t>Explain and use Ohm’s Law</t>
  </si>
  <si>
    <t>Explain and use Power equations</t>
  </si>
  <si>
    <t>Safely use Wiggens</t>
  </si>
  <si>
    <t>Safely use Continuity testers</t>
  </si>
  <si>
    <t>Safely use Ammeters</t>
  </si>
  <si>
    <t>Understand and install 3-way switching</t>
  </si>
  <si>
    <t>Understand and install 4-way switching</t>
  </si>
  <si>
    <t>Understand and explain Inductance</t>
  </si>
  <si>
    <t>Understand and explain Capacitance</t>
  </si>
  <si>
    <t>Understand and explain Power factor</t>
  </si>
  <si>
    <t>Understand and explain Voltage drop</t>
  </si>
  <si>
    <t>Understand and explain kVA and kW</t>
  </si>
  <si>
    <t>Apply NEC to Select proper conductor sizes</t>
  </si>
  <si>
    <t>Apply NEC to Calculate conduit fill</t>
  </si>
  <si>
    <t>Apply NEC to Calculate box and gutter fill</t>
  </si>
  <si>
    <t>Apply NEC to Calculate grounding conductor sizes</t>
  </si>
  <si>
    <t>Apply NEC to Select overcurrent protection correctly</t>
  </si>
  <si>
    <t>Read and interpret Risers</t>
  </si>
  <si>
    <t>Read and interpret Schedules</t>
  </si>
  <si>
    <t>Read and interpret Details</t>
  </si>
  <si>
    <t>Read and interpret Elevations</t>
  </si>
  <si>
    <t>Read and interpret Plan views</t>
  </si>
  <si>
    <t>Properly use Multimeters</t>
  </si>
  <si>
    <t>Properly use Meggers</t>
  </si>
  <si>
    <t>Properly use Other electrical testers</t>
  </si>
  <si>
    <t>Set, terminate, and start up 600V gear</t>
  </si>
  <si>
    <t>Set, terminate, and start up 5 kV–15 kV gear</t>
  </si>
  <si>
    <t>Set, terminate, and start up Transformers</t>
  </si>
  <si>
    <t>Set, terminate, and start up Capacitors</t>
  </si>
  <si>
    <t>Set, terminate, and start up Motors</t>
  </si>
  <si>
    <t>Understand and install UPS systems</t>
  </si>
  <si>
    <t>Understand and install Similar power-conditioning components</t>
  </si>
  <si>
    <t>Demonstrate comprehensive understanding ofTransformers</t>
  </si>
  <si>
    <t>Demonstrate comprehensive understanding ofMotors</t>
  </si>
  <si>
    <t>Demonstrate comprehensive understanding ofVariable Frequency Drives (VFDs)</t>
  </si>
  <si>
    <t>Demonstrate comprehensive understanding ofTypical electrical loads</t>
  </si>
  <si>
    <t>Understand lighting differences related to Efficiency</t>
  </si>
  <si>
    <t>Understand lighting differences related to Color rendition</t>
  </si>
  <si>
    <t>Understand lighting differences related to Heat dissipation</t>
  </si>
  <si>
    <t>Understand Service vs feeder vs branch circuits</t>
  </si>
  <si>
    <t>Understand Demand factors</t>
  </si>
  <si>
    <t>Understand De-rating calculations</t>
  </si>
  <si>
    <t>Understand Panelboard, conductor, and transformer loading</t>
  </si>
  <si>
    <t>Demonstrate familiarity with Overhead line components and configurations</t>
  </si>
  <si>
    <t>Demonstrate familiarity with Intrinsically safe circuits and components</t>
  </si>
  <si>
    <t>Demonstrate familiarity with Hazardous and classified locations</t>
  </si>
  <si>
    <t>Demonstrate familiarity with Applicable wiring methods and safety considerations</t>
  </si>
  <si>
    <t>A second-year apprentice must:</t>
  </si>
  <si>
    <t>A first-year apprentice must:</t>
  </si>
  <si>
    <t>A third-year apprentice must:</t>
  </si>
  <si>
    <t>A forth-year apprentice must:</t>
  </si>
  <si>
    <t xml:space="preserve"> Apprentice - 1A </t>
  </si>
  <si>
    <t xml:space="preserve"> SAFE </t>
  </si>
  <si>
    <t xml:space="preserve"> Safety &amp; Compliance </t>
  </si>
  <si>
    <t xml:space="preserve"> Follow GSL safety policies and procedures </t>
  </si>
  <si>
    <t xml:space="preserve"> Safety rule compliance </t>
  </si>
  <si>
    <t xml:space="preserve"> QUAL </t>
  </si>
  <si>
    <t xml:space="preserve"> Work Quality </t>
  </si>
  <si>
    <t xml:space="preserve"> Produce high-quality work </t>
  </si>
  <si>
    <t xml:space="preserve"> Workmanship quality </t>
  </si>
  <si>
    <t xml:space="preserve"> PERF </t>
  </si>
  <si>
    <t xml:space="preserve"> Productivity </t>
  </si>
  <si>
    <t xml:space="preserve"> Meet acceptable production rates </t>
  </si>
  <si>
    <t xml:space="preserve"> Task efficiency </t>
  </si>
  <si>
    <t xml:space="preserve"> LEAN </t>
  </si>
  <si>
    <t xml:space="preserve"> Lean Principles </t>
  </si>
  <si>
    <t xml:space="preserve"> Apply Lean construction principles </t>
  </si>
  <si>
    <t xml:space="preserve"> Waste identification </t>
  </si>
  <si>
    <t xml:space="preserve"> TEAM </t>
  </si>
  <si>
    <t xml:space="preserve"> Teamwork </t>
  </si>
  <si>
    <t xml:space="preserve"> Work effectively as a team member </t>
  </si>
  <si>
    <t xml:space="preserve"> Collaboration </t>
  </si>
  <si>
    <t xml:space="preserve"> COACH </t>
  </si>
  <si>
    <t xml:space="preserve"> Mentorship </t>
  </si>
  <si>
    <t xml:space="preserve"> Accept mentoring from Journeymen and leadership </t>
  </si>
  <si>
    <t xml:space="preserve"> Coachability </t>
  </si>
  <si>
    <t>Core Expectations</t>
  </si>
  <si>
    <t xml:space="preserve"> ELEC </t>
  </si>
  <si>
    <t xml:space="preserve"> Electrical Theory </t>
  </si>
  <si>
    <t xml:space="preserve"> Apply DC electrical calculations </t>
  </si>
  <si>
    <t xml:space="preserve"> DC circuit calculations </t>
  </si>
  <si>
    <t xml:space="preserve"> Explain and use Ohm’s Law </t>
  </si>
  <si>
    <t xml:space="preserve"> Ohm’s Law application </t>
  </si>
  <si>
    <t xml:space="preserve"> Explain and use power equations </t>
  </si>
  <si>
    <t xml:space="preserve"> Power formula application </t>
  </si>
  <si>
    <t xml:space="preserve"> Manipulate formulas to solve variables </t>
  </si>
  <si>
    <t xml:space="preserve"> Formula manipulation </t>
  </si>
  <si>
    <t xml:space="preserve"> COMM </t>
  </si>
  <si>
    <t xml:space="preserve"> Communication </t>
  </si>
  <si>
    <t xml:space="preserve"> Explain electrical concepts practically </t>
  </si>
  <si>
    <t xml:space="preserve"> Technical communication </t>
  </si>
  <si>
    <t xml:space="preserve"> SYS </t>
  </si>
  <si>
    <t xml:space="preserve"> Electrical Systems </t>
  </si>
  <si>
    <t xml:space="preserve"> Identify electrical energy sources </t>
  </si>
  <si>
    <t xml:space="preserve"> Energy source identification </t>
  </si>
  <si>
    <t xml:space="preserve"> Recognize nominal AC voltages </t>
  </si>
  <si>
    <t xml:space="preserve"> Voltage identification </t>
  </si>
  <si>
    <t xml:space="preserve"> MAT </t>
  </si>
  <si>
    <t xml:space="preserve"> Materials </t>
  </si>
  <si>
    <t xml:space="preserve"> Identify electrical parts and ordering criteria </t>
  </si>
  <si>
    <t xml:space="preserve"> Material identification </t>
  </si>
  <si>
    <t xml:space="preserve"> DIST </t>
  </si>
  <si>
    <t xml:space="preserve"> Distribution </t>
  </si>
  <si>
    <t xml:space="preserve"> Understand panelboards and layout </t>
  </si>
  <si>
    <t xml:space="preserve"> Panelboard familiarity </t>
  </si>
  <si>
    <t xml:space="preserve"> GND </t>
  </si>
  <si>
    <t xml:space="preserve"> Grounding </t>
  </si>
  <si>
    <t xml:space="preserve"> Distinguish system vs equipment grounds </t>
  </si>
  <si>
    <t xml:space="preserve"> Grounding knowledge </t>
  </si>
  <si>
    <t xml:space="preserve"> COND </t>
  </si>
  <si>
    <t xml:space="preserve"> Conduit </t>
  </si>
  <si>
    <t xml:space="preserve"> Bend and install EMT conduit </t>
  </si>
  <si>
    <t xml:space="preserve"> EMT bending </t>
  </si>
  <si>
    <t xml:space="preserve"> TOOLS </t>
  </si>
  <si>
    <t xml:space="preserve"> Testing Tools </t>
  </si>
  <si>
    <t xml:space="preserve"> Safely use Wiggens </t>
  </si>
  <si>
    <t xml:space="preserve"> Voltage testing </t>
  </si>
  <si>
    <t xml:space="preserve"> Safely use continuity testers </t>
  </si>
  <si>
    <t xml:space="preserve"> Continuity testing </t>
  </si>
  <si>
    <t xml:space="preserve"> Safely use ammeters </t>
  </si>
  <si>
    <t xml:space="preserve"> Current measurement </t>
  </si>
  <si>
    <t xml:space="preserve"> WIRE </t>
  </si>
  <si>
    <t xml:space="preserve"> Wire Handling </t>
  </si>
  <si>
    <t xml:space="preserve"> Set up and pull wire up to #2 AWG </t>
  </si>
  <si>
    <t xml:space="preserve"> Wire pulling fundamentals </t>
  </si>
  <si>
    <t xml:space="preserve"> CIRC </t>
  </si>
  <si>
    <t xml:space="preserve"> Circuits </t>
  </si>
  <si>
    <t xml:space="preserve"> Install 3-way switching </t>
  </si>
  <si>
    <t xml:space="preserve"> 3-way switch wiring </t>
  </si>
  <si>
    <t xml:space="preserve"> Install 4-way switching </t>
  </si>
  <si>
    <t xml:space="preserve"> 4-way switch wiring </t>
  </si>
  <si>
    <t xml:space="preserve"> Apprentice - 2A </t>
  </si>
  <si>
    <t xml:space="preserve"> Conduit Installation </t>
  </si>
  <si>
    <t xml:space="preserve"> Install rigid conduit using hand benders </t>
  </si>
  <si>
    <t xml:space="preserve"> Rigid conduit bending </t>
  </si>
  <si>
    <t xml:space="preserve"> Install conduit systems up to 2 inches </t>
  </si>
  <si>
    <t xml:space="preserve"> Conduit system installation </t>
  </si>
  <si>
    <t xml:space="preserve"> CTRL </t>
  </si>
  <si>
    <t xml:space="preserve"> Motor Controls </t>
  </si>
  <si>
    <t xml:space="preserve"> Wire simple motor control circuits </t>
  </si>
  <si>
    <t xml:space="preserve"> Start/stop motor control wiring </t>
  </si>
  <si>
    <t xml:space="preserve"> Rig and pull wire up to 4/0 MCM </t>
  </si>
  <si>
    <t xml:space="preserve"> Large conductor pulling </t>
  </si>
  <si>
    <t xml:space="preserve"> LOAD </t>
  </si>
  <si>
    <t xml:space="preserve"> Electrical Loads </t>
  </si>
  <si>
    <t xml:space="preserve"> Connect single-phase loads correctly </t>
  </si>
  <si>
    <t xml:space="preserve"> Single-phase load connections </t>
  </si>
  <si>
    <t xml:space="preserve"> Connect three-phase loads correctly </t>
  </si>
  <si>
    <t xml:space="preserve"> Three-phase load connections </t>
  </si>
  <si>
    <t>Electrical Theory (AC Systems)</t>
  </si>
  <si>
    <t xml:space="preserve"> Explain AC waveforms </t>
  </si>
  <si>
    <t xml:space="preserve"> AC waveform understanding </t>
  </si>
  <si>
    <t xml:space="preserve"> Explain inductance </t>
  </si>
  <si>
    <t xml:space="preserve"> Inductance fundamentals </t>
  </si>
  <si>
    <t xml:space="preserve"> Explain capacitance </t>
  </si>
  <si>
    <t xml:space="preserve"> Capacitance fundamentals </t>
  </si>
  <si>
    <t xml:space="preserve"> Explain power factor </t>
  </si>
  <si>
    <t xml:space="preserve"> Power factor fundamentals </t>
  </si>
  <si>
    <t xml:space="preserve"> Explain voltage drop </t>
  </si>
  <si>
    <t xml:space="preserve"> Voltage drop calculations </t>
  </si>
  <si>
    <t xml:space="preserve"> Explain kVA and kW </t>
  </si>
  <si>
    <t xml:space="preserve"> Apparent vs real power </t>
  </si>
  <si>
    <t xml:space="preserve"> PROT </t>
  </si>
  <si>
    <t xml:space="preserve"> Protection </t>
  </si>
  <si>
    <t xml:space="preserve"> Demonstrate basic overcurrent protection knowledge </t>
  </si>
  <si>
    <t xml:space="preserve"> Overcurrent device identification </t>
  </si>
  <si>
    <t xml:space="preserve"> XFRM </t>
  </si>
  <si>
    <t xml:space="preserve"> Transformers </t>
  </si>
  <si>
    <t xml:space="preserve"> Demonstrate familiarity with transformers </t>
  </si>
  <si>
    <t xml:space="preserve"> Transformer basics </t>
  </si>
  <si>
    <t xml:space="preserve"> DWG </t>
  </si>
  <si>
    <t xml:space="preserve"> Blueprints </t>
  </si>
  <si>
    <t xml:space="preserve"> Locate circuits on blueprints </t>
  </si>
  <si>
    <t xml:space="preserve"> Blueprint navigation </t>
  </si>
  <si>
    <t xml:space="preserve"> Locate system information on blueprints </t>
  </si>
  <si>
    <t xml:space="preserve"> System identification on drawings </t>
  </si>
  <si>
    <t xml:space="preserve"> Read blueprint elevations and details </t>
  </si>
  <si>
    <t xml:space="preserve"> Drawing interpretation </t>
  </si>
  <si>
    <t>Safety &amp; Compliance</t>
  </si>
  <si>
    <t xml:space="preserve"> Apprentice - 1B </t>
  </si>
  <si>
    <t xml:space="preserve"> Safety Compliance </t>
  </si>
  <si>
    <t xml:space="preserve"> Perform work without safety reminders </t>
  </si>
  <si>
    <t xml:space="preserve"> Independent safety compliance </t>
  </si>
  <si>
    <t xml:space="preserve"> Hazard Awareness </t>
  </si>
  <si>
    <t xml:space="preserve"> Identify basic jobsite hazards </t>
  </si>
  <si>
    <t xml:space="preserve"> Hazard recognition </t>
  </si>
  <si>
    <t xml:space="preserve"> PPE </t>
  </si>
  <si>
    <t xml:space="preserve"> Use PPE correctly without prompting </t>
  </si>
  <si>
    <t xml:space="preserve"> PPE discipline </t>
  </si>
  <si>
    <t>Work Quality &amp; Reliability</t>
  </si>
  <si>
    <t xml:space="preserve"> Produce consistent quality work </t>
  </si>
  <si>
    <t xml:space="preserve"> Quality consistency </t>
  </si>
  <si>
    <t xml:space="preserve"> Rework Reduction </t>
  </si>
  <si>
    <t xml:space="preserve"> Complete tasks correctly the first time </t>
  </si>
  <si>
    <t xml:space="preserve"> Error reduction </t>
  </si>
  <si>
    <t xml:space="preserve"> Attention to Detail </t>
  </si>
  <si>
    <t xml:space="preserve"> Follow installation standards </t>
  </si>
  <si>
    <t xml:space="preserve"> Detail orientation </t>
  </si>
  <si>
    <t>Productivity &amp; Work Habits</t>
  </si>
  <si>
    <t xml:space="preserve"> Maintain acceptable production pace </t>
  </si>
  <si>
    <t xml:space="preserve"> Work pace consistency </t>
  </si>
  <si>
    <t xml:space="preserve"> Task Completion </t>
  </si>
  <si>
    <t xml:space="preserve"> Complete assigned tasks on time </t>
  </si>
  <si>
    <t xml:space="preserve"> Task follow-through </t>
  </si>
  <si>
    <t xml:space="preserve"> Time Management </t>
  </si>
  <si>
    <t xml:space="preserve"> Use work time effectively </t>
  </si>
  <si>
    <t xml:space="preserve"> Time discipline </t>
  </si>
  <si>
    <t>Supervision &amp; Independence</t>
  </si>
  <si>
    <t xml:space="preserve"> INDEP </t>
  </si>
  <si>
    <t xml:space="preserve"> Independence </t>
  </si>
  <si>
    <t xml:space="preserve"> Perform routine tasks with limited supervision </t>
  </si>
  <si>
    <t xml:space="preserve"> Task independence </t>
  </si>
  <si>
    <t xml:space="preserve"> Initiative </t>
  </si>
  <si>
    <t xml:space="preserve"> Ask appropriate questions when unsure </t>
  </si>
  <si>
    <t xml:space="preserve"> Judgment to escalate </t>
  </si>
  <si>
    <t xml:space="preserve"> Accept responsibility for assigned work </t>
  </si>
  <si>
    <t xml:space="preserve"> Ownership mindset </t>
  </si>
  <si>
    <t>Tools &amp; Material Responsibility</t>
  </si>
  <si>
    <t xml:space="preserve"> Tool Care </t>
  </si>
  <si>
    <t xml:space="preserve"> Maintain and return tools properly </t>
  </si>
  <si>
    <t xml:space="preserve"> Tool accountability </t>
  </si>
  <si>
    <t xml:space="preserve"> Material Handling </t>
  </si>
  <si>
    <t xml:space="preserve"> Use materials efficiently </t>
  </si>
  <si>
    <t xml:space="preserve"> Material stewardship </t>
  </si>
  <si>
    <t>Communication &amp; Team Integration</t>
  </si>
  <si>
    <t xml:space="preserve"> Follow verbal and written instructions accurately </t>
  </si>
  <si>
    <t xml:space="preserve"> Instruction comprehension </t>
  </si>
  <si>
    <t xml:space="preserve"> Coordinate work with crew members </t>
  </si>
  <si>
    <t xml:space="preserve"> Crew coordination </t>
  </si>
  <si>
    <t xml:space="preserve"> Reporting </t>
  </si>
  <si>
    <t xml:space="preserve"> Communicate task completion and issues </t>
  </si>
  <si>
    <t xml:space="preserve"> Status communication </t>
  </si>
  <si>
    <t xml:space="preserve"> Apprentice - 2B</t>
  </si>
  <si>
    <t>Safety &amp; Risk Awareness</t>
  </si>
  <si>
    <t xml:space="preserve"> Apprentice - 2B </t>
  </si>
  <si>
    <t xml:space="preserve"> Perform work safely without supervision </t>
  </si>
  <si>
    <t xml:space="preserve"> Independent safety execution </t>
  </si>
  <si>
    <t xml:space="preserve"> Hazard Recognition </t>
  </si>
  <si>
    <t xml:space="preserve"> Identify hazards beyond immediate task </t>
  </si>
  <si>
    <t xml:space="preserve"> Situational hazard awareness </t>
  </si>
  <si>
    <t xml:space="preserve"> Jobsite Awareness </t>
  </si>
  <si>
    <t xml:space="preserve"> Anticipate unsafe conditions </t>
  </si>
  <si>
    <t xml:space="preserve"> Proactive safety judgment </t>
  </si>
  <si>
    <t xml:space="preserve"> Deliver consistent quality across varied tasks </t>
  </si>
  <si>
    <t xml:space="preserve"> Quality consistency under variety </t>
  </si>
  <si>
    <t xml:space="preserve"> Error Reduction </t>
  </si>
  <si>
    <t xml:space="preserve"> Minimize rework on assigned tasks </t>
  </si>
  <si>
    <t xml:space="preserve"> First-pass accuracy </t>
  </si>
  <si>
    <t xml:space="preserve"> Standards Compliance </t>
  </si>
  <si>
    <t xml:space="preserve"> Meet installation standards without reminders </t>
  </si>
  <si>
    <t xml:space="preserve"> Code and standard adherence </t>
  </si>
  <si>
    <t>Productivity &amp; Pace</t>
  </si>
  <si>
    <t xml:space="preserve"> Maintain production pace across changing tasks </t>
  </si>
  <si>
    <t xml:space="preserve"> Adaptive productivity </t>
  </si>
  <si>
    <t xml:space="preserve"> Task Execution </t>
  </si>
  <si>
    <t xml:space="preserve"> Complete assignments efficiently </t>
  </si>
  <si>
    <t xml:space="preserve"> Work Planning </t>
  </si>
  <si>
    <t xml:space="preserve"> Sequence own work effectively </t>
  </si>
  <si>
    <t xml:space="preserve"> Self-task sequencing </t>
  </si>
  <si>
    <t>Independence &amp; Judgment</t>
  </si>
  <si>
    <t xml:space="preserve"> Perform most tasks without direction </t>
  </si>
  <si>
    <t xml:space="preserve"> Operational independence </t>
  </si>
  <si>
    <t xml:space="preserve"> JUDG </t>
  </si>
  <si>
    <t xml:space="preserve"> Judgment </t>
  </si>
  <si>
    <t xml:space="preserve"> Recognize when to escalate issues </t>
  </si>
  <si>
    <t xml:space="preserve"> Escalation judgment </t>
  </si>
  <si>
    <t xml:space="preserve"> Problem Recognition </t>
  </si>
  <si>
    <t xml:space="preserve"> Identify problems before work stops </t>
  </si>
  <si>
    <t xml:space="preserve"> Early issue recognition </t>
  </si>
  <si>
    <t>Tools, Materials &amp; Work Area Ownership</t>
  </si>
  <si>
    <t xml:space="preserve"> Tool Management </t>
  </si>
  <si>
    <t xml:space="preserve"> Select appropriate tools independently </t>
  </si>
  <si>
    <t xml:space="preserve"> Tool selection judgment </t>
  </si>
  <si>
    <t xml:space="preserve"> Material Management </t>
  </si>
  <si>
    <t xml:space="preserve"> Stage materials for upcoming work </t>
  </si>
  <si>
    <t xml:space="preserve"> Material staging </t>
  </si>
  <si>
    <t xml:space="preserve"> AREA </t>
  </si>
  <si>
    <t xml:space="preserve"> Work Area Ownership </t>
  </si>
  <si>
    <t xml:space="preserve"> Maintain organized work area </t>
  </si>
  <si>
    <t xml:space="preserve"> Jobsite organization </t>
  </si>
  <si>
    <t>Communication &amp; Coordination</t>
  </si>
  <si>
    <t xml:space="preserve"> Communicate task status and issues clearly </t>
  </si>
  <si>
    <t xml:space="preserve"> Status reporting </t>
  </si>
  <si>
    <t xml:space="preserve"> Coordination </t>
  </si>
  <si>
    <t xml:space="preserve"> Coordinate work with journeymen </t>
  </si>
  <si>
    <t xml:space="preserve"> Work alignment </t>
  </si>
  <si>
    <t xml:space="preserve"> Instruction Interpretation </t>
  </si>
  <si>
    <t xml:space="preserve"> Interpret drawings and instructions accurately </t>
  </si>
  <si>
    <t xml:space="preserve"> Instruction interpretation </t>
  </si>
  <si>
    <t>Learning &amp; Readiness for Advancement</t>
  </si>
  <si>
    <t xml:space="preserve"> PRODEV </t>
  </si>
  <si>
    <t xml:space="preserve"> Professional Development </t>
  </si>
  <si>
    <t xml:space="preserve"> Apply feedback to improve performance </t>
  </si>
  <si>
    <t xml:space="preserve"> Coachability growth </t>
  </si>
  <si>
    <t xml:space="preserve"> READINESS </t>
  </si>
  <si>
    <t xml:space="preserve"> Advancement Readiness </t>
  </si>
  <si>
    <t xml:space="preserve"> Demonstrate readiness for advanced systems </t>
  </si>
  <si>
    <t xml:space="preserve"> Advancement readiness </t>
  </si>
  <si>
    <t xml:space="preserve"> Apprentice - 3A</t>
  </si>
  <si>
    <t>Conduit, Wire &amp; Equipment (Advanced)</t>
  </si>
  <si>
    <t xml:space="preserve"> Apprentice - 3A </t>
  </si>
  <si>
    <t xml:space="preserve"> Install conduit systems of all sizes </t>
  </si>
  <si>
    <t xml:space="preserve"> Large conduit installation </t>
  </si>
  <si>
    <t xml:space="preserve"> Rig and pull all types and sizes of wire </t>
  </si>
  <si>
    <t xml:space="preserve"> Advanced wire rigging </t>
  </si>
  <si>
    <t xml:space="preserve"> EQUIP </t>
  </si>
  <si>
    <t xml:space="preserve"> Equipment Installation </t>
  </si>
  <si>
    <t xml:space="preserve"> Install electrical equipment accurately </t>
  </si>
  <si>
    <t xml:space="preserve"> Equipment installation accuracy </t>
  </si>
  <si>
    <t xml:space="preserve"> NEC </t>
  </si>
  <si>
    <t xml:space="preserve"> Code Application </t>
  </si>
  <si>
    <t xml:space="preserve"> Select proper conductor sizes using NEC </t>
  </si>
  <si>
    <t xml:space="preserve"> Conductor sizing (NEC) </t>
  </si>
  <si>
    <t xml:space="preserve"> Calculate conduit fill per NEC </t>
  </si>
  <si>
    <t xml:space="preserve"> Conduit fill calculation </t>
  </si>
  <si>
    <t xml:space="preserve"> Calculate box and gutter fill </t>
  </si>
  <si>
    <t xml:space="preserve"> Box and gutter fill calculation </t>
  </si>
  <si>
    <t xml:space="preserve"> Calculate grounding conductor sizes </t>
  </si>
  <si>
    <t xml:space="preserve"> Grounding conductor sizing </t>
  </si>
  <si>
    <t xml:space="preserve"> Select overcurrent protection correctly </t>
  </si>
  <si>
    <t xml:space="preserve"> OCPD selection </t>
  </si>
  <si>
    <t xml:space="preserve"> Drawings </t>
  </si>
  <si>
    <t xml:space="preserve"> Read and interpret risers </t>
  </si>
  <si>
    <t xml:space="preserve"> Riser interpretation </t>
  </si>
  <si>
    <t xml:space="preserve"> Read and interpret schedules </t>
  </si>
  <si>
    <t xml:space="preserve"> Schedule interpretation </t>
  </si>
  <si>
    <t xml:space="preserve"> Read and interpret details </t>
  </si>
  <si>
    <t xml:space="preserve"> Detail interpretation </t>
  </si>
  <si>
    <t xml:space="preserve"> Read and interpret elevations </t>
  </si>
  <si>
    <t xml:space="preserve"> Elevation interpretation </t>
  </si>
  <si>
    <t xml:space="preserve"> Read and interpret plan views </t>
  </si>
  <si>
    <t xml:space="preserve"> Plan view interpretation </t>
  </si>
  <si>
    <t xml:space="preserve"> COORD </t>
  </si>
  <si>
    <t xml:space="preserve"> Cross-reference electrical, mechanical, and architectural drawings </t>
  </si>
  <si>
    <t xml:space="preserve"> Multi-discipline coordination </t>
  </si>
  <si>
    <t xml:space="preserve"> TEST </t>
  </si>
  <si>
    <t xml:space="preserve"> Electrical Testing </t>
  </si>
  <si>
    <t xml:space="preserve"> Use multimeters correctly </t>
  </si>
  <si>
    <t xml:space="preserve"> Multimeter proficiency </t>
  </si>
  <si>
    <t xml:space="preserve"> Use meggers correctly </t>
  </si>
  <si>
    <t xml:space="preserve"> Insulation resistance testing </t>
  </si>
  <si>
    <t xml:space="preserve"> Use electrical testers appropriately </t>
  </si>
  <si>
    <t xml:space="preserve"> Tester selection and use </t>
  </si>
  <si>
    <t xml:space="preserve"> Controls </t>
  </si>
  <si>
    <t xml:space="preserve"> Wire motor controls </t>
  </si>
  <si>
    <t xml:space="preserve"> Motor control wiring </t>
  </si>
  <si>
    <t xml:space="preserve"> Wire simple instrumentation </t>
  </si>
  <si>
    <t xml:space="preserve"> Basic instrumentation wiring </t>
  </si>
  <si>
    <t xml:space="preserve"> HV </t>
  </si>
  <si>
    <t xml:space="preserve"> Medium Voltage </t>
  </si>
  <si>
    <t xml:space="preserve"> Make 5kV–15kV terminations and splices </t>
  </si>
  <si>
    <t xml:space="preserve"> Medium-voltage terminations </t>
  </si>
  <si>
    <t xml:space="preserve"> Apply high-voltage safety practices </t>
  </si>
  <si>
    <t xml:space="preserve"> High-voltage safety compliance </t>
  </si>
  <si>
    <t xml:space="preserve"> STARTUP </t>
  </si>
  <si>
    <t xml:space="preserve"> Equipment Startup </t>
  </si>
  <si>
    <t xml:space="preserve"> Set, terminate, and start up 600V gear </t>
  </si>
  <si>
    <t xml:space="preserve"> 600V equipment startup </t>
  </si>
  <si>
    <t xml:space="preserve"> Set, terminate, and start up 5kV–15kV gear </t>
  </si>
  <si>
    <t xml:space="preserve"> Medium-voltage gear startup </t>
  </si>
  <si>
    <t xml:space="preserve"> Set, terminate, and start up transformers </t>
  </si>
  <si>
    <t xml:space="preserve"> Transformer startup </t>
  </si>
  <si>
    <t xml:space="preserve"> Set, terminate, and start up capacitors </t>
  </si>
  <si>
    <t xml:space="preserve"> Capacitor startup </t>
  </si>
  <si>
    <t xml:space="preserve"> Set, terminate, and start up motors </t>
  </si>
  <si>
    <t xml:space="preserve"> Motor startup </t>
  </si>
  <si>
    <t xml:space="preserve"> Apprentice - 3B</t>
  </si>
  <si>
    <t>Safety, Risk &amp; Energized Work</t>
  </si>
  <si>
    <t xml:space="preserve"> Apprentice - 3B </t>
  </si>
  <si>
    <t xml:space="preserve"> Electrical Safety </t>
  </si>
  <si>
    <t xml:space="preserve"> Perform work around energized systems safely </t>
  </si>
  <si>
    <t xml:space="preserve"> Energized work discipline </t>
  </si>
  <si>
    <t xml:space="preserve"> Hazard Analysis </t>
  </si>
  <si>
    <t xml:space="preserve"> Identify hazards before starting advanced work </t>
  </si>
  <si>
    <t xml:space="preserve"> Pre-task hazard analysis </t>
  </si>
  <si>
    <t xml:space="preserve"> Risk Control </t>
  </si>
  <si>
    <t xml:space="preserve"> Apply lockout/tagout and safety procedures correctly </t>
  </si>
  <si>
    <t xml:space="preserve"> Risk control execution </t>
  </si>
  <si>
    <t>Quality &amp; Code Compliance</t>
  </si>
  <si>
    <t xml:space="preserve"> Deliver code-compliant work consistently </t>
  </si>
  <si>
    <t xml:space="preserve"> Code-compliant workmanship </t>
  </si>
  <si>
    <t xml:space="preserve"> Inspection Readiness </t>
  </si>
  <si>
    <t xml:space="preserve"> Prepare work to pass inspection without rework </t>
  </si>
  <si>
    <t xml:space="preserve"> Inspection readiness </t>
  </si>
  <si>
    <t xml:space="preserve"> Accuracy </t>
  </si>
  <si>
    <t xml:space="preserve"> Minimize errors on complex installations </t>
  </si>
  <si>
    <t xml:space="preserve"> Complex-task accuracy </t>
  </si>
  <si>
    <t>Judgment &amp; Decision-Making</t>
  </si>
  <si>
    <t xml:space="preserve"> Recognize when work conditions are unsafe </t>
  </si>
  <si>
    <t xml:space="preserve"> Safety judgment </t>
  </si>
  <si>
    <t xml:space="preserve"> Decision Making </t>
  </si>
  <si>
    <t xml:space="preserve"> Pause work and escalate issues appropriately </t>
  </si>
  <si>
    <t xml:space="preserve"> Stop-work authority </t>
  </si>
  <si>
    <t xml:space="preserve"> Problem Evaluation </t>
  </si>
  <si>
    <t xml:space="preserve"> Assess technical issues before proceeding </t>
  </si>
  <si>
    <t xml:space="preserve"> Risk-based evaluation </t>
  </si>
  <si>
    <t>Independence &amp; Reliability</t>
  </si>
  <si>
    <t xml:space="preserve"> Perform advanced tasks with minimal supervision </t>
  </si>
  <si>
    <t xml:space="preserve"> Advanced task independence </t>
  </si>
  <si>
    <t xml:space="preserve"> REL </t>
  </si>
  <si>
    <t xml:space="preserve"> Reliability </t>
  </si>
  <si>
    <t xml:space="preserve"> Be trusted to complete assigned work correctly </t>
  </si>
  <si>
    <t xml:space="preserve"> Work reliability </t>
  </si>
  <si>
    <t xml:space="preserve"> OWN </t>
  </si>
  <si>
    <t xml:space="preserve"> Ownership </t>
  </si>
  <si>
    <t xml:space="preserve"> Take responsibility for assigned systems or areas </t>
  </si>
  <si>
    <t xml:space="preserve"> Work ownership </t>
  </si>
  <si>
    <t>Testing, Startup &amp; Verification</t>
  </si>
  <si>
    <t xml:space="preserve"> Verification </t>
  </si>
  <si>
    <t xml:space="preserve"> Verify installations prior to energization </t>
  </si>
  <si>
    <t xml:space="preserve"> Pre-energization verification </t>
  </si>
  <si>
    <t xml:space="preserve"> Troubleshooting </t>
  </si>
  <si>
    <t xml:space="preserve"> Identify causes of test failures </t>
  </si>
  <si>
    <t xml:space="preserve"> Diagnostic reasoning </t>
  </si>
  <si>
    <t xml:space="preserve"> Startup Support </t>
  </si>
  <si>
    <t xml:space="preserve"> Support equipment startup safely and effectively </t>
  </si>
  <si>
    <t xml:space="preserve"> Startup discipline </t>
  </si>
  <si>
    <t xml:space="preserve"> Communicate technical issues clearly </t>
  </si>
  <si>
    <t xml:space="preserve"> Technical issue communication </t>
  </si>
  <si>
    <t xml:space="preserve"> Report test results and deficiencies accurately </t>
  </si>
  <si>
    <t xml:space="preserve"> Technical reporting </t>
  </si>
  <si>
    <t xml:space="preserve"> Coordinate work with journeymen and foremen </t>
  </si>
  <si>
    <t xml:space="preserve"> Advanced crew coordination </t>
  </si>
  <si>
    <t>Professional Maturity</t>
  </si>
  <si>
    <t xml:space="preserve"> PROF </t>
  </si>
  <si>
    <t xml:space="preserve"> Professionalism </t>
  </si>
  <si>
    <t xml:space="preserve"> Demonstrate maturity appropriate for journeyman track </t>
  </si>
  <si>
    <t xml:space="preserve"> Professional maturity </t>
  </si>
  <si>
    <t xml:space="preserve"> Demonstrate readiness for journeyman-level scope </t>
  </si>
  <si>
    <t xml:space="preserve"> Journeyman readiness </t>
  </si>
  <si>
    <t xml:space="preserve"> Apprentice - 4A</t>
  </si>
  <si>
    <t xml:space="preserve"> Apprentice - 4A </t>
  </si>
  <si>
    <t xml:space="preserve"> Advanced Controls </t>
  </si>
  <si>
    <t xml:space="preserve"> Perform advanced motor control hookups </t>
  </si>
  <si>
    <t xml:space="preserve"> Advanced motor control wiring </t>
  </si>
  <si>
    <t xml:space="preserve"> Instrumentation </t>
  </si>
  <si>
    <t xml:space="preserve"> Perform advanced instrumentation hookups </t>
  </si>
  <si>
    <t xml:space="preserve"> POWER </t>
  </si>
  <si>
    <t xml:space="preserve"> Power Quality </t>
  </si>
  <si>
    <t xml:space="preserve"> Power quality mitigation </t>
  </si>
  <si>
    <t>Advanced Controls &amp; Systems</t>
  </si>
  <si>
    <t xml:space="preserve"> Instrumentation installation </t>
  </si>
  <si>
    <t>Power Conditioning &amp; Critical Systems</t>
  </si>
  <si>
    <t xml:space="preserve"> Power Conditioning </t>
  </si>
  <si>
    <t xml:space="preserve"> Install and support UPS systems </t>
  </si>
  <si>
    <t xml:space="preserve"> UPS system installation </t>
  </si>
  <si>
    <t xml:space="preserve"> Install power-conditioning equipment </t>
  </si>
  <si>
    <t xml:space="preserve"> Power conditioning equipment knowledge </t>
  </si>
  <si>
    <t xml:space="preserve"> PWRQUAL </t>
  </si>
  <si>
    <t xml:space="preserve"> Understand harmonics and power factor issues </t>
  </si>
  <si>
    <t xml:space="preserve"> Harmonics and PF analysis </t>
  </si>
  <si>
    <t xml:space="preserve"> Identify power quality problems </t>
  </si>
  <si>
    <t xml:space="preserve"> Power quality troubleshooting </t>
  </si>
  <si>
    <t xml:space="preserve"> Apply mitigation strategies for power quality </t>
  </si>
  <si>
    <t xml:space="preserve"> Understand basic lightning protection systems </t>
  </si>
  <si>
    <t xml:space="preserve"> Lightning protection fundamentals </t>
  </si>
  <si>
    <t>Equipment &amp; Load Understanding</t>
  </si>
  <si>
    <t xml:space="preserve"> Equipment Knowledge </t>
  </si>
  <si>
    <t xml:space="preserve"> Demonstrate deep understanding of transformers </t>
  </si>
  <si>
    <t xml:space="preserve"> Transformer system comprehension </t>
  </si>
  <si>
    <t xml:space="preserve"> Demonstrate deep understanding of motors </t>
  </si>
  <si>
    <t xml:space="preserve"> Motor system comprehension </t>
  </si>
  <si>
    <t xml:space="preserve"> Demonstrate deep understanding of VFDs </t>
  </si>
  <si>
    <t xml:space="preserve"> VFD operation and integration </t>
  </si>
  <si>
    <t xml:space="preserve"> Analyze typical electrical loads </t>
  </si>
  <si>
    <t xml:space="preserve"> Load analysis </t>
  </si>
  <si>
    <t>Lighting Systems &amp; Design Awareness</t>
  </si>
  <si>
    <t xml:space="preserve"> LIGHT </t>
  </si>
  <si>
    <t xml:space="preserve"> Lighting Systems </t>
  </si>
  <si>
    <t xml:space="preserve"> Compare lighting efficiency and performance </t>
  </si>
  <si>
    <t xml:space="preserve"> Lighting efficiency evaluation </t>
  </si>
  <si>
    <t xml:space="preserve"> Evaluate color rendition impacts </t>
  </si>
  <si>
    <t xml:space="preserve"> Lighting quality assessment </t>
  </si>
  <si>
    <t xml:space="preserve"> Evaluate heat dissipation impacts </t>
  </si>
  <si>
    <t xml:space="preserve"> Thermal impact assessment </t>
  </si>
  <si>
    <t xml:space="preserve"> Assist with lighting layout and basic design </t>
  </si>
  <si>
    <t xml:space="preserve"> Lighting layout fundamentals </t>
  </si>
  <si>
    <t xml:space="preserve"> EST </t>
  </si>
  <si>
    <t xml:space="preserve"> Estimating </t>
  </si>
  <si>
    <t xml:space="preserve"> Understand basic estimating procedures </t>
  </si>
  <si>
    <t xml:space="preserve"> Estimating fundamentals </t>
  </si>
  <si>
    <t xml:space="preserve"> Distinguish service, feeder, and branch circuits </t>
  </si>
  <si>
    <t xml:space="preserve"> Circuit classification </t>
  </si>
  <si>
    <t xml:space="preserve"> CALC </t>
  </si>
  <si>
    <t xml:space="preserve"> Electrical Calculations </t>
  </si>
  <si>
    <t xml:space="preserve"> Apply demand factors </t>
  </si>
  <si>
    <t xml:space="preserve"> Demand factor application </t>
  </si>
  <si>
    <t xml:space="preserve"> Apply de-rating calculations </t>
  </si>
  <si>
    <t xml:space="preserve"> Conductor de-rating </t>
  </si>
  <si>
    <t xml:space="preserve"> Load Analysis </t>
  </si>
  <si>
    <t xml:space="preserve"> Evaluate panelboard, conductor, and transformer loading </t>
  </si>
  <si>
    <t xml:space="preserve"> Load capacity analysis </t>
  </si>
  <si>
    <t>Specialized Electrical Knowledge</t>
  </si>
  <si>
    <t xml:space="preserve"> SPEC </t>
  </si>
  <si>
    <t xml:space="preserve"> Specialized Systems </t>
  </si>
  <si>
    <t xml:space="preserve"> Identify overhead line components </t>
  </si>
  <si>
    <t xml:space="preserve"> Overhead system familiarity </t>
  </si>
  <si>
    <t xml:space="preserve"> Identify intrinsically safe circuits </t>
  </si>
  <si>
    <t xml:space="preserve"> Intrinsic safety awareness </t>
  </si>
  <si>
    <t xml:space="preserve"> Work safely in hazardous locations </t>
  </si>
  <si>
    <t xml:space="preserve"> Hazardous location awareness </t>
  </si>
  <si>
    <t xml:space="preserve"> Select appropriate wiring methods for special conditions </t>
  </si>
  <si>
    <t xml:space="preserve"> Specialized wiring methods </t>
  </si>
  <si>
    <t xml:space="preserve"> Apprentice - 4B</t>
  </si>
  <si>
    <t>Safety, Risk &amp; Authority</t>
  </si>
  <si>
    <t xml:space="preserve"> Apprentice - 4B </t>
  </si>
  <si>
    <t xml:space="preserve"> Perform all work safely without supervision </t>
  </si>
  <si>
    <t xml:space="preserve"> Independent safety authority </t>
  </si>
  <si>
    <t xml:space="preserve"> Risk Assessment </t>
  </si>
  <si>
    <t xml:space="preserve"> Identify and mitigate risks proactively </t>
  </si>
  <si>
    <t xml:space="preserve"> Advanced risk assessment </t>
  </si>
  <si>
    <t xml:space="preserve"> Stop-Work Authority </t>
  </si>
  <si>
    <t xml:space="preserve"> Exercise stop-work authority appropriately </t>
  </si>
  <si>
    <t xml:space="preserve"> Safety leadership judgment </t>
  </si>
  <si>
    <t>Code, Quality &amp; Inspection Readiness</t>
  </si>
  <si>
    <t xml:space="preserve"> Deliver journeyman-level workmanship </t>
  </si>
  <si>
    <t xml:space="preserve"> Journeyman workmanship </t>
  </si>
  <si>
    <t xml:space="preserve"> Code Compliance </t>
  </si>
  <si>
    <t xml:space="preserve"> Apply NEC correctly without assistance </t>
  </si>
  <si>
    <t xml:space="preserve"> Independent NEC application </t>
  </si>
  <si>
    <t xml:space="preserve"> Inspection </t>
  </si>
  <si>
    <t xml:space="preserve"> Prepare work to pass inspection consistently </t>
  </si>
  <si>
    <t xml:space="preserve"> Inspection-ready execution </t>
  </si>
  <si>
    <t>Independence &amp; Ownership</t>
  </si>
  <si>
    <t xml:space="preserve"> Execute assigned work independently </t>
  </si>
  <si>
    <t xml:space="preserve"> Full task independence </t>
  </si>
  <si>
    <t xml:space="preserve"> Take ownership of assigned systems or areas </t>
  </si>
  <si>
    <t xml:space="preserve"> System ownership </t>
  </si>
  <si>
    <t xml:space="preserve"> Accept responsibility for outcomes </t>
  </si>
  <si>
    <t xml:space="preserve"> Accountability mindset </t>
  </si>
  <si>
    <t xml:space="preserve"> Make sound technical decisions independently </t>
  </si>
  <si>
    <t xml:space="preserve"> Technical decision-making </t>
  </si>
  <si>
    <t xml:space="preserve"> Problem Solving </t>
  </si>
  <si>
    <t xml:space="preserve"> Diagnose and resolve issues without escalation </t>
  </si>
  <si>
    <t xml:space="preserve"> Independent problem-solving </t>
  </si>
  <si>
    <t xml:space="preserve"> Risk Judgment </t>
  </si>
  <si>
    <t xml:space="preserve"> Recognize when escalation is required </t>
  </si>
  <si>
    <t>Productivity &amp; Reliability</t>
  </si>
  <si>
    <t xml:space="preserve"> Maintain journeyman-level production rates </t>
  </si>
  <si>
    <t xml:space="preserve"> Journeyman productivity </t>
  </si>
  <si>
    <t xml:space="preserve"> Deliver consistent results across projects </t>
  </si>
  <si>
    <t xml:space="preserve"> Consistent reliability </t>
  </si>
  <si>
    <t xml:space="preserve"> Manage time effectively across tasks </t>
  </si>
  <si>
    <t xml:space="preserve"> Time ownership </t>
  </si>
  <si>
    <t>Coordination &amp; Communication</t>
  </si>
  <si>
    <t xml:space="preserve"> Communicate effectively with foremen and PMs </t>
  </si>
  <si>
    <t xml:space="preserve"> Professional communication </t>
  </si>
  <si>
    <t xml:space="preserve"> Coordinate work with other trades </t>
  </si>
  <si>
    <t xml:space="preserve"> Trade coordination </t>
  </si>
  <si>
    <t xml:space="preserve"> Communicate issues, progress, and risks clearly </t>
  </si>
  <si>
    <t xml:space="preserve"> Situational reporting </t>
  </si>
  <si>
    <t>Professional Readiness</t>
  </si>
  <si>
    <t xml:space="preserve"> Demonstrate professionalism expected of journeymen </t>
  </si>
  <si>
    <t xml:space="preserve"> Journeyman professionalism </t>
  </si>
  <si>
    <t xml:space="preserve"> Demonstrate readiness for journeyman role </t>
  </si>
  <si>
    <t xml:space="preserve"> Apprentice - 5A</t>
  </si>
  <si>
    <t>Advanced System Execution</t>
  </si>
  <si>
    <t xml:space="preserve"> Apprentice - 5A </t>
  </si>
  <si>
    <t xml:space="preserve"> EXEC </t>
  </si>
  <si>
    <t xml:space="preserve"> System Execution </t>
  </si>
  <si>
    <t xml:space="preserve"> Execute complete electrical systems independently </t>
  </si>
  <si>
    <t xml:space="preserve"> End-to-end system execution </t>
  </si>
  <si>
    <t xml:space="preserve"> Coordinate installation sequencing </t>
  </si>
  <si>
    <t xml:space="preserve"> System sequencing </t>
  </si>
  <si>
    <t>Advanced Troubleshooting</t>
  </si>
  <si>
    <t xml:space="preserve"> TROUBLE </t>
  </si>
  <si>
    <t xml:space="preserve"> Diagnose complex electrical issues </t>
  </si>
  <si>
    <t xml:space="preserve"> Advanced diagnostic reasoning </t>
  </si>
  <si>
    <t xml:space="preserve"> Resolve issues across multiple systems </t>
  </si>
  <si>
    <t xml:space="preserve"> Cross-system troubleshooting </t>
  </si>
  <si>
    <t xml:space="preserve"> Verify system performance after corrections </t>
  </si>
  <si>
    <t xml:space="preserve"> Post-repair verification </t>
  </si>
  <si>
    <t>Code Mastery &amp; Application</t>
  </si>
  <si>
    <t xml:space="preserve"> Apply NEC across full installations </t>
  </si>
  <si>
    <t xml:space="preserve"> Integrated NEC application </t>
  </si>
  <si>
    <t xml:space="preserve"> Identify and correct code deficiencies </t>
  </si>
  <si>
    <t xml:space="preserve"> Code compliance correction </t>
  </si>
  <si>
    <t xml:space="preserve"> Support inspections and AHJ interactions </t>
  </si>
  <si>
    <t xml:space="preserve"> Inspection support competency </t>
  </si>
  <si>
    <t>Quality, Productivity &amp; Efficiency</t>
  </si>
  <si>
    <t xml:space="preserve"> Deliver consistent journeyman-quality work </t>
  </si>
  <si>
    <t xml:space="preserve"> Journeyman-quality execution </t>
  </si>
  <si>
    <t xml:space="preserve"> Maintain journeyman-level productivity </t>
  </si>
  <si>
    <t xml:space="preserve"> Sustained productivity </t>
  </si>
  <si>
    <t xml:space="preserve"> Balance speed with quality </t>
  </si>
  <si>
    <t xml:space="preserve"> Quality-speed balance </t>
  </si>
  <si>
    <t>Job Awareness &amp; Coordination</t>
  </si>
  <si>
    <t xml:space="preserve"> AWARE </t>
  </si>
  <si>
    <t xml:space="preserve"> Job Awareness </t>
  </si>
  <si>
    <t xml:space="preserve"> Understand project scope and constraints </t>
  </si>
  <si>
    <t xml:space="preserve"> Scope awareness </t>
  </si>
  <si>
    <t xml:space="preserve"> Coordinate work with foremen and trades </t>
  </si>
  <si>
    <t xml:space="preserve"> Advanced trade coordination </t>
  </si>
  <si>
    <t xml:space="preserve"> Communicate technical issues proactively </t>
  </si>
  <si>
    <t xml:space="preserve"> Proactive technical communication </t>
  </si>
  <si>
    <t>Leadership Readiness (Pre-Journeyman)</t>
  </si>
  <si>
    <t xml:space="preserve"> LEAD </t>
  </si>
  <si>
    <t xml:space="preserve"> Leadership Readiness </t>
  </si>
  <si>
    <t xml:space="preserve"> Assist in guiding lower-level apprentices </t>
  </si>
  <si>
    <t xml:space="preserve"> Informal mentorship </t>
  </si>
  <si>
    <t xml:space="preserve"> Set example for safety and quality </t>
  </si>
  <si>
    <t xml:space="preserve"> Lead-by-example behavior </t>
  </si>
  <si>
    <t xml:space="preserve"> Demonstrate journeyman-level professionalism </t>
  </si>
  <si>
    <t xml:space="preserve"> Professional reliability </t>
  </si>
  <si>
    <t xml:space="preserve"> Demonstrate readiness for final evaluation </t>
  </si>
  <si>
    <t xml:space="preserve"> Final readiness preparation </t>
  </si>
  <si>
    <t xml:space="preserve"> Apprentice - 5B</t>
  </si>
  <si>
    <t>Safety Leadership &amp; Risk Authority</t>
  </si>
  <si>
    <t xml:space="preserve"> Apprentice - 5B </t>
  </si>
  <si>
    <t xml:space="preserve"> Safety Leadership </t>
  </si>
  <si>
    <t xml:space="preserve"> Model safe work practices for others </t>
  </si>
  <si>
    <t xml:space="preserve"> Safety leadership behavior </t>
  </si>
  <si>
    <t xml:space="preserve"> Identify and mitigate jobsite risks independently </t>
  </si>
  <si>
    <t xml:space="preserve"> Independent risk mitigation </t>
  </si>
  <si>
    <t xml:space="preserve"> Safety authority judgment </t>
  </si>
  <si>
    <t>Code Mastery &amp; Inspection Confidence</t>
  </si>
  <si>
    <t xml:space="preserve"> Code Mastery </t>
  </si>
  <si>
    <t xml:space="preserve"> Apply NEC accurately without guidance </t>
  </si>
  <si>
    <t xml:space="preserve"> Independent NEC mastery </t>
  </si>
  <si>
    <t xml:space="preserve"> Deliver work that consistently passes inspection </t>
  </si>
  <si>
    <t xml:space="preserve"> Inspection confidence </t>
  </si>
  <si>
    <t xml:space="preserve"> Quality Assurance </t>
  </si>
  <si>
    <t xml:space="preserve"> Self-identify and correct deficiencies </t>
  </si>
  <si>
    <t xml:space="preserve"> Self-quality control </t>
  </si>
  <si>
    <t>Independence, Ownership &amp; Accountability</t>
  </si>
  <si>
    <t xml:space="preserve"> Perform full scope of work without supervision </t>
  </si>
  <si>
    <t xml:space="preserve"> Full independence </t>
  </si>
  <si>
    <t xml:space="preserve"> Take full ownership of assigned systems </t>
  </si>
  <si>
    <t xml:space="preserve"> System ownership accountability </t>
  </si>
  <si>
    <t xml:space="preserve"> ACCOUNT </t>
  </si>
  <si>
    <t xml:space="preserve"> Outcome accountability </t>
  </si>
  <si>
    <t>Judgment &amp; Problem Resolution</t>
  </si>
  <si>
    <t xml:space="preserve"> Technical Judgment </t>
  </si>
  <si>
    <t xml:space="preserve"> Make correct technical decisions independently </t>
  </si>
  <si>
    <t xml:space="preserve"> Independent technical judgment </t>
  </si>
  <si>
    <t xml:space="preserve"> Resolve issues without escalation </t>
  </si>
  <si>
    <t xml:space="preserve"> Autonomous problem resolution </t>
  </si>
  <si>
    <t xml:space="preserve"> Escalation Control </t>
  </si>
  <si>
    <t xml:space="preserve"> Escalate issues appropriately when required </t>
  </si>
  <si>
    <t xml:space="preserve"> Proper escalation judgment </t>
  </si>
  <si>
    <t xml:space="preserve"> Sustain journeyman-level production </t>
  </si>
  <si>
    <t xml:space="preserve"> Sustained journeyman productivity </t>
  </si>
  <si>
    <t xml:space="preserve"> Proven reliability </t>
  </si>
  <si>
    <t xml:space="preserve"> TIME </t>
  </si>
  <si>
    <t xml:space="preserve"> Manage time and priorities independently </t>
  </si>
  <si>
    <t xml:space="preserve"> Independent time management </t>
  </si>
  <si>
    <t>Coordination &amp; Professional Communication</t>
  </si>
  <si>
    <t xml:space="preserve"> Communicate professionally with foremen and PMs </t>
  </si>
  <si>
    <t xml:space="preserve"> Professional field communication </t>
  </si>
  <si>
    <t xml:space="preserve"> Coordinate effectively with other trades </t>
  </si>
  <si>
    <t xml:space="preserve"> Trade coordination competence </t>
  </si>
  <si>
    <t xml:space="preserve"> Communicate risks, progress, and constraints clearly </t>
  </si>
  <si>
    <t>Professional Readiness &amp; Licensing</t>
  </si>
  <si>
    <t xml:space="preserve"> Licensing Readiness </t>
  </si>
  <si>
    <t xml:space="preserve"> Demonstrate readiness for journeyman licensing </t>
  </si>
  <si>
    <t xml:space="preserve"> Licensing readiness </t>
  </si>
  <si>
    <t>RACE</t>
  </si>
  <si>
    <t>SYS</t>
  </si>
  <si>
    <t>TRBL</t>
  </si>
  <si>
    <t>Troubleshoot basic power systems</t>
  </si>
  <si>
    <t>Troubleshoot basic control systems</t>
  </si>
  <si>
    <t>QUAL</t>
  </si>
  <si>
    <t>LEAN</t>
  </si>
  <si>
    <t>Safety rule compliance</t>
  </si>
  <si>
    <t>Work Quality</t>
  </si>
  <si>
    <t>Workmanship quality</t>
  </si>
  <si>
    <t>Task efficiency</t>
  </si>
  <si>
    <t>Lean Principles</t>
  </si>
  <si>
    <t>Waste identification and reduction</t>
  </si>
  <si>
    <t>TEAM</t>
  </si>
  <si>
    <t>Teamwork</t>
  </si>
  <si>
    <t>Mentorship</t>
  </si>
  <si>
    <t>Mentor and train apprentices and junior journeymen</t>
  </si>
  <si>
    <t>Coaching and instruction</t>
  </si>
  <si>
    <t>Code &amp; Electrical Knowledge</t>
  </si>
  <si>
    <t>Code Knowledge</t>
  </si>
  <si>
    <t>Use the NEC to resolve code issues</t>
  </si>
  <si>
    <t>NEC navigation and interpretation</t>
  </si>
  <si>
    <t>Apply NEC requirements in field installations</t>
  </si>
  <si>
    <t>Code application to installations</t>
  </si>
  <si>
    <t>Explain code requirements to others</t>
  </si>
  <si>
    <t>Technical communication</t>
  </si>
  <si>
    <t>Raceway Systems &amp; Installation</t>
  </si>
  <si>
    <t>Raceway Systems</t>
  </si>
  <si>
    <t>Layout raceway systems</t>
  </si>
  <si>
    <t>Raceway layout planning</t>
  </si>
  <si>
    <t>Install raceway systems per drawings and code</t>
  </si>
  <si>
    <t>Raceway installation</t>
  </si>
  <si>
    <t>Support and secure raceways correctly</t>
  </si>
  <si>
    <t>Raceway support practices</t>
  </si>
  <si>
    <t>Systems Knowledge &amp; Troubleshooting</t>
  </si>
  <si>
    <t>System Understanding</t>
  </si>
  <si>
    <t>Understand electrical systems being installed</t>
  </si>
  <si>
    <t>System identification</t>
  </si>
  <si>
    <t>Basic electrical troubleshooting</t>
  </si>
  <si>
    <t>Control circuit troubleshooting</t>
  </si>
  <si>
    <t>Control Systems</t>
  </si>
  <si>
    <t>Install basic control systems</t>
  </si>
  <si>
    <t>Basic control wiring</t>
  </si>
  <si>
    <t>Planning &amp; Work Execution</t>
  </si>
  <si>
    <t>Work Planning</t>
  </si>
  <si>
    <t>Read and interpret layout drawings</t>
  </si>
  <si>
    <t>Print interpretation</t>
  </si>
  <si>
    <t>Develop material lists for assigned work</t>
  </si>
  <si>
    <t>Material takeoff</t>
  </si>
  <si>
    <t>Plan and complete assigned tasks</t>
  </si>
  <si>
    <t>Task sequencing and execution</t>
  </si>
  <si>
    <t>Training, Reviews &amp; Development</t>
  </si>
  <si>
    <t>Maintain positive performance reviews</t>
  </si>
  <si>
    <t>Consistent performance delivery</t>
  </si>
  <si>
    <t>Professional Development</t>
  </si>
  <si>
    <t>Attend outside trade-related classes</t>
  </si>
  <si>
    <t>Continuing education participation</t>
  </si>
  <si>
    <t>Career Development</t>
  </si>
  <si>
    <t>Prepare for advancement to Journeyman-2</t>
  </si>
  <si>
    <t>Skill progression readiness</t>
  </si>
  <si>
    <t>Safety leadership by example</t>
  </si>
  <si>
    <t>Produce consistently high-quality work</t>
  </si>
  <si>
    <t>Advanced workmanship quality</t>
  </si>
  <si>
    <t>Consistently meet or exceed production demands</t>
  </si>
  <si>
    <t>Production reliability</t>
  </si>
  <si>
    <t>Apply Lean construction principles proactively</t>
  </si>
  <si>
    <t>Waste prevention and flow improvement</t>
  </si>
  <si>
    <t>Work effectively within multi-trade environments</t>
  </si>
  <si>
    <t>Cross-trade collaboration</t>
  </si>
  <si>
    <t>Train and mentor apprentices and junior journeymen</t>
  </si>
  <si>
    <t>Skill transfer and coaching</t>
  </si>
  <si>
    <t>Advanced Raceway Systems</t>
  </si>
  <si>
    <t>Apply advanced raceway system knowledge</t>
  </si>
  <si>
    <t>Complex raceway layout planning</t>
  </si>
  <si>
    <t>Install all types of raceway systems</t>
  </si>
  <si>
    <t>Advanced installation techniques</t>
  </si>
  <si>
    <t>Coordinate raceway routing with other trades</t>
  </si>
  <si>
    <t>Raceway coordination awareness</t>
  </si>
  <si>
    <t>Wire Pulling &amp; Installation</t>
  </si>
  <si>
    <t>WIRE</t>
  </si>
  <si>
    <t>Wire Handling</t>
  </si>
  <si>
    <t>Large conductor handling</t>
  </si>
  <si>
    <t>Plan wire pulls including manpower and equipment</t>
  </si>
  <si>
    <t>Pull planning and logistics</t>
  </si>
  <si>
    <t>Protect conductors during installation</t>
  </si>
  <si>
    <t>Damage prevention practices</t>
  </si>
  <si>
    <t>Control Systems &amp; New Technologies</t>
  </si>
  <si>
    <t>Work on multiple control systems</t>
  </si>
  <si>
    <t>Multi-system control wiring</t>
  </si>
  <si>
    <t>Install and troubleshoot advanced control systems</t>
  </si>
  <si>
    <t>Advanced control diagnostics</t>
  </si>
  <si>
    <t>Work on new systems (lighting control, fire alarm, etc.)</t>
  </si>
  <si>
    <t>New system adaptability</t>
  </si>
  <si>
    <t>Ladder Logic &amp; Advanced Troubleshooting</t>
  </si>
  <si>
    <t>LOGIC</t>
  </si>
  <si>
    <t>Ladder Logic</t>
  </si>
  <si>
    <t>Read and understand ladder logic diagrams</t>
  </si>
  <si>
    <t>Ladder diagram interpretation</t>
  </si>
  <si>
    <t>Apply ladder logic during troubleshooting</t>
  </si>
  <si>
    <t>Logical fault isolation</t>
  </si>
  <si>
    <t>Perform advanced electrical troubleshooting</t>
  </si>
  <si>
    <t>Planning, Layout &amp; Execution</t>
  </si>
  <si>
    <t>Take layout drawings and plan complex tasks</t>
  </si>
  <si>
    <t>Advanced work planning</t>
  </si>
  <si>
    <t>Develop complete material lists for tasks</t>
  </si>
  <si>
    <t>Detailed material takeoff</t>
  </si>
  <si>
    <t>Execute work with minimal supervision</t>
  </si>
  <si>
    <t>Task ownership</t>
  </si>
  <si>
    <t>Performance, Reviews &amp; Development</t>
  </si>
  <si>
    <t>Maintain positive performance reviews at level 2</t>
  </si>
  <si>
    <t>Sustained high performance</t>
  </si>
  <si>
    <t>Advanced continuing education</t>
  </si>
  <si>
    <t>Prepare for Leadman responsibilities</t>
  </si>
  <si>
    <t>Leadership readiness</t>
  </si>
  <si>
    <t>Demonstrate advanced safety awareness</t>
  </si>
  <si>
    <t>Safety leadership and hazard anticipation</t>
  </si>
  <si>
    <t>Consistently deliver superior workmanship</t>
  </si>
  <si>
    <t>Zero-defect workmanship</t>
  </si>
  <si>
    <t>Meet production demands on complex work</t>
  </si>
  <si>
    <t>Advanced task efficiency</t>
  </si>
  <si>
    <t>Apply Lean principles independently</t>
  </si>
  <si>
    <t>Process optimization</t>
  </si>
  <si>
    <t>Function as a technical leader within crews</t>
  </si>
  <si>
    <t>Peer leadership</t>
  </si>
  <si>
    <t>Actively mentor apprentices and journeymen</t>
  </si>
  <si>
    <t>Advanced coaching capability</t>
  </si>
  <si>
    <t>Advanced Raceway &amp; Installation Expertise</t>
  </si>
  <si>
    <t>Demonstrate mastery of all raceway systems</t>
  </si>
  <si>
    <t>Complex multi-system raceway design</t>
  </si>
  <si>
    <t>Install raceway systems in congested environments</t>
  </si>
  <si>
    <t>Advanced routing and coordination</t>
  </si>
  <si>
    <t>Resolve constructability conflicts in the field</t>
  </si>
  <si>
    <t>Field problem resolution</t>
  </si>
  <si>
    <t>Large Wire Pulls &amp; Rigging</t>
  </si>
  <si>
    <t>Plan and execute large-scale wire pulls</t>
  </si>
  <si>
    <t>Advanced pull planning</t>
  </si>
  <si>
    <t>Coordinate manpower and equipment for pulls</t>
  </si>
  <si>
    <t>Rigging coordination</t>
  </si>
  <si>
    <t>Ensure conductor protection during complex pulls</t>
  </si>
  <si>
    <t>Advanced damage prevention</t>
  </si>
  <si>
    <t>Control Systems &amp; Specialized Systems</t>
  </si>
  <si>
    <t>Work across multiple complex control systems</t>
  </si>
  <si>
    <t>Multi-system integration</t>
  </si>
  <si>
    <t>Take ownership of new systems (lighting control, FA, etc.)</t>
  </si>
  <si>
    <t>System commissioning readiness</t>
  </si>
  <si>
    <t>Coordinate control systems with other trades</t>
  </si>
  <si>
    <t>System interface management</t>
  </si>
  <si>
    <t>Ladder Logic &amp; Advanced Diagnostics</t>
  </si>
  <si>
    <t>Read and interpret ladder logic and diagrams</t>
  </si>
  <si>
    <t>Ladder logic mastery</t>
  </si>
  <si>
    <t>Apply ladder logic during advanced troubleshooting</t>
  </si>
  <si>
    <t>Logical fault tracing</t>
  </si>
  <si>
    <t>Diagnose complex electrical and control issues</t>
  </si>
  <si>
    <t>Advanced root cause analysis</t>
  </si>
  <si>
    <t>Planning, Layout &amp; Execution Leadership</t>
  </si>
  <si>
    <t>Lead layout and planning for complex tasks</t>
  </si>
  <si>
    <t>Advanced work sequencing</t>
  </si>
  <si>
    <t>Develop complete material and manpower plans</t>
  </si>
  <si>
    <t>Comprehensive task planning</t>
  </si>
  <si>
    <t>Execute work independently with minimal oversight</t>
  </si>
  <si>
    <t>Task ownership and accountability</t>
  </si>
  <si>
    <t>Performance, Reviews &amp; Advancement Readiness</t>
  </si>
  <si>
    <t>Maintain positive performance reviews at Journeyman-3</t>
  </si>
  <si>
    <t>Sustained high-level performance</t>
  </si>
  <si>
    <t>Advanced technical training</t>
  </si>
  <si>
    <t>Demonstrate readiness for Leadman responsibilities</t>
  </si>
  <si>
    <t>Field leadership readiness</t>
  </si>
  <si>
    <t>Journeyman - 4</t>
  </si>
  <si>
    <t>Demonstrate exemplary safety leadership</t>
  </si>
  <si>
    <t>Proactive hazard leadership</t>
  </si>
  <si>
    <t>Deliver expert-level workmanship consistently</t>
  </si>
  <si>
    <t>Expert craftsmanship</t>
  </si>
  <si>
    <t>Meet production goals on highly complex work</t>
  </si>
  <si>
    <t>Advanced productivity management</t>
  </si>
  <si>
    <t>Lead waste reduction and efficiency improvements</t>
  </si>
  <si>
    <t>Process improvement leadership</t>
  </si>
  <si>
    <t>Function as technical lead within crews</t>
  </si>
  <si>
    <t>Technical crew leadership</t>
  </si>
  <si>
    <t>Actively mentor and develop apprentices and journeymen</t>
  </si>
  <si>
    <t>Leadership coaching</t>
  </si>
  <si>
    <t>Master-Level Raceway, Installation &amp; Layout</t>
  </si>
  <si>
    <t>Master installation of all raceway systems</t>
  </si>
  <si>
    <t>Expert raceway execution</t>
  </si>
  <si>
    <t>Plan and resolve complex routing challenges</t>
  </si>
  <si>
    <t>Advanced constructability resolution</t>
  </si>
  <si>
    <t>Coordinate raceway work with multiple trades</t>
  </si>
  <si>
    <t>Multi-trade coordination</t>
  </si>
  <si>
    <t>Large Wire Pulls, Rigging &amp; Execution Oversight</t>
  </si>
  <si>
    <t>Lead planning and execution of major wire pulls</t>
  </si>
  <si>
    <t>Large-scale pull leadership</t>
  </si>
  <si>
    <t>Direct manpower and equipment during pulls</t>
  </si>
  <si>
    <t>Rigging leadership</t>
  </si>
  <si>
    <t>Ensure quality control and safety during pulls</t>
  </si>
  <si>
    <t>Pull safety and QA oversight</t>
  </si>
  <si>
    <t>Advanced Control Systems &amp; Specialized Systems</t>
  </si>
  <si>
    <t>Integrate and commission complex control systems</t>
  </si>
  <si>
    <t>System integration expertise</t>
  </si>
  <si>
    <t>Lead startup of advanced systems (FA, lighting control, BAS)</t>
  </si>
  <si>
    <t>System startup leadership</t>
  </si>
  <si>
    <t>Resolve system interaction issues with other trades</t>
  </si>
  <si>
    <t>Cross-system coordination</t>
  </si>
  <si>
    <t>Ladder Logic, Diagnostics &amp; Problem Solving</t>
  </si>
  <si>
    <t>Interpret and troubleshoot advanced ladder logic</t>
  </si>
  <si>
    <t>Advanced logical diagnostics</t>
  </si>
  <si>
    <t>Resolve complex electrical and control failures</t>
  </si>
  <si>
    <t>Expert troubleshooting</t>
  </si>
  <si>
    <t>Identify root causes and prevent recurrence</t>
  </si>
  <si>
    <t>Preventative problem solving</t>
  </si>
  <si>
    <t>Planning, Layout &amp; Task Leadership</t>
  </si>
  <si>
    <t>Lead layout and sequencing for complex work scopes</t>
  </si>
  <si>
    <t>Task sequencing leadership</t>
  </si>
  <si>
    <t>Develop detailed material and manpower plans</t>
  </si>
  <si>
    <t>Advanced resource planning</t>
  </si>
  <si>
    <t>Independent task leadership</t>
  </si>
  <si>
    <t>Performance, Reviews &amp; Leadership Readiness</t>
  </si>
  <si>
    <t>Maintain consistent top-tier performance ratings</t>
  </si>
  <si>
    <t>Sustained elite performance</t>
  </si>
  <si>
    <t>Complete outside trade-related training</t>
  </si>
  <si>
    <t>Demonstrate readiness for Leadman role</t>
  </si>
  <si>
    <t>Leadman readiness</t>
  </si>
  <si>
    <t>Payroll Manager</t>
  </si>
  <si>
    <t>Corp</t>
  </si>
  <si>
    <t>Maintain confidentiality of payroll and employee records</t>
  </si>
  <si>
    <t>Data confidentiality</t>
  </si>
  <si>
    <t>Compliance</t>
  </si>
  <si>
    <t>Ensure compliance with federal and state payroll regulations</t>
  </si>
  <si>
    <t>Update payroll system for tax and withholding changes</t>
  </si>
  <si>
    <t>Tax law awareness</t>
  </si>
  <si>
    <t>DATA</t>
  </si>
  <si>
    <t>Data Management</t>
  </si>
  <si>
    <t>Maintain and update employee payroll records</t>
  </si>
  <si>
    <t>Data accuracy</t>
  </si>
  <si>
    <t>Enter and update employee pay, tax, and benefit data</t>
  </si>
  <si>
    <t>Data entry precision</t>
  </si>
  <si>
    <t>BEN</t>
  </si>
  <si>
    <t>Benefits Administration</t>
  </si>
  <si>
    <t>Manage payroll deductions for benefits and contributions</t>
  </si>
  <si>
    <t>Benefits coordination</t>
  </si>
  <si>
    <t>Reconcile benefit deductions periodically</t>
  </si>
  <si>
    <t>Reconciliation skills</t>
  </si>
  <si>
    <t>PAY</t>
  </si>
  <si>
    <t>Payroll Processing</t>
  </si>
  <si>
    <t>Process weekly payroll accurately and on time</t>
  </si>
  <si>
    <t>Payroll processing</t>
  </si>
  <si>
    <t>Review and enter approved timecards</t>
  </si>
  <si>
    <t>Timecard validation</t>
  </si>
  <si>
    <t>Financial Control</t>
  </si>
  <si>
    <t>Reconcile payroll hours with Job Plan hours</t>
  </si>
  <si>
    <t>Cost control awareness</t>
  </si>
  <si>
    <t>BANK</t>
  </si>
  <si>
    <t>Banking &amp; Disbursement</t>
  </si>
  <si>
    <t>Upload payroll for direct deposit and issue checks</t>
  </si>
  <si>
    <t>Cash handling controls</t>
  </si>
  <si>
    <t>PTO</t>
  </si>
  <si>
    <t>Time Off Management</t>
  </si>
  <si>
    <t>Track and reconcile employee PTO balances</t>
  </si>
  <si>
    <t>PTO tracking</t>
  </si>
  <si>
    <t>RET</t>
  </si>
  <si>
    <t>Retirement Plans</t>
  </si>
  <si>
    <t>Manage 401(k) deferrals and loan payments</t>
  </si>
  <si>
    <t>Retirement plan administration</t>
  </si>
  <si>
    <t>Ensure 401(k) compliance and testing requirements</t>
  </si>
  <si>
    <t>Compliance testing</t>
  </si>
  <si>
    <t>REPT</t>
  </si>
  <si>
    <t>Reporting</t>
  </si>
  <si>
    <t>Prepare and remit payroll tax and withholding reports</t>
  </si>
  <si>
    <t>Payroll reporting</t>
  </si>
  <si>
    <t>Respond to employment verification and payroll inquiries</t>
  </si>
  <si>
    <t>Professional communication</t>
  </si>
  <si>
    <t>Coordinate payroll information with HR, IT, and Finance</t>
  </si>
  <si>
    <t>Cross-department coordination</t>
  </si>
  <si>
    <t>SUPP</t>
  </si>
  <si>
    <t>Executive Support</t>
  </si>
  <si>
    <t>Provide payroll support and reporting to CFO</t>
  </si>
  <si>
    <t>Executive support skills</t>
  </si>
  <si>
    <t>Superintendent – 1</t>
  </si>
  <si>
    <t>Decision Making</t>
  </si>
  <si>
    <t>Oversight</t>
  </si>
  <si>
    <t>Change Management</t>
  </si>
  <si>
    <t>Negotiation</t>
  </si>
  <si>
    <t>Coordinate with GC and subcontractors</t>
  </si>
  <si>
    <t>Performance Management</t>
  </si>
  <si>
    <t>Conduct performance evaluations</t>
  </si>
  <si>
    <t>📘 MASTER SKILLS &amp; ABBREVIATIONS LIST</t>
  </si>
  <si>
    <r>
      <t xml:space="preserve">Use this as your </t>
    </r>
    <r>
      <rPr>
        <b/>
        <sz val="11"/>
        <color rgb="FF000000"/>
        <rFont val="Aptos Narrow"/>
        <family val="2"/>
        <scheme val="minor"/>
      </rPr>
      <t>Skills reference table</t>
    </r>
    <r>
      <rPr>
        <sz val="11"/>
        <color rgb="FF000000"/>
        <rFont val="Aptos Narrow"/>
        <family val="2"/>
        <scheme val="minor"/>
      </rPr>
      <t xml:space="preserve"> (one row per skill).</t>
    </r>
  </si>
  <si>
    <t>🧠 Cognitive / Decision Skills</t>
  </si>
  <si>
    <t>Abbreviation</t>
  </si>
  <si>
    <t>Maintain quality standards for crew</t>
  </si>
  <si>
    <t>Quality oversight</t>
  </si>
  <si>
    <t>Crew productivity management</t>
  </si>
  <si>
    <t>Implement Lean construction principles</t>
  </si>
  <si>
    <t>Waste reduction leadership</t>
  </si>
  <si>
    <t>Team Leadership</t>
  </si>
  <si>
    <t>Lead by example while working with tools</t>
  </si>
  <si>
    <t>Field leadership presence</t>
  </si>
  <si>
    <t>Train and mentor Apprentices and Journeymen</t>
  </si>
  <si>
    <t>Coaching fundamentals</t>
  </si>
  <si>
    <t>Crew Supervision &amp; Coordination</t>
  </si>
  <si>
    <t>Manage a small crew under Foreman direction</t>
  </si>
  <si>
    <t>Crew supervision</t>
  </si>
  <si>
    <t>Coordinate daily work activities</t>
  </si>
  <si>
    <t>Task coordination</t>
  </si>
  <si>
    <t>Communicate job impacts to Foreman</t>
  </si>
  <si>
    <t>Upward communication</t>
  </si>
  <si>
    <t>Coordinate with other trades</t>
  </si>
  <si>
    <t>Time, Quantity &amp; Job Tracking</t>
  </si>
  <si>
    <t>Review timecards for errors</t>
  </si>
  <si>
    <t>Timecard verification</t>
  </si>
  <si>
    <t>Verify hours and quantities are correct</t>
  </si>
  <si>
    <t>Job Planning</t>
  </si>
  <si>
    <t>Identify production issues from job data</t>
  </si>
  <si>
    <t>Production issue recognition</t>
  </si>
  <si>
    <t>Safety communication</t>
  </si>
  <si>
    <t>Enforce jobsite safety expectations</t>
  </si>
  <si>
    <t>Safety enforcement</t>
  </si>
  <si>
    <t>Develop basic computer skills</t>
  </si>
  <si>
    <t>Computer skill development</t>
  </si>
  <si>
    <t>DEV</t>
  </si>
  <si>
    <t>Participate in outside trade-related training</t>
  </si>
  <si>
    <t>Continuing education</t>
  </si>
  <si>
    <t>PERFMGMT</t>
  </si>
  <si>
    <t>Assist with performance evaluations</t>
  </si>
  <si>
    <t>Evaluation participation</t>
  </si>
  <si>
    <t>Provide feedback to Apprentices and Journeymen</t>
  </si>
  <si>
    <t>Performance feedback</t>
  </si>
  <si>
    <t>Maintain strong safety culture across crews</t>
  </si>
  <si>
    <t>Safety leadership consistency</t>
  </si>
  <si>
    <t>Ensure quality standards across multiple work fronts</t>
  </si>
  <si>
    <t>Multi-area quality oversight</t>
  </si>
  <si>
    <t>Maintain and recover production on larger crews</t>
  </si>
  <si>
    <t>Production stabilization</t>
  </si>
  <si>
    <t>Apply Lean principles across multiple work areas</t>
  </si>
  <si>
    <t>Flow and waste reduction leadership</t>
  </si>
  <si>
    <t>Lead larger crews under Foreman direction</t>
  </si>
  <si>
    <t>Crew leadership presence</t>
  </si>
  <si>
    <t>Develop apprentices and journeymen consistently</t>
  </si>
  <si>
    <t>Skill development leadership</t>
  </si>
  <si>
    <t>Expanded Crew &amp; Client Coordination</t>
  </si>
  <si>
    <t>Manage larger crews under Foreman direction</t>
  </si>
  <si>
    <t>Expanded crew supervision</t>
  </si>
  <si>
    <t>Client-facing communication</t>
  </si>
  <si>
    <t>Coordinate work across multiple crews</t>
  </si>
  <si>
    <t>Task alignment and sequencing</t>
  </si>
  <si>
    <t>Coordinate with other trades proactively</t>
  </si>
  <si>
    <t>Planning, Lookahead &amp; Materials</t>
  </si>
  <si>
    <t>Coordinate 3-week lookahead with Foreman</t>
  </si>
  <si>
    <t>Short-term planning support</t>
  </si>
  <si>
    <t>Coordinate 3-week material requirements</t>
  </si>
  <si>
    <t>Material planning and staging</t>
  </si>
  <si>
    <t>Use job plan data to identify upcoming risks</t>
  </si>
  <si>
    <t>Production foresight</t>
  </si>
  <si>
    <t>Safety, Training &amp; Readiness</t>
  </si>
  <si>
    <t>Safety coordination readiness</t>
  </si>
  <si>
    <t>Prepare to participate in Foreman Training Program</t>
  </si>
  <si>
    <t>Foreman readiness preparation</t>
  </si>
  <si>
    <t>Develop intermediate computer skills</t>
  </si>
  <si>
    <t>Software proficiency growth</t>
  </si>
  <si>
    <t>Performance Management &amp; Reviews</t>
  </si>
  <si>
    <t>Conduct performance evaluations with guidance</t>
  </si>
  <si>
    <t>Evaluation execution</t>
  </si>
  <si>
    <t>Provide structured feedback and development guidance</t>
  </si>
  <si>
    <t>Performance coaching</t>
  </si>
  <si>
    <t>Maintain positive performance reviews at Leadman-2</t>
  </si>
  <si>
    <t>Sustained leadership performance</t>
  </si>
  <si>
    <t>Demonstrate readiness for Foreman role</t>
  </si>
  <si>
    <t>Foreman readiness</t>
  </si>
  <si>
    <t>Lead a strong safety culture across crews</t>
  </si>
  <si>
    <t>Ensure high-quality workmanship across all crew activities</t>
  </si>
  <si>
    <t>Quality accountability</t>
  </si>
  <si>
    <t>Address and correct production issues proactively</t>
  </si>
  <si>
    <t>Production problem-solving</t>
  </si>
  <si>
    <t>Drive continuous improvement in crew workflows</t>
  </si>
  <si>
    <t>Continuous improvement leadership</t>
  </si>
  <si>
    <t>Serve as lead field resource for the Foreman</t>
  </si>
  <si>
    <t>Advanced coaching</t>
  </si>
  <si>
    <t>Advanced Crew Leadership &amp; Motivation</t>
  </si>
  <si>
    <t>Motivate crews to meet project goals</t>
  </si>
  <si>
    <t>Crew motivation</t>
  </si>
  <si>
    <t>Stabilize crew performance across changing conditions</t>
  </si>
  <si>
    <t>Performance stabilization</t>
  </si>
  <si>
    <t>ACCOUNT</t>
  </si>
  <si>
    <t>Hold crew members accountable for expectations</t>
  </si>
  <si>
    <t>Production Control &amp; Job Plan Execution</t>
  </si>
  <si>
    <t>Identify production issues using timecards and job plans</t>
  </si>
  <si>
    <t>Data-driven production review</t>
  </si>
  <si>
    <t>Implement corrective actions to recover production</t>
  </si>
  <si>
    <t>Production recovery execution</t>
  </si>
  <si>
    <t>Track results of corrective actions</t>
  </si>
  <si>
    <t>Performance monitoring</t>
  </si>
  <si>
    <t>Coordination, Communication &amp; Client Awareness</t>
  </si>
  <si>
    <t>Communicate production and manpower impacts to Foreman</t>
  </si>
  <si>
    <t>Clear upward communication</t>
  </si>
  <si>
    <t>Coordinate crew activities with other trades</t>
  </si>
  <si>
    <t>Advanced trade coordination</t>
  </si>
  <si>
    <t>Resolve conflicts between crews or trades</t>
  </si>
  <si>
    <t>Field conflict resolution</t>
  </si>
  <si>
    <t>Performance Management &amp; Evaluation</t>
  </si>
  <si>
    <t>Actively conduct performance evaluations</t>
  </si>
  <si>
    <t>Provide corrective and developmental feedback</t>
  </si>
  <si>
    <t>Document performance and production issues accurately</t>
  </si>
  <si>
    <t>Leadership documentation</t>
  </si>
  <si>
    <t>Foreman Readiness &amp; Professional Development</t>
  </si>
  <si>
    <t>Prepare for Foreman responsibilities</t>
  </si>
  <si>
    <t>Maintain strong proficiency in required software tools</t>
  </si>
  <si>
    <t>Technology competence</t>
  </si>
  <si>
    <t>Demonstrate readiness for Foreman-1 role</t>
  </si>
  <si>
    <t>Promotion readiness</t>
  </si>
  <si>
    <t>Implement GSL Safety and Loss Control Program</t>
  </si>
  <si>
    <t>Crew safety accountability</t>
  </si>
  <si>
    <t>Ensure all work meets specs and standards</t>
  </si>
  <si>
    <t>Field quality control</t>
  </si>
  <si>
    <t>Control production for assigned work areas</t>
  </si>
  <si>
    <t>Field productivity management</t>
  </si>
  <si>
    <t>Cost Control</t>
  </si>
  <si>
    <t>Manage labor within project budget</t>
  </si>
  <si>
    <t>Labor cost awareness</t>
  </si>
  <si>
    <t>Field workflow optimization</t>
  </si>
  <si>
    <t>Direct and manage assigned crews</t>
  </si>
  <si>
    <t>Crew leadership authority</t>
  </si>
  <si>
    <t>Safety Leadership</t>
  </si>
  <si>
    <t>Conduct weekly safety meetings</t>
  </si>
  <si>
    <t>Safety communication leadership</t>
  </si>
  <si>
    <t>Enforce safety policies and procedures</t>
  </si>
  <si>
    <t>Ensure crew compliance with PPE and procedures</t>
  </si>
  <si>
    <t>Hazard control</t>
  </si>
  <si>
    <t>Planning, Scheduling &amp; Execution</t>
  </si>
  <si>
    <t>Project Planning</t>
  </si>
  <si>
    <t>Pre-plan projects with Project Manager</t>
  </si>
  <si>
    <t>Project pre-planning</t>
  </si>
  <si>
    <t>Plan daily and weekly work activities</t>
  </si>
  <si>
    <t>Work sequencing</t>
  </si>
  <si>
    <t>Scheduling</t>
  </si>
  <si>
    <t>Manage daily crew schedules</t>
  </si>
  <si>
    <t>Crew scheduling</t>
  </si>
  <si>
    <t>Job Plan Management</t>
  </si>
  <si>
    <t>Manage Job Plan and update hours to complete</t>
  </si>
  <si>
    <t>Job Plan execution</t>
  </si>
  <si>
    <t>Documentation &amp; Reporting</t>
  </si>
  <si>
    <t>Maintain accurate field records</t>
  </si>
  <si>
    <t>Field documentation</t>
  </si>
  <si>
    <t>Complete daily reports</t>
  </si>
  <si>
    <t>Daily reporting</t>
  </si>
  <si>
    <t>Ensure accurate timecard and quantity reporting</t>
  </si>
  <si>
    <t>Time and quantity accuracy</t>
  </si>
  <si>
    <t>Track RFIs, ASIs, CORs, and as-built info</t>
  </si>
  <si>
    <t>Cost, Scope &amp; Change Management</t>
  </si>
  <si>
    <t>Monitor labor vs estimate</t>
  </si>
  <si>
    <t>Labor budget control</t>
  </si>
  <si>
    <t>SCOPE</t>
  </si>
  <si>
    <t>Scope Management</t>
  </si>
  <si>
    <t>Understand project scope and specifications</t>
  </si>
  <si>
    <t>Scope comprehension</t>
  </si>
  <si>
    <t>CHANGE</t>
  </si>
  <si>
    <t>Support PM with change order information</t>
  </si>
  <si>
    <t>Change order support</t>
  </si>
  <si>
    <t>Report cost and scope impacts promptly</t>
  </si>
  <si>
    <t>Upward financial communication</t>
  </si>
  <si>
    <t>Crew Management &amp; Development</t>
  </si>
  <si>
    <t>Train, protect, and develop assigned employees</t>
  </si>
  <si>
    <t>Crew development</t>
  </si>
  <si>
    <t>Employee evaluation</t>
  </si>
  <si>
    <t>Enforce attendance and work rules</t>
  </si>
  <si>
    <t>Discipline enforcement</t>
  </si>
  <si>
    <t>ETH</t>
  </si>
  <si>
    <t>Ethics</t>
  </si>
  <si>
    <t>Ensure professional conduct and appearance</t>
  </si>
  <si>
    <t>Ethical leadership</t>
  </si>
  <si>
    <t>Client &amp; Trade Coordination</t>
  </si>
  <si>
    <t>Client Relations</t>
  </si>
  <si>
    <t>Develop positive client relationships</t>
  </si>
  <si>
    <t>Client professionalism</t>
  </si>
  <si>
    <t>Coordinate field activities with other trades</t>
  </si>
  <si>
    <t>Communicate progress and issues to PM</t>
  </si>
  <si>
    <t>Clear project communication</t>
  </si>
  <si>
    <t>Technology &amp; Professional Development</t>
  </si>
  <si>
    <t>Use Excel, Outlook, Word, and Bluebeam</t>
  </si>
  <si>
    <t>Field software proficiency</t>
  </si>
  <si>
    <t>Attend outside trade-related training</t>
  </si>
  <si>
    <t>Demonstrate readiness for Foreman-2</t>
  </si>
  <si>
    <t>Advanced foreman readiness</t>
  </si>
  <si>
    <t>Sustain strong safety culture across projects</t>
  </si>
  <si>
    <t>Deliver projects meeting all quality standards</t>
  </si>
  <si>
    <t>Project quality ownership</t>
  </si>
  <si>
    <t>Bring projects in on or under budget</t>
  </si>
  <si>
    <t>Productivity and cost alignment</t>
  </si>
  <si>
    <t>Apply Lean principles across entire projects</t>
  </si>
  <si>
    <t>Project-wide waste reduction</t>
  </si>
  <si>
    <t>Lead multiple crews and Leadmen</t>
  </si>
  <si>
    <t>Contract, Scope &amp; Documentation Mastery</t>
  </si>
  <si>
    <t>CONTRACT</t>
  </si>
  <si>
    <t>Contract Knowledge</t>
  </si>
  <si>
    <t>Understand contract documents and specifications</t>
  </si>
  <si>
    <t>Contract comprehension</t>
  </si>
  <si>
    <t>Identify scope limits and exclusions</t>
  </si>
  <si>
    <t>Scope risk identification</t>
  </si>
  <si>
    <t>Prevent scope creep through documentation</t>
  </si>
  <si>
    <t>Scope protection</t>
  </si>
  <si>
    <t>Ensure accurate and complete project documentation</t>
  </si>
  <si>
    <t>Document control</t>
  </si>
  <si>
    <t>Planning, Scheduling &amp; Forecasting</t>
  </si>
  <si>
    <t>Plan work in coordination with the Project Manager</t>
  </si>
  <si>
    <t>Integrated planning</t>
  </si>
  <si>
    <t>Manage project schedule with the PM</t>
  </si>
  <si>
    <t>Schedule ownership</t>
  </si>
  <si>
    <t>FORECAST</t>
  </si>
  <si>
    <t>Generate long-term manpower projections</t>
  </si>
  <si>
    <t>Use Job Plan to track progress and forecast outcomes</t>
  </si>
  <si>
    <t>Job Plan interpretation</t>
  </si>
  <si>
    <t>Cost Control &amp; Change Management</t>
  </si>
  <si>
    <t>Monitor and manage labor costs</t>
  </si>
  <si>
    <t>Generate change order information</t>
  </si>
  <si>
    <t>Change order development</t>
  </si>
  <si>
    <t>Identify and document out-of-scope work</t>
  </si>
  <si>
    <t>Scope change recognition</t>
  </si>
  <si>
    <t>Communicate cost and change impacts clearly</t>
  </si>
  <si>
    <t>Client and PM communication</t>
  </si>
  <si>
    <t>RFIs, As-Builts &amp; Closeout</t>
  </si>
  <si>
    <t>RFI Management</t>
  </si>
  <si>
    <t>Generate meaningful RFIs</t>
  </si>
  <si>
    <t>Generate quality as-built / record drawings</t>
  </si>
  <si>
    <t>As-built accuracy</t>
  </si>
  <si>
    <t>CLOSEOUT</t>
  </si>
  <si>
    <t>Project Closeout</t>
  </si>
  <si>
    <t>Complete job closeout requirements</t>
  </si>
  <si>
    <t>Closeout execution</t>
  </si>
  <si>
    <t>Crew &amp; Performance Management</t>
  </si>
  <si>
    <t>Conduct performance evaluations across crews</t>
  </si>
  <si>
    <t>Manage multiple Leadmen effectively</t>
  </si>
  <si>
    <t>Leadman accountability</t>
  </si>
  <si>
    <t>Develop Leadmen and Journeymen for advancement</t>
  </si>
  <si>
    <t>Client Experience &amp; Company Representation</t>
  </si>
  <si>
    <t>Promote and market GSL to the client</t>
  </si>
  <si>
    <t>Client experience leadership</t>
  </si>
  <si>
    <t>Build trust-based client relationships</t>
  </si>
  <si>
    <t>Client trust building</t>
  </si>
  <si>
    <t>Implement and reinforce company directives</t>
  </si>
  <si>
    <t>Policy enforcement</t>
  </si>
  <si>
    <t>Technology, Training &amp; Advancement</t>
  </si>
  <si>
    <t>Use advanced software tools effectively</t>
  </si>
  <si>
    <t>Advanced field software proficiency</t>
  </si>
  <si>
    <t>Participate in Foreman Training delivery</t>
  </si>
  <si>
    <t>Training facilitation</t>
  </si>
  <si>
    <t>Demonstrate readiness for Foreman-3</t>
  </si>
  <si>
    <t>Senior foreman readiness</t>
  </si>
  <si>
    <t>Maintain exemplary safety performance across projects</t>
  </si>
  <si>
    <t>Sustained safety leadership</t>
  </si>
  <si>
    <t>Deliver consistent, inspection-ready quality</t>
  </si>
  <si>
    <t>Quality excellence</t>
  </si>
  <si>
    <t>Maintain long-term production performance</t>
  </si>
  <si>
    <t>Production consistency</t>
  </si>
  <si>
    <t>Continuously improve field processes</t>
  </si>
  <si>
    <t>Serve as senior field leader on complex projects</t>
  </si>
  <si>
    <t>Senior field leadership</t>
  </si>
  <si>
    <t>Budget Mastery &amp; Financial Accountability</t>
  </si>
  <si>
    <t>Demonstrate sustained budget control</t>
  </si>
  <si>
    <t>Budget mastery</t>
  </si>
  <si>
    <t>Identify cost risks early and take corrective action</t>
  </si>
  <si>
    <t>Cost risk mitigation</t>
  </si>
  <si>
    <t>Balance labor, material, and schedule impacts</t>
  </si>
  <si>
    <t>Holistic cost management</t>
  </si>
  <si>
    <t>Advanced Planning, Scheduling &amp; Forecasting</t>
  </si>
  <si>
    <t>Lead long-range project planning</t>
  </si>
  <si>
    <t>Long-term planning leadership</t>
  </si>
  <si>
    <t>Manage complex schedules across phases</t>
  </si>
  <si>
    <t>Multi-phase scheduling</t>
  </si>
  <si>
    <t>Forecast manpower accurately over project duration</t>
  </si>
  <si>
    <t>Long-term manpower forecasting</t>
  </si>
  <si>
    <t>Contract, Scope &amp; Change Expertise</t>
  </si>
  <si>
    <t>Interpret and apply contract requirements accurately</t>
  </si>
  <si>
    <t>Contract interpretation mastery</t>
  </si>
  <si>
    <t>Protect project scope proactively</t>
  </si>
  <si>
    <t>Scope protection leadership</t>
  </si>
  <si>
    <t>Lead development of change orders</t>
  </si>
  <si>
    <t>Change order leadership</t>
  </si>
  <si>
    <t>Defend change orders with documentation</t>
  </si>
  <si>
    <t>Change justification</t>
  </si>
  <si>
    <t>Documentation, Closeout &amp; Information Control</t>
  </si>
  <si>
    <t>Ensure complete and accurate project records</t>
  </si>
  <si>
    <t>Document governance</t>
  </si>
  <si>
    <t>Oversee creation of high-quality as-builts</t>
  </si>
  <si>
    <t>As-built leadership</t>
  </si>
  <si>
    <t>Lead project closeout activities</t>
  </si>
  <si>
    <t>Closeout leadership</t>
  </si>
  <si>
    <t>People Leadership &amp; Development</t>
  </si>
  <si>
    <t>Lead performance evaluations for foremen and crews</t>
  </si>
  <si>
    <t>Hold Leadmen and crews accountable consistently</t>
  </si>
  <si>
    <t>Leadership accountability</t>
  </si>
  <si>
    <t>Develop Leadmen for advancement</t>
  </si>
  <si>
    <t>Client, Stakeholder &amp; Company Leadership</t>
  </si>
  <si>
    <t>Serve as trusted field representative for GSL</t>
  </si>
  <si>
    <t>Client trust leadership</t>
  </si>
  <si>
    <t>Resolve complex client issues professionally</t>
  </si>
  <si>
    <t>Client issue resolution</t>
  </si>
  <si>
    <t>Reinforce company values and directives</t>
  </si>
  <si>
    <t>Organizational leadership</t>
  </si>
  <si>
    <t>Superintendent Readiness</t>
  </si>
  <si>
    <t>Demonstrate readiness for Superintendent role</t>
  </si>
  <si>
    <t>Superintendent readiness</t>
  </si>
  <si>
    <t>Attend advanced leadership or trade training</t>
  </si>
  <si>
    <t>Executive-level field training</t>
  </si>
  <si>
    <t>Implement GSL Loss Control Program</t>
  </si>
  <si>
    <t>Safety policy enforcement</t>
  </si>
  <si>
    <t>Hold weekly safety meetings</t>
  </si>
  <si>
    <t>Safety meeting facilitation</t>
  </si>
  <si>
    <t>Ethics &amp; Conduct</t>
  </si>
  <si>
    <t>Represent GSL professionally</t>
  </si>
  <si>
    <t>Ethical conduct</t>
  </si>
  <si>
    <t>Lean Construction</t>
  </si>
  <si>
    <t>Waste elimination</t>
  </si>
  <si>
    <t>Quality Control</t>
  </si>
  <si>
    <t>Ensure installations meet specifications</t>
  </si>
  <si>
    <t>Workmanship oversight</t>
  </si>
  <si>
    <t>Deliver projects safely, on time, and within budget</t>
  </si>
  <si>
    <t>Performance accountability</t>
  </si>
  <si>
    <t>Leadership &amp; Supervision</t>
  </si>
  <si>
    <t>Supervise multiple foremen</t>
  </si>
  <si>
    <t>Multi-foreman leadership</t>
  </si>
  <si>
    <t>DELG</t>
  </si>
  <si>
    <t>Assign work appropriately</t>
  </si>
  <si>
    <t>Effective delegation</t>
  </si>
  <si>
    <t>Train and develop foremen and crews</t>
  </si>
  <si>
    <t>Hold foremen accountable for results</t>
  </si>
  <si>
    <t>Promote teamwork across crews</t>
  </si>
  <si>
    <t>Collaboration leadership</t>
  </si>
  <si>
    <t>Project Planning &amp; Control</t>
  </si>
  <si>
    <t>Become fully familiar with project scope</t>
  </si>
  <si>
    <t>Plan and schedule field operations</t>
  </si>
  <si>
    <t>Operational planning</t>
  </si>
  <si>
    <t>Monitor critical path items</t>
  </si>
  <si>
    <t>Update Project Hours to Complete</t>
  </si>
  <si>
    <t>Forecasting labor needs</t>
  </si>
  <si>
    <t>Financial &amp; Cost Control</t>
  </si>
  <si>
    <t>Budgeting</t>
  </si>
  <si>
    <t>Understand job cost structure</t>
  </si>
  <si>
    <t>Work within approved budget</t>
  </si>
  <si>
    <t>Budget discipline</t>
  </si>
  <si>
    <t>Identify cost-saving opportunities</t>
  </si>
  <si>
    <t>Cost management</t>
  </si>
  <si>
    <t>Control labor and material usage</t>
  </si>
  <si>
    <t>Resource optimization</t>
  </si>
  <si>
    <t>Change Management &amp; Documentation</t>
  </si>
  <si>
    <t>CHNG</t>
  </si>
  <si>
    <t>Integrate change orders into work scope</t>
  </si>
  <si>
    <t>Change integration</t>
  </si>
  <si>
    <t>Understand change order procedures</t>
  </si>
  <si>
    <t>Contract compliance</t>
  </si>
  <si>
    <t>Maintain complete field records</t>
  </si>
  <si>
    <t>Manage RFIs, ASIs, CORs</t>
  </si>
  <si>
    <t>Field documentation control</t>
  </si>
  <si>
    <t>Client &amp; Stakeholder Coordination</t>
  </si>
  <si>
    <t>Interface with PM and estimator</t>
  </si>
  <si>
    <t>Project communication</t>
  </si>
  <si>
    <t>Client engagement</t>
  </si>
  <si>
    <t>NEG</t>
  </si>
  <si>
    <t>Support change order justification</t>
  </si>
  <si>
    <t>Negotiation support</t>
  </si>
  <si>
    <t>Administrative &amp; Systems Use</t>
  </si>
  <si>
    <t>Systems &amp; SOPs</t>
  </si>
  <si>
    <t>Use GSL standard operating procedures</t>
  </si>
  <si>
    <t>SOP compliance</t>
  </si>
  <si>
    <t>Use Excel, Word, Outlook, Bluebeam</t>
  </si>
  <si>
    <t>Software proficiency</t>
  </si>
  <si>
    <t>ADMIN</t>
  </si>
  <si>
    <t>Administration</t>
  </si>
  <si>
    <t>Prepare reports and paperwork</t>
  </si>
  <si>
    <t>Administrative accuracy</t>
  </si>
  <si>
    <t>People Management &amp; Performance</t>
  </si>
  <si>
    <t>Conduct employee performance evaluations</t>
  </si>
  <si>
    <t>Objective evaluation</t>
  </si>
  <si>
    <t>Provide performance feedback</t>
  </si>
  <si>
    <t>Feedback delivery</t>
  </si>
  <si>
    <t>Identify training and development needs</t>
  </si>
  <si>
    <t>Talent development</t>
  </si>
  <si>
    <t>Continuous learning</t>
  </si>
  <si>
    <t>Maintain advanced software proficiency</t>
  </si>
  <si>
    <t>Technical fluency</t>
  </si>
  <si>
    <t>Sustain jobsite safety performance</t>
  </si>
  <si>
    <t>Sustain performance across multiple projects</t>
  </si>
  <si>
    <t>Multi-project performance control</t>
  </si>
  <si>
    <t>Maintain consistent quality standards</t>
  </si>
  <si>
    <t>Quality systems enforcement</t>
  </si>
  <si>
    <t>Model professional and ethical behavior</t>
  </si>
  <si>
    <t>Leadership &amp; Oversight</t>
  </si>
  <si>
    <t>Maintain stable foreman performance</t>
  </si>
  <si>
    <t>OVRS</t>
  </si>
  <si>
    <t>Ensure foremen perform all required duties</t>
  </si>
  <si>
    <t>Foreman accountability</t>
  </si>
  <si>
    <t>Results enforcement</t>
  </si>
  <si>
    <t>Coach foremen on leadership gaps</t>
  </si>
  <si>
    <t>Identify patterns of underperformance</t>
  </si>
  <si>
    <t>Cross-project analysis</t>
  </si>
  <si>
    <t>Correct recurring performance issues</t>
  </si>
  <si>
    <t>Sustain budget performance over time</t>
  </si>
  <si>
    <t>Budget discipline continuity</t>
  </si>
  <si>
    <t>Sustain schedule performance over time</t>
  </si>
  <si>
    <t>Schedule reliability</t>
  </si>
  <si>
    <t>Foreman Evaluation &amp; Development</t>
  </si>
  <si>
    <t>EVAL</t>
  </si>
  <si>
    <t>Evaluations</t>
  </si>
  <si>
    <t>Lead foreman performance evaluations</t>
  </si>
  <si>
    <t>Ensure evaluations are accurate and fair</t>
  </si>
  <si>
    <t>Objective assessment</t>
  </si>
  <si>
    <t>Translate evaluations into action plans</t>
  </si>
  <si>
    <t>Ensure development plans are executed</t>
  </si>
  <si>
    <t>Follow-through coaching</t>
  </si>
  <si>
    <t>Project &amp; System Control</t>
  </si>
  <si>
    <t>Ensure foremen plan work effectively</t>
  </si>
  <si>
    <t>Planning verification</t>
  </si>
  <si>
    <t>Ensure manpower aligns with project needs</t>
  </si>
  <si>
    <t>Resource balancing</t>
  </si>
  <si>
    <t>Ensure consistent use of GSL systems</t>
  </si>
  <si>
    <t>Process enforcement</t>
  </si>
  <si>
    <t>Communication &amp; Alignment</t>
  </si>
  <si>
    <t>Ensure consistent messaging across projects</t>
  </si>
  <si>
    <t>Communication alignment</t>
  </si>
  <si>
    <t>Communicate expectations clearly to foremen</t>
  </si>
  <si>
    <t>Expectation clarity</t>
  </si>
  <si>
    <t>Escalate systemic issues appropriately</t>
  </si>
  <si>
    <t>Leadership communication</t>
  </si>
  <si>
    <t>System mastery</t>
  </si>
  <si>
    <t>Sustain long-term safety performance</t>
  </si>
  <si>
    <t>Safety culture leadership</t>
  </si>
  <si>
    <t>Maintain consistent organizational performance</t>
  </si>
  <si>
    <t>Enterprise performance stability</t>
  </si>
  <si>
    <t>Ensure consistent quality across all projects</t>
  </si>
  <si>
    <t>Quality governance</t>
  </si>
  <si>
    <t>Model executive-level professionalism</t>
  </si>
  <si>
    <t>Organizational ethics leadership</t>
  </si>
  <si>
    <t>Strategic Leadership</t>
  </si>
  <si>
    <t>Provide leadership across the organization</t>
  </si>
  <si>
    <t>Mentor Superintendent-1 and Superintendent-2 leaders</t>
  </si>
  <si>
    <t>Senior leadership mentoring</t>
  </si>
  <si>
    <t>Establish accountability standards</t>
  </si>
  <si>
    <t>Organizational accountability</t>
  </si>
  <si>
    <t>Performance Governance</t>
  </si>
  <si>
    <t>GOV</t>
  </si>
  <si>
    <t>Governance</t>
  </si>
  <si>
    <t>Establish performance expectations</t>
  </si>
  <si>
    <t>Performance governance</t>
  </si>
  <si>
    <t>Monitor long-term performance trends</t>
  </si>
  <si>
    <t>Intervene on systemic performance risks</t>
  </si>
  <si>
    <t>Risk governance</t>
  </si>
  <si>
    <t>Leadership Development &amp; Succession</t>
  </si>
  <si>
    <t>Develop future leaders</t>
  </si>
  <si>
    <t>Succession development</t>
  </si>
  <si>
    <t>Coach senior leaders</t>
  </si>
  <si>
    <t>Executive coaching</t>
  </si>
  <si>
    <t>Oversee performance evaluations across roles</t>
  </si>
  <si>
    <t>Evaluation oversight</t>
  </si>
  <si>
    <t>Systems &amp; Process Stewardship</t>
  </si>
  <si>
    <t>Ensure company-wide adherence to systems</t>
  </si>
  <si>
    <t>Process governance</t>
  </si>
  <si>
    <t>Champion Lean principles organization-wide</t>
  </si>
  <si>
    <t>Lean leadership</t>
  </si>
  <si>
    <t>Executive Communication &amp; Alignment</t>
  </si>
  <si>
    <t>Align field leadership with executive direction</t>
  </si>
  <si>
    <t>Strategic communication</t>
  </si>
  <si>
    <t>Provide leadership insight to executive team</t>
  </si>
  <si>
    <t>Field-to-executive alignment</t>
  </si>
  <si>
    <t>Professional Development &amp; Thought Leadership</t>
  </si>
  <si>
    <t>Pursue advanced leadership development</t>
  </si>
  <si>
    <t>Leadership mastery</t>
  </si>
  <si>
    <t>Maintain expert-level system fluency</t>
  </si>
  <si>
    <t>Digital leadership</t>
  </si>
  <si>
    <t>Core Safety Leadership</t>
  </si>
  <si>
    <t>Safety Coordinator</t>
  </si>
  <si>
    <t>Promote GSL “Zero Broken Lives” culture</t>
  </si>
  <si>
    <t>Safety leadership mindset</t>
  </si>
  <si>
    <t>Serve as on-site safety representative</t>
  </si>
  <si>
    <t>Safety ownership</t>
  </si>
  <si>
    <t>Model professional safety behavior</t>
  </si>
  <si>
    <t>Safety role modeling</t>
  </si>
  <si>
    <t>Policy &amp; Program Compliance</t>
  </si>
  <si>
    <t>POL</t>
  </si>
  <si>
    <t>Policy Compliance</t>
  </si>
  <si>
    <t>Understand GSL safety policies</t>
  </si>
  <si>
    <t>Safety policy knowledge</t>
  </si>
  <si>
    <t>Enforce company safety rules</t>
  </si>
  <si>
    <t>Regulatory Compliance</t>
  </si>
  <si>
    <t>Understand OSHA and applicable regulations</t>
  </si>
  <si>
    <t>Regulatory knowledge</t>
  </si>
  <si>
    <t>Job Hazard Analysis &amp; Risk Control</t>
  </si>
  <si>
    <t>Risk Assessment</t>
  </si>
  <si>
    <t>Participate in Job Hazard Analyses</t>
  </si>
  <si>
    <t>Hazard identification</t>
  </si>
  <si>
    <t>Identify unsafe conditions and behaviors</t>
  </si>
  <si>
    <t>Risk recognition</t>
  </si>
  <si>
    <t>Recommend corrective actions</t>
  </si>
  <si>
    <t>Hazard mitigation</t>
  </si>
  <si>
    <t>Inspections &amp; Audits</t>
  </si>
  <si>
    <t>INSP</t>
  </si>
  <si>
    <t>Inspections</t>
  </si>
  <si>
    <t>Conduct regular safety inspections</t>
  </si>
  <si>
    <t>Site safety auditing</t>
  </si>
  <si>
    <t>Document safety observations</t>
  </si>
  <si>
    <t>Inspection documentation</t>
  </si>
  <si>
    <t>Track corrective action completion</t>
  </si>
  <si>
    <t>Follow-up tracking</t>
  </si>
  <si>
    <t>Incident Response &amp; Reporting</t>
  </si>
  <si>
    <t>INCI</t>
  </si>
  <si>
    <t>Incident Management</t>
  </si>
  <si>
    <t>Respond to incidents and near misses</t>
  </si>
  <si>
    <t>Incident response</t>
  </si>
  <si>
    <t>Assist in incident investigations</t>
  </si>
  <si>
    <t>Complete incident reports accurately</t>
  </si>
  <si>
    <t>Incident documentation</t>
  </si>
  <si>
    <t>Training &amp; Communication</t>
  </si>
  <si>
    <t>Lead toolbox safety meetings</t>
  </si>
  <si>
    <t>Provide safety orientations</t>
  </si>
  <si>
    <t>Safety onboarding</t>
  </si>
  <si>
    <t>Reinforce safe work practices</t>
  </si>
  <si>
    <t>Safety coaching</t>
  </si>
  <si>
    <t>Coordination &amp; Leadership Support</t>
  </si>
  <si>
    <t>Coordinate with foremen and supervisors</t>
  </si>
  <si>
    <t>Safety collaboration</t>
  </si>
  <si>
    <t>Support project leadership on safety issues</t>
  </si>
  <si>
    <t>Leadership support</t>
  </si>
  <si>
    <t>Communicate safety concerns promptly</t>
  </si>
  <si>
    <t>Safety escalation</t>
  </si>
  <si>
    <t>Documentation &amp; Systems</t>
  </si>
  <si>
    <t>Maintain safety records</t>
  </si>
  <si>
    <t>Safety record keeping</t>
  </si>
  <si>
    <t>Use company safety tracking systems</t>
  </si>
  <si>
    <t>System compliance</t>
  </si>
  <si>
    <t>Maintain required safety certifications</t>
  </si>
  <si>
    <t>Credential maintenance</t>
  </si>
  <si>
    <t>Attend ongoing safety training</t>
  </si>
  <si>
    <t>Continuous safety education</t>
  </si>
  <si>
    <t>Deliver projects aligned with company goals</t>
  </si>
  <si>
    <t>Project performance accountability</t>
  </si>
  <si>
    <t>Ensure quality standards are met</t>
  </si>
  <si>
    <t>Quality assurance leadership</t>
  </si>
  <si>
    <t>Maintain positive client relationships</t>
  </si>
  <si>
    <t>Client stewardship</t>
  </si>
  <si>
    <t>RES</t>
  </si>
  <si>
    <t>Expense control</t>
  </si>
  <si>
    <t>Financial Management</t>
  </si>
  <si>
    <t>Risk Management</t>
  </si>
  <si>
    <t>Executive communication</t>
  </si>
  <si>
    <t>Team leadership</t>
  </si>
  <si>
    <t>CLOSE</t>
  </si>
  <si>
    <t>System proficiency</t>
  </si>
  <si>
    <t>Process compliance</t>
  </si>
  <si>
    <t>Contract Review &amp; Risk Control</t>
  </si>
  <si>
    <t>Contract Management</t>
  </si>
  <si>
    <t>Review scope of work against bid proposal</t>
  </si>
  <si>
    <t>Scope reconciliation</t>
  </si>
  <si>
    <t>Verify inclusions, exclusions, and clarifications</t>
  </si>
  <si>
    <t>Contract clarity</t>
  </si>
  <si>
    <t>Review Prime Agreement impacts</t>
  </si>
  <si>
    <t>Prime contract awareness</t>
  </si>
  <si>
    <t>Identify contractual risk items</t>
  </si>
  <si>
    <t>Risk identification</t>
  </si>
  <si>
    <t>LEGAL</t>
  </si>
  <si>
    <t>Legal Awareness</t>
  </si>
  <si>
    <t>Preserve lien and bond rights</t>
  </si>
  <si>
    <t>Legal rights awareness</t>
  </si>
  <si>
    <t>Schedule Analysis &amp; Pre-Construction Planning</t>
  </si>
  <si>
    <t>Analyze GC schedule logic</t>
  </si>
  <si>
    <t>Evaluate cost impact of schedule duration</t>
  </si>
  <si>
    <t>Schedule cost analysis</t>
  </si>
  <si>
    <t>Pre-Construction</t>
  </si>
  <si>
    <t>Conduct project turnover meetings</t>
  </si>
  <si>
    <t>Turnover leadership</t>
  </si>
  <si>
    <t>Develop construction execution plan</t>
  </si>
  <si>
    <t>Construction planning</t>
  </si>
  <si>
    <t>Develop man-loaded schedule</t>
  </si>
  <si>
    <t>Manpower loading</t>
  </si>
  <si>
    <t>Manpower, Field Leadership &amp; Coordination</t>
  </si>
  <si>
    <t>ORG</t>
  </si>
  <si>
    <t>Organization</t>
  </si>
  <si>
    <t>Develop project organization chart</t>
  </si>
  <si>
    <t>Role alignment</t>
  </si>
  <si>
    <t>Resource Planning</t>
  </si>
  <si>
    <t>Assign field leadership appropriately</t>
  </si>
  <si>
    <t>Leadership placement</t>
  </si>
  <si>
    <t>Coordinate with Superintendent and Safety Superintendent</t>
  </si>
  <si>
    <t>Cross-leadership coordination</t>
  </si>
  <si>
    <t>Prefabrication, BIM &amp; Material Strategy</t>
  </si>
  <si>
    <t>PREFAB</t>
  </si>
  <si>
    <t>Prefabrication</t>
  </si>
  <si>
    <t>Identify prefabrication opportunities</t>
  </si>
  <si>
    <t>Prefab planning</t>
  </si>
  <si>
    <t>Coordinate with Prefab team</t>
  </si>
  <si>
    <t>Prefab execution</t>
  </si>
  <si>
    <t>BIM</t>
  </si>
  <si>
    <t>BIM &amp; Modeling</t>
  </si>
  <si>
    <t>Use BIM for layout planning</t>
  </si>
  <si>
    <t>Model-based planning</t>
  </si>
  <si>
    <t>Submittals, Purchasing &amp; Buyout</t>
  </si>
  <si>
    <t>SUB</t>
  </si>
  <si>
    <t>Submittals</t>
  </si>
  <si>
    <t>Prepare and track submittals</t>
  </si>
  <si>
    <t>Submittal management</t>
  </si>
  <si>
    <t>PUR</t>
  </si>
  <si>
    <t>Purchasing</t>
  </si>
  <si>
    <t>Execute project buyout strategy</t>
  </si>
  <si>
    <t>Cost control purchasing</t>
  </si>
  <si>
    <t>Coordinate material release timing</t>
  </si>
  <si>
    <t>Material scheduling</t>
  </si>
  <si>
    <t>VEND</t>
  </si>
  <si>
    <t>Vendor Management</t>
  </si>
  <si>
    <t>Manage subcontractors and vendors</t>
  </si>
  <si>
    <t>Vendor coordination</t>
  </si>
  <si>
    <t>Scheduling Execution &amp; Look-Ahead Planning</t>
  </si>
  <si>
    <t>Actively manage project schedule</t>
  </si>
  <si>
    <t>Schedule leadership</t>
  </si>
  <si>
    <t>LOOKAHEAD</t>
  </si>
  <si>
    <t>Look-Ahead Planning</t>
  </si>
  <si>
    <t>Use 3-week look-ahead schedules</t>
  </si>
  <si>
    <t>Short-term planning</t>
  </si>
  <si>
    <t>Use pull planning by milestone</t>
  </si>
  <si>
    <t>Pull planning facilitation</t>
  </si>
  <si>
    <t>Job Monitoring &amp; Productivity Control</t>
  </si>
  <si>
    <t>MON</t>
  </si>
  <si>
    <t>Job Monitoring</t>
  </si>
  <si>
    <t>Spend sufficient time on jobsite</t>
  </si>
  <si>
    <t>Field oversight</t>
  </si>
  <si>
    <t>Job Plans</t>
  </si>
  <si>
    <t>Analyze job plan labor trends</t>
  </si>
  <si>
    <t>Productivity analysis</t>
  </si>
  <si>
    <t>Update job plans monthly</t>
  </si>
  <si>
    <t>Plan maintenance</t>
  </si>
  <si>
    <t>VAR</t>
  </si>
  <si>
    <t>Variance Analysis</t>
  </si>
  <si>
    <t>Identify labor variances early</t>
  </si>
  <si>
    <t>Variance detection</t>
  </si>
  <si>
    <t>Cost Reporting &amp; Financial Control</t>
  </si>
  <si>
    <t>Review Job Cost / Estimate Reports</t>
  </si>
  <si>
    <t>Share cost reports with field leadership</t>
  </si>
  <si>
    <t>Transparency leadership</t>
  </si>
  <si>
    <t>Project labor cost at completion</t>
  </si>
  <si>
    <t>Forecasting accuracy</t>
  </si>
  <si>
    <t>Change Management &amp; Contract Compliance</t>
  </si>
  <si>
    <t>Identify scope changes</t>
  </si>
  <si>
    <t>Change recognition</t>
  </si>
  <si>
    <t>Submit timely change order requests</t>
  </si>
  <si>
    <t>COR preparation</t>
  </si>
  <si>
    <t>Track and follow up on pending CORs</t>
  </si>
  <si>
    <t>Change follow-through</t>
  </si>
  <si>
    <t>TIME</t>
  </si>
  <si>
    <t>Time Extensions</t>
  </si>
  <si>
    <t>Request schedule extensions</t>
  </si>
  <si>
    <t>Time impact management</t>
  </si>
  <si>
    <t>Document Control &amp; Notices</t>
  </si>
  <si>
    <t>Document Control</t>
  </si>
  <si>
    <t>Log and track project documents</t>
  </si>
  <si>
    <t>Review new document releases</t>
  </si>
  <si>
    <t>Document comparison</t>
  </si>
  <si>
    <t>NOTICE</t>
  </si>
  <si>
    <t>Notices</t>
  </si>
  <si>
    <t>Issue timely notices for impacts</t>
  </si>
  <si>
    <t>Contract notice compliance</t>
  </si>
  <si>
    <t>Billing, Cash Flow &amp; Reporting</t>
  </si>
  <si>
    <t>BILL</t>
  </si>
  <si>
    <t>Billing</t>
  </si>
  <si>
    <t>Prepare progress billings accurately</t>
  </si>
  <si>
    <t>Billing accuracy</t>
  </si>
  <si>
    <t>Avoid under-billing</t>
  </si>
  <si>
    <t>Cash flow management</t>
  </si>
  <si>
    <t>REP</t>
  </si>
  <si>
    <t>Submit Weekly Project Status Reports</t>
  </si>
  <si>
    <t>Executive reporting</t>
  </si>
  <si>
    <t>Client &amp; GC Interface</t>
  </si>
  <si>
    <t>Meet regularly with GC or Owner</t>
  </si>
  <si>
    <t>Client coordination</t>
  </si>
  <si>
    <t>Obtain feedback on performance</t>
  </si>
  <si>
    <t>Client relationship management</t>
  </si>
  <si>
    <t>Coordinate RFIs and responses</t>
  </si>
  <si>
    <t>Information flow management</t>
  </si>
  <si>
    <t>Coordinate project closeout</t>
  </si>
  <si>
    <t>Submit O&amp;M manuals</t>
  </si>
  <si>
    <t>Closeout documentation</t>
  </si>
  <si>
    <t>Submit warranties and final billings</t>
  </si>
  <si>
    <t>Contract completion</t>
  </si>
  <si>
    <t>Complete employee evaluations</t>
  </si>
  <si>
    <t>People accountability</t>
  </si>
  <si>
    <t>Follow SOPs and directives</t>
  </si>
  <si>
    <t>Process discipline</t>
  </si>
  <si>
    <t>Participate in ongoing PM training</t>
  </si>
  <si>
    <t>Core Mission &amp; Workforce Strategy</t>
  </si>
  <si>
    <t>WORK</t>
  </si>
  <si>
    <t>Workforce Strategy</t>
  </si>
  <si>
    <t>Develop and maintain a skilled branch workforce</t>
  </si>
  <si>
    <t>Workforce planning leadership</t>
  </si>
  <si>
    <t>Organizational Leadership</t>
  </si>
  <si>
    <t>Support safe, timely, and profitable project execution</t>
  </si>
  <si>
    <t>Operational alignment</t>
  </si>
  <si>
    <t>Advocate for both GSL and its employees</t>
  </si>
  <si>
    <t>Balanced leadership judgment</t>
  </si>
  <si>
    <t>Manpower Planning &amp; Allocation</t>
  </si>
  <si>
    <t>MAN</t>
  </si>
  <si>
    <t>Manpower Planning</t>
  </si>
  <si>
    <t>Coordinate manpower assignments across projects</t>
  </si>
  <si>
    <t>Coordinate daily with PMs and Foremen on manpower needs</t>
  </si>
  <si>
    <t>Real-time manpower coordination</t>
  </si>
  <si>
    <t>Attend weekly PM meetings to address manpower issues</t>
  </si>
  <si>
    <t>Cross-team manpower communication</t>
  </si>
  <si>
    <t>Update manpower projections weekly</t>
  </si>
  <si>
    <t>Workforce forecasting</t>
  </si>
  <si>
    <t>Apprenticeship &amp; Talent Development</t>
  </si>
  <si>
    <t>APP</t>
  </si>
  <si>
    <t>Apprenticeship Management</t>
  </si>
  <si>
    <t>Oversee branch apprenticeship program</t>
  </si>
  <si>
    <t>Apprenticeship program leadership</t>
  </si>
  <si>
    <t>Ensure apprentice levels meet branch targets</t>
  </si>
  <si>
    <t>Apprentice progression oversight</t>
  </si>
  <si>
    <t>Conduct annual apprentice reviews</t>
  </si>
  <si>
    <t>Formal apprentice evaluation</t>
  </si>
  <si>
    <t>Ensure six-month apprentice reviews are completed</t>
  </si>
  <si>
    <t>Evaluation compliance enforcement</t>
  </si>
  <si>
    <t>Licensing &amp; Compliance Tracking</t>
  </si>
  <si>
    <t>LIC</t>
  </si>
  <si>
    <t>Licensing Compliance</t>
  </si>
  <si>
    <t>Track journeyman-to-apprentice ratios</t>
  </si>
  <si>
    <t>Ratio compliance management</t>
  </si>
  <si>
    <t>Track electrical licenses and renewals</t>
  </si>
  <si>
    <t>License compliance tracking</t>
  </si>
  <si>
    <t>Track continuing education requirements</t>
  </si>
  <si>
    <t>CEU compliance monitoring</t>
  </si>
  <si>
    <t>Training &amp; Leadership Development</t>
  </si>
  <si>
    <t>Training &amp; Development</t>
  </si>
  <si>
    <t>Coordinate training for field leadership</t>
  </si>
  <si>
    <t>Leadership development coordination</t>
  </si>
  <si>
    <t>Coordinate training for field employees</t>
  </si>
  <si>
    <t>Workforce skill development</t>
  </si>
  <si>
    <t>Support succession planning across roles</t>
  </si>
  <si>
    <t>Talent pipeline development</t>
  </si>
  <si>
    <t>Policy &amp; Safety Enforcement</t>
  </si>
  <si>
    <t>Policy Enforcement</t>
  </si>
  <si>
    <t>Enforce GSL General Policies and Procedures</t>
  </si>
  <si>
    <t>Policy compliance leadership</t>
  </si>
  <si>
    <t>Safety Compliance</t>
  </si>
  <si>
    <t>Enforce GSL Safety Policies and Procedures</t>
  </si>
  <si>
    <t>Safety governance</t>
  </si>
  <si>
    <t>Support site-specific safety enforcement</t>
  </si>
  <si>
    <t>Site safety support</t>
  </si>
  <si>
    <t>Field Presence &amp; Employee Engagement</t>
  </si>
  <si>
    <t>FIELD</t>
  </si>
  <si>
    <t>Field Engagement</t>
  </si>
  <si>
    <t>Participate in jobsite visits</t>
  </si>
  <si>
    <t>Field leadership visibility</t>
  </si>
  <si>
    <t>Engage directly with employees and leadership</t>
  </si>
  <si>
    <t>Employee advocacy</t>
  </si>
  <si>
    <t>Timekeeping &amp; Payroll Oversight</t>
  </si>
  <si>
    <t>Payroll Oversight</t>
  </si>
  <si>
    <t>Review and submit weekly timecards</t>
  </si>
  <si>
    <t>Timecard accuracy</t>
  </si>
  <si>
    <t>Account for all field employee hours</t>
  </si>
  <si>
    <t>Time accountability</t>
  </si>
  <si>
    <t>Resolve missing or incorrect time submissions</t>
  </si>
  <si>
    <t>Payroll issue resolution</t>
  </si>
  <si>
    <t>Expense &amp; Asset Management</t>
  </si>
  <si>
    <t>EXP</t>
  </si>
  <si>
    <t>Expense Management</t>
  </si>
  <si>
    <t>Review and approve cash expense reports</t>
  </si>
  <si>
    <t>Review and approve Visa expense reports</t>
  </si>
  <si>
    <t>Credit expense oversight</t>
  </si>
  <si>
    <t>FLEET</t>
  </si>
  <si>
    <t>Fleet Management</t>
  </si>
  <si>
    <t>Oversee branch vehicle fleet</t>
  </si>
  <si>
    <t>Fleet administration</t>
  </si>
  <si>
    <t>Coordinate vehicle purchases, repairs, and registration</t>
  </si>
  <si>
    <t>Fleet lifecycle management</t>
  </si>
  <si>
    <t>Cross-Functional Coordination</t>
  </si>
  <si>
    <t>Coordinate with Branch Management and COO</t>
  </si>
  <si>
    <t>Executive coordination</t>
  </si>
  <si>
    <t>Support Project Management and Field Leadership</t>
  </si>
  <si>
    <t>Operational support leadership</t>
  </si>
  <si>
    <t>Maintain knowledge of employment laws</t>
  </si>
  <si>
    <t>Regulatory awareness</t>
  </si>
  <si>
    <t>Pursue leadership and management development</t>
  </si>
  <si>
    <t>Executive growth</t>
  </si>
  <si>
    <t>Fiduciary Duties (Core &amp; Non-Negotiable)</t>
  </si>
  <si>
    <t>BOD</t>
  </si>
  <si>
    <t>FID</t>
  </si>
  <si>
    <t>Fiduciary Duty</t>
  </si>
  <si>
    <t>Duty of Care</t>
  </si>
  <si>
    <t>Exercise informed, independent judgment</t>
  </si>
  <si>
    <t>Informed decision-making</t>
  </si>
  <si>
    <t>Participate actively in board decisions</t>
  </si>
  <si>
    <t>Active governance participation</t>
  </si>
  <si>
    <t>Duty of Loyalty</t>
  </si>
  <si>
    <t>Place company interests above personal interests</t>
  </si>
  <si>
    <t>Conflict-of-interest management</t>
  </si>
  <si>
    <t>Avoid self-dealing or undue influence</t>
  </si>
  <si>
    <t>Ethical integrity</t>
  </si>
  <si>
    <t>Duty of Obedience</t>
  </si>
  <si>
    <t>Ensure compliance with laws and regulations</t>
  </si>
  <si>
    <t>Regulatory compliance oversight</t>
  </si>
  <si>
    <t>Ensure adherence to company mission and policies</t>
  </si>
  <si>
    <t>Mission stewardship</t>
  </si>
  <si>
    <t>Strategic Governance &amp; Oversight</t>
  </si>
  <si>
    <t>STRAT</t>
  </si>
  <si>
    <t>Strategic Governance</t>
  </si>
  <si>
    <t>Set company strategic direction</t>
  </si>
  <si>
    <t>Long-term strategic planning</t>
  </si>
  <si>
    <t>Approve and monitor strategic plan</t>
  </si>
  <si>
    <t>Strategy execution oversight</t>
  </si>
  <si>
    <t>Evaluate organizational performance</t>
  </si>
  <si>
    <t>Enterprise performance evaluation</t>
  </si>
  <si>
    <t>Executive Leadership &amp; Accountability</t>
  </si>
  <si>
    <t>EXEC</t>
  </si>
  <si>
    <t>Executive Oversight</t>
  </si>
  <si>
    <t>Select and appoint executive officers</t>
  </si>
  <si>
    <t>Executive selection</t>
  </si>
  <si>
    <t>Evaluate executive officer performance</t>
  </si>
  <si>
    <t>Executive performance evaluation</t>
  </si>
  <si>
    <t>Support executive leadership while maintaining independence</t>
  </si>
  <si>
    <t>Leadership accountability balance</t>
  </si>
  <si>
    <t>Financial Oversight &amp; Resource Stewardship</t>
  </si>
  <si>
    <t>Financial Oversight</t>
  </si>
  <si>
    <t>Review financial reports</t>
  </si>
  <si>
    <t>Financial literacy</t>
  </si>
  <si>
    <t>Ensure financial controls and accountability</t>
  </si>
  <si>
    <t>Financial governance</t>
  </si>
  <si>
    <t>Manage organizational resources responsibly</t>
  </si>
  <si>
    <t>Resource stewardship</t>
  </si>
  <si>
    <t>Legal, Ethical, &amp; Policy Compliance</t>
  </si>
  <si>
    <t>Ethics &amp; Compliance</t>
  </si>
  <si>
    <t>Ensure ethical integrity of the organization</t>
  </si>
  <si>
    <t>Ethical governance</t>
  </si>
  <si>
    <t>Legal oversight</t>
  </si>
  <si>
    <t>Policy Governance</t>
  </si>
  <si>
    <t>Govern according to company policies and procedures</t>
  </si>
  <si>
    <t>Policy adherence oversight</t>
  </si>
  <si>
    <t>Board Operations &amp; Effectiveness</t>
  </si>
  <si>
    <t>Board Governance</t>
  </si>
  <si>
    <t>Prepare for and attend board meetings</t>
  </si>
  <si>
    <t>Meeting preparedness</t>
  </si>
  <si>
    <t>Participate actively in deliberations</t>
  </si>
  <si>
    <t>Critical questioning</t>
  </si>
  <si>
    <t>Read and evaluate reports and minutes</t>
  </si>
  <si>
    <t>Analytical review skills</t>
  </si>
  <si>
    <t>Assess board effectiveness</t>
  </si>
  <si>
    <t>Self-governance evaluation</t>
  </si>
  <si>
    <t>Confidentiality &amp; Advocacy</t>
  </si>
  <si>
    <t>CONF</t>
  </si>
  <si>
    <t>Confidentiality</t>
  </si>
  <si>
    <t>Maintain confidentiality of board matters</t>
  </si>
  <si>
    <t>Information stewardship</t>
  </si>
  <si>
    <t>ADV</t>
  </si>
  <si>
    <t>Advocacy</t>
  </si>
  <si>
    <t>Support and advocate final board decisions</t>
  </si>
  <si>
    <t>Unified governance voice</t>
  </si>
  <si>
    <t>Serve as ambassadors for GSL Electric</t>
  </si>
  <si>
    <t>Organizational advocacy</t>
  </si>
  <si>
    <t>Chairman of the Board (Additional Skills)</t>
  </si>
  <si>
    <t>BOD-CH</t>
  </si>
  <si>
    <t>Chairman of the Board</t>
  </si>
  <si>
    <t>Board Leadership</t>
  </si>
  <si>
    <t>Set board agendas</t>
  </si>
  <si>
    <t>Agenda planning</t>
  </si>
  <si>
    <t>Facilitate board meetings</t>
  </si>
  <si>
    <t>OPS</t>
  </si>
  <si>
    <t>Operational Awareness</t>
  </si>
  <si>
    <t>Understand day-to-day company operations</t>
  </si>
  <si>
    <t>Operational literacy</t>
  </si>
  <si>
    <t>Board Member Development</t>
  </si>
  <si>
    <t>Board Development</t>
  </si>
  <si>
    <t>Participate in required board training</t>
  </si>
  <si>
    <t>Governance education</t>
  </si>
  <si>
    <t>Continually improve governance skills</t>
  </si>
  <si>
    <t>Operational Leadership &amp; Accountability</t>
  </si>
  <si>
    <t>Chief Operations Officer</t>
  </si>
  <si>
    <t>Operational Leadership</t>
  </si>
  <si>
    <t>Oversee company-wide operations</t>
  </si>
  <si>
    <t>Enterprise operations oversight</t>
  </si>
  <si>
    <t>Establish operational policies and procedures</t>
  </si>
  <si>
    <t>Operational policy development</t>
  </si>
  <si>
    <t>ACC</t>
  </si>
  <si>
    <t>Hold branch and field leadership accountable</t>
  </si>
  <si>
    <t>Branch &amp; Field Operations Oversight</t>
  </si>
  <si>
    <t>BRANCH</t>
  </si>
  <si>
    <t>Branch Operations</t>
  </si>
  <si>
    <t>Direct responsibility for branch operations</t>
  </si>
  <si>
    <t>Branch performance oversight</t>
  </si>
  <si>
    <t>Field Operations</t>
  </si>
  <si>
    <t>Oversee all field operations</t>
  </si>
  <si>
    <t>Field execution leadership</t>
  </si>
  <si>
    <t>Ensure effective project procurement and startup</t>
  </si>
  <si>
    <t>Project initiation governance</t>
  </si>
  <si>
    <t>Oversee preconstruction and prefabrication strategies</t>
  </si>
  <si>
    <t>Operational integration</t>
  </si>
  <si>
    <t>Oversee project performance and closeout</t>
  </si>
  <si>
    <t>Project lifecycle governance</t>
  </si>
  <si>
    <t>Strategic Planning &amp; Execution</t>
  </si>
  <si>
    <t>Strategic Planning</t>
  </si>
  <si>
    <t>Translate board and CEO goals into operations</t>
  </si>
  <si>
    <t>Strategy execution alignment</t>
  </si>
  <si>
    <t>Develop operational infrastructure plans</t>
  </si>
  <si>
    <t>Operational strategy development</t>
  </si>
  <si>
    <t>Make sound decisions under pressure</t>
  </si>
  <si>
    <t>Executive judgment</t>
  </si>
  <si>
    <t>Revenue, Profitability &amp; Performance</t>
  </si>
  <si>
    <t>Achieve revenue and profitability targets</t>
  </si>
  <si>
    <t>Financial performance leadership</t>
  </si>
  <si>
    <t>Monitor operational KPIs and metrics</t>
  </si>
  <si>
    <t>Performance analytics</t>
  </si>
  <si>
    <t>CASH</t>
  </si>
  <si>
    <t>Cash Flow</t>
  </si>
  <si>
    <t>Manage operational cash flow impacts</t>
  </si>
  <si>
    <t>Standard Operating Procedures &amp; Governance</t>
  </si>
  <si>
    <t>SOP</t>
  </si>
  <si>
    <t>SOP Governance</t>
  </si>
  <si>
    <t>Develop and maintain SOPs</t>
  </si>
  <si>
    <t>SOP lifecycle management</t>
  </si>
  <si>
    <t>Ensure SOP implementation across operations</t>
  </si>
  <si>
    <t>Process compliance enforcement</t>
  </si>
  <si>
    <t>Support implementation of management directives</t>
  </si>
  <si>
    <t>Governance execution</t>
  </si>
  <si>
    <t>Training, Development &amp; Succession</t>
  </si>
  <si>
    <t>Training Strategy</t>
  </si>
  <si>
    <t>Develop operations training plans</t>
  </si>
  <si>
    <t>Training architecture design</t>
  </si>
  <si>
    <t>Oversee leadership training programs</t>
  </si>
  <si>
    <t>Leadership development governance</t>
  </si>
  <si>
    <t>SUCC</t>
  </si>
  <si>
    <t>Succession Planning</t>
  </si>
  <si>
    <t>Identify future manpower and leadership needs</t>
  </si>
  <si>
    <t>Talent forecasting</t>
  </si>
  <si>
    <t>Develop plans to meet future leadership demand</t>
  </si>
  <si>
    <t>Succession pipeline development</t>
  </si>
  <si>
    <t>Lean Construction &amp; Continuous Improvement</t>
  </si>
  <si>
    <t>Advocate lean construction techniques</t>
  </si>
  <si>
    <t>Lean leadership advocacy</t>
  </si>
  <si>
    <t>Continuous Improvement</t>
  </si>
  <si>
    <t>Drive continual operational improvement</t>
  </si>
  <si>
    <t>INNOV</t>
  </si>
  <si>
    <t>Innovation</t>
  </si>
  <si>
    <t>Encourage innovation in field operations</t>
  </si>
  <si>
    <t>Operational innovation</t>
  </si>
  <si>
    <t>Manpower, Morale &amp; Safety</t>
  </si>
  <si>
    <t>Manpower Strategy</t>
  </si>
  <si>
    <t>Monitor current manpower and leadership needs</t>
  </si>
  <si>
    <t>Workforce analytics</t>
  </si>
  <si>
    <t>MORALE</t>
  </si>
  <si>
    <t>Employee Engagement</t>
  </si>
  <si>
    <t>Monitor employee morale and workforce quality</t>
  </si>
  <si>
    <t>Workforce engagement leadership</t>
  </si>
  <si>
    <t>Safety Governance</t>
  </si>
  <si>
    <t>Ensure safety program implementation</t>
  </si>
  <si>
    <t>Safety program leadership</t>
  </si>
  <si>
    <t>Licensing &amp; Regulatory Oversight</t>
  </si>
  <si>
    <t>Licensing Oversight</t>
  </si>
  <si>
    <t>Oversee electrical licenses in all states</t>
  </si>
  <si>
    <t>Multi-state license governance</t>
  </si>
  <si>
    <t>Ensure compliance with labor laws and regulations</t>
  </si>
  <si>
    <t>Cross-Functional Business Acumen</t>
  </si>
  <si>
    <t>BUS</t>
  </si>
  <si>
    <t>Business Acumen</t>
  </si>
  <si>
    <t>Understand estimating, PM, HR, IT, finance</t>
  </si>
  <si>
    <t>Enterprise business literacy</t>
  </si>
  <si>
    <t>Data &amp; Metrics</t>
  </si>
  <si>
    <t>Interpret operational and performance data</t>
  </si>
  <si>
    <t>Data-driven leadership</t>
  </si>
  <si>
    <t>Executive Presence &amp; Representation</t>
  </si>
  <si>
    <t>Executive Presence</t>
  </si>
  <si>
    <t>Represent company internally and externally</t>
  </si>
  <si>
    <t>Executive representation</t>
  </si>
  <si>
    <t>Executive Communication</t>
  </si>
  <si>
    <t>Present clearly to executives and stakeholders</t>
  </si>
  <si>
    <t>Maintain executive and industry competency</t>
  </si>
  <si>
    <t>Executive continuous learning</t>
  </si>
  <si>
    <t>Pursue leadership and management growth</t>
  </si>
  <si>
    <t>Executive development</t>
  </si>
  <si>
    <t>Safety Governance &amp; Branch Oversight</t>
  </si>
  <si>
    <t>Implement branch safety programs</t>
  </si>
  <si>
    <t>Safety program execution</t>
  </si>
  <si>
    <t>Promote branch-wide safety culture</t>
  </si>
  <si>
    <t>Safety leadership influence</t>
  </si>
  <si>
    <t>Serve on Safety Committee</t>
  </si>
  <si>
    <t>Safety governance participation</t>
  </si>
  <si>
    <t>Ensure OSHA and regulatory compliance</t>
  </si>
  <si>
    <t>Regulatory enforcement</t>
  </si>
  <si>
    <t>Monitor federal, state, and local safety regulations</t>
  </si>
  <si>
    <t>Conduct safety inspections and audits</t>
  </si>
  <si>
    <t>Safety auditing</t>
  </si>
  <si>
    <t>Identify hazards and non-compliance</t>
  </si>
  <si>
    <t>Hazard recognition</t>
  </si>
  <si>
    <t>Recommend corrective measures</t>
  </si>
  <si>
    <t>Incident &amp; Claims Investigation</t>
  </si>
  <si>
    <t>Conduct accident investigations</t>
  </si>
  <si>
    <t>Incident investigation</t>
  </si>
  <si>
    <t>Analyze loss trends</t>
  </si>
  <si>
    <t>Loss trend analysis</t>
  </si>
  <si>
    <t>Recommend loss prevention measures</t>
  </si>
  <si>
    <t>Training &amp; Coaching</t>
  </si>
  <si>
    <t>Safety Training</t>
  </si>
  <si>
    <t>Deliver safety and loss prevention training</t>
  </si>
  <si>
    <t>Conduct one-on-one reviews with Safety Coordinators</t>
  </si>
  <si>
    <t>Discipline &amp; Enforcement</t>
  </si>
  <si>
    <t>DISC</t>
  </si>
  <si>
    <t>Discipline</t>
  </si>
  <si>
    <t>Administer safety discipline per policy</t>
  </si>
  <si>
    <t>Policy-based discipline</t>
  </si>
  <si>
    <t>Ensure consistent enforcement across branch</t>
  </si>
  <si>
    <t>Document inspections and incidents</t>
  </si>
  <si>
    <t>Safety documentation</t>
  </si>
  <si>
    <t>Report safety conditions and trends to committee</t>
  </si>
  <si>
    <t>Safety reporting</t>
  </si>
  <si>
    <t>Enterprise Safety Leadership</t>
  </si>
  <si>
    <t>Safety Director</t>
  </si>
  <si>
    <t>Serve as primary Loss Control Officer</t>
  </si>
  <si>
    <t>Enterprise safety leadership</t>
  </si>
  <si>
    <t>Develop and promote company-wide safety culture</t>
  </si>
  <si>
    <t>Culture leadership</t>
  </si>
  <si>
    <t>Executive Leadership</t>
  </si>
  <si>
    <t>Report directly to President and Executive Committee</t>
  </si>
  <si>
    <t>Executive accountability</t>
  </si>
  <si>
    <t>Loss Control Program Development</t>
  </si>
  <si>
    <t>LCP</t>
  </si>
  <si>
    <t>Loss Control Program</t>
  </si>
  <si>
    <t>Develop GSL Loss Control Program</t>
  </si>
  <si>
    <t>Program architecture</t>
  </si>
  <si>
    <t>Update safety policies and procedures</t>
  </si>
  <si>
    <t>Program maintenance</t>
  </si>
  <si>
    <t>Ensure company-wide implementation</t>
  </si>
  <si>
    <t>Program enforcement</t>
  </si>
  <si>
    <t>Training Strategy &amp; Records</t>
  </si>
  <si>
    <t>Develop enterprise safety training programs</t>
  </si>
  <si>
    <t>Training design</t>
  </si>
  <si>
    <t>Ensure training quality and timeliness</t>
  </si>
  <si>
    <t>Training governance</t>
  </si>
  <si>
    <t>Maintain complete safety and training records</t>
  </si>
  <si>
    <t>Records governance</t>
  </si>
  <si>
    <t>Branch Oversight &amp; Leadership</t>
  </si>
  <si>
    <t>OVR</t>
  </si>
  <si>
    <t>Branch Oversight</t>
  </si>
  <si>
    <t>Supervise Branch Safety Superintendents</t>
  </si>
  <si>
    <t>Leadership oversight</t>
  </si>
  <si>
    <t>Ensure branch safety execution consistency</t>
  </si>
  <si>
    <t>Enterprise consistency</t>
  </si>
  <si>
    <t>Accident Prevention &amp; Audits</t>
  </si>
  <si>
    <t>Audits</t>
  </si>
  <si>
    <t>Conduct or oversee safety audits</t>
  </si>
  <si>
    <t>Audit governance</t>
  </si>
  <si>
    <t>Ensure corrective actions are implemented</t>
  </si>
  <si>
    <t>Audit follow-through</t>
  </si>
  <si>
    <t>Case Management &amp; Claims</t>
  </si>
  <si>
    <t>CASE</t>
  </si>
  <si>
    <t>Case Management</t>
  </si>
  <si>
    <t>Manage workers’ compensation claims</t>
  </si>
  <si>
    <t>Claims management</t>
  </si>
  <si>
    <t>Manage general liability and auto claims</t>
  </si>
  <si>
    <t>Insurance governance</t>
  </si>
  <si>
    <t>Investigate theft and vandalism cases</t>
  </si>
  <si>
    <t>Loss recovery</t>
  </si>
  <si>
    <t>Executive Reporting &amp; Governance</t>
  </si>
  <si>
    <t>Chair Safety Committee</t>
  </si>
  <si>
    <t>Governance leadership</t>
  </si>
  <si>
    <t>Participate on Executive Committee</t>
  </si>
  <si>
    <t>Executive governance</t>
  </si>
  <si>
    <t>Report safety metrics and trends to executives</t>
  </si>
  <si>
    <t>Professional &amp; Technical Competence</t>
  </si>
  <si>
    <t>Technical Knowledge</t>
  </si>
  <si>
    <t>Maintain electrical trade safety knowledge</t>
  </si>
  <si>
    <t>Trade-specific safety expertise</t>
  </si>
  <si>
    <t>Stay current with safety trends and regulations</t>
  </si>
  <si>
    <t>Industry awareness</t>
  </si>
  <si>
    <t>IT</t>
  </si>
  <si>
    <t>Use safety systems and enterprise software</t>
  </si>
  <si>
    <t>Safety systems proficiency</t>
  </si>
  <si>
    <t>Advance safety leadership capabilities</t>
  </si>
  <si>
    <t>Governance &amp; Board Leadership</t>
  </si>
  <si>
    <t>Chief Executive Officer</t>
  </si>
  <si>
    <t>Chair Board of Directors</t>
  </si>
  <si>
    <t>Board leadership</t>
  </si>
  <si>
    <t>Adhere to corporate bylaws</t>
  </si>
  <si>
    <t>Governance compliance</t>
  </si>
  <si>
    <t>Ensure proper corporate governance</t>
  </si>
  <si>
    <t>Governance oversight</t>
  </si>
  <si>
    <t>Strategy, Vision &amp; Culture</t>
  </si>
  <si>
    <t>Strategy</t>
  </si>
  <si>
    <t>Develop and update Business Model</t>
  </si>
  <si>
    <t>Strategic planning</t>
  </si>
  <si>
    <t>Develop Five-Year Plan</t>
  </si>
  <si>
    <t>Long-term planning</t>
  </si>
  <si>
    <t>CULT</t>
  </si>
  <si>
    <t>Align culture with mission and values</t>
  </si>
  <si>
    <t>Cultural leadership</t>
  </si>
  <si>
    <t>Executive Leadership &amp; Risk</t>
  </si>
  <si>
    <t>Lead Executive Committee</t>
  </si>
  <si>
    <t>Develop enterprise risk management program</t>
  </si>
  <si>
    <t>Oversee insurance programs</t>
  </si>
  <si>
    <t>Insurance oversight</t>
  </si>
  <si>
    <t>Compensation, ESOP &amp; Trustee Duties</t>
  </si>
  <si>
    <t>Compensation</t>
  </si>
  <si>
    <t>Develop compensation plans</t>
  </si>
  <si>
    <t>Compensation strategy</t>
  </si>
  <si>
    <t>ESOP</t>
  </si>
  <si>
    <t>ESOP Administration</t>
  </si>
  <si>
    <t>Serve as ESOP Plan Administrator</t>
  </si>
  <si>
    <t>ESOP fiduciary management</t>
  </si>
  <si>
    <t>Serve as ESOP Trustee</t>
  </si>
  <si>
    <t>Trustee responsibility</t>
  </si>
  <si>
    <t>Communication &amp; Representation</t>
  </si>
  <si>
    <t>Communicate with Board and investors</t>
  </si>
  <si>
    <t>Conduct quarterly progress meetings</t>
  </si>
  <si>
    <t>Organizational communication</t>
  </si>
  <si>
    <t>Visit jobsites regularly</t>
  </si>
  <si>
    <t>Leadership visibility</t>
  </si>
  <si>
    <t>Business Development &amp; Growth</t>
  </si>
  <si>
    <t>BD</t>
  </si>
  <si>
    <t>Business Development</t>
  </si>
  <si>
    <t>Develop marketing and BD strategy</t>
  </si>
  <si>
    <t>Growth planning</t>
  </si>
  <si>
    <t>Execute BD plan within budget</t>
  </si>
  <si>
    <t>Budgeted growth execution</t>
  </si>
  <si>
    <t>Marketing &amp; Brand Management</t>
  </si>
  <si>
    <t>MKT</t>
  </si>
  <si>
    <t>Marketing</t>
  </si>
  <si>
    <t>Oversee company website updates</t>
  </si>
  <si>
    <t>Digital brand management</t>
  </si>
  <si>
    <t>Control marketing materials and prequals</t>
  </si>
  <si>
    <t>Brand consistency</t>
  </si>
  <si>
    <t>Oversee client newsletters</t>
  </si>
  <si>
    <t>Client communication</t>
  </si>
  <si>
    <t>Proposal &amp; Contract Oversight</t>
  </si>
  <si>
    <t>PROP</t>
  </si>
  <si>
    <t>Proposal Management</t>
  </si>
  <si>
    <t>Lead proposal efforts when required</t>
  </si>
  <si>
    <t>Proposal leadership</t>
  </si>
  <si>
    <t>Serve as Contract Manager when assigned</t>
  </si>
  <si>
    <t>Contract governance</t>
  </si>
  <si>
    <t>Leadership, Culture &amp; Safety</t>
  </si>
  <si>
    <t>Culture Development</t>
  </si>
  <si>
    <t>Develop company culture</t>
  </si>
  <si>
    <t>Cultural stewardship</t>
  </si>
  <si>
    <t>Safety Oversight</t>
  </si>
  <si>
    <t>Oversee company safety program</t>
  </si>
  <si>
    <t>Supervise Safety Director</t>
  </si>
  <si>
    <t>Safety executive oversight</t>
  </si>
  <si>
    <t>Engagement &amp; Advocacy</t>
  </si>
  <si>
    <t>Lead Marketing &amp; BD Committee</t>
  </si>
  <si>
    <t>Committee leadership</t>
  </si>
  <si>
    <t>Employee engagement</t>
  </si>
  <si>
    <t>Financial Leadership &amp; Reporting</t>
  </si>
  <si>
    <t>Chief Financial Officer</t>
  </si>
  <si>
    <t>Financial Reporting</t>
  </si>
  <si>
    <t>Prepare monthly WIP reports</t>
  </si>
  <si>
    <t>WIP analysis</t>
  </si>
  <si>
    <t>Prepare interim financial statements</t>
  </si>
  <si>
    <t>Financial statement accuracy</t>
  </si>
  <si>
    <t>Provide financial performance updates</t>
  </si>
  <si>
    <t>Banking, Bonding &amp; Insurance</t>
  </si>
  <si>
    <t>Banking</t>
  </si>
  <si>
    <t>Secure and manage lines of credit</t>
  </si>
  <si>
    <t>Banking relationship management</t>
  </si>
  <si>
    <t>BOND</t>
  </si>
  <si>
    <t>Bonding</t>
  </si>
  <si>
    <t>Maintain bonding capacity</t>
  </si>
  <si>
    <t>Bonding strategy</t>
  </si>
  <si>
    <t>INS</t>
  </si>
  <si>
    <t>Insurance</t>
  </si>
  <si>
    <t>Accounting &amp; Controls</t>
  </si>
  <si>
    <t>Accounting</t>
  </si>
  <si>
    <t>Supervise GL, AP, AR, Payroll</t>
  </si>
  <si>
    <t>Accounting oversight</t>
  </si>
  <si>
    <t>Ensure financial controls</t>
  </si>
  <si>
    <t>Internal control enforcement</t>
  </si>
  <si>
    <t>Cash Flow &amp; Investments</t>
  </si>
  <si>
    <t>Cash Management</t>
  </si>
  <si>
    <t>Monitor cash flow</t>
  </si>
  <si>
    <t>Cash flow forecasting</t>
  </si>
  <si>
    <t>Manage investments and interest exposure</t>
  </si>
  <si>
    <t>Capital optimization</t>
  </si>
  <si>
    <t>Compliance &amp; Audit</t>
  </si>
  <si>
    <t>AUD</t>
  </si>
  <si>
    <t>Audit</t>
  </si>
  <si>
    <t>Oversee financial audits</t>
  </si>
  <si>
    <t>TAX</t>
  </si>
  <si>
    <t>Tax Compliance</t>
  </si>
  <si>
    <t>Ensure tax compliance</t>
  </si>
  <si>
    <t>Tax governance</t>
  </si>
  <si>
    <t>Benefits &amp; Compensation Administration</t>
  </si>
  <si>
    <t>Benefits</t>
  </si>
  <si>
    <t>Oversee benefit programs</t>
  </si>
  <si>
    <t>Benefits administration</t>
  </si>
  <si>
    <t>Administer Flex Spending plans</t>
  </si>
  <si>
    <t>Benefits compliance</t>
  </si>
  <si>
    <t>Branch Operations &amp; Accountability</t>
  </si>
  <si>
    <t>Manage all branch office operations</t>
  </si>
  <si>
    <t>Branch operational leadership</t>
  </si>
  <si>
    <t>Ensure alignment with company strategy</t>
  </si>
  <si>
    <t>Strategic execution alignment</t>
  </si>
  <si>
    <t>Hold department leaders accountable</t>
  </si>
  <si>
    <t>Branch leadership accountability</t>
  </si>
  <si>
    <t>Financial Management &amp; Profitability</t>
  </si>
  <si>
    <t>Manage branch profitability</t>
  </si>
  <si>
    <t>P&amp;L ownership</t>
  </si>
  <si>
    <t>Control branch overhead expenses</t>
  </si>
  <si>
    <t>Overhead cost control</t>
  </si>
  <si>
    <t>Monitor cash flow at branch level</t>
  </si>
  <si>
    <t>Review financial and performance reports</t>
  </si>
  <si>
    <t>Estimating &amp; Preconstruction Oversight</t>
  </si>
  <si>
    <t>EST</t>
  </si>
  <si>
    <t>Estimating</t>
  </si>
  <si>
    <t>Oversee project estimates</t>
  </si>
  <si>
    <t>Estimating governance</t>
  </si>
  <si>
    <t>Approve bid strategies</t>
  </si>
  <si>
    <t>Bid strategy leadership</t>
  </si>
  <si>
    <t>Oversee design-build proposals</t>
  </si>
  <si>
    <t>Design-build oversight</t>
  </si>
  <si>
    <t>Project Management Oversight</t>
  </si>
  <si>
    <t>PMO</t>
  </si>
  <si>
    <t>Project Management</t>
  </si>
  <si>
    <t>Oversee project management execution</t>
  </si>
  <si>
    <t>PM performance governance</t>
  </si>
  <si>
    <t>Ensure PM compliance with directives</t>
  </si>
  <si>
    <t>Support resolution of escalated project issues</t>
  </si>
  <si>
    <t>Executive problem solving</t>
  </si>
  <si>
    <t>Department &amp; Personnel Management</t>
  </si>
  <si>
    <t>DEPT</t>
  </si>
  <si>
    <t>Department Management</t>
  </si>
  <si>
    <t>Manage department managers</t>
  </si>
  <si>
    <t>Department leadership</t>
  </si>
  <si>
    <t>HR</t>
  </si>
  <si>
    <t>People Management</t>
  </si>
  <si>
    <t>Ensure staffing aligns with branch needs</t>
  </si>
  <si>
    <t>Workforce planning</t>
  </si>
  <si>
    <t>Ensure employee reviews are completed</t>
  </si>
  <si>
    <t>Performance review compliance</t>
  </si>
  <si>
    <t>General Superintendent &amp; Field Leadership Alignment</t>
  </si>
  <si>
    <t>Coordinate with General Superintendent</t>
  </si>
  <si>
    <t>Field leadership alignment</t>
  </si>
  <si>
    <t>Support manpower planning decisions</t>
  </si>
  <si>
    <t>Manpower strategy support</t>
  </si>
  <si>
    <t>Ensure safety policies are enforced</t>
  </si>
  <si>
    <t>Client Relations &amp; Business Development</t>
  </si>
  <si>
    <t>Maintain key client relationships</t>
  </si>
  <si>
    <t>Support business development initiatives</t>
  </si>
  <si>
    <t>Market growth support</t>
  </si>
  <si>
    <t>Represent branch in meetings</t>
  </si>
  <si>
    <t>Client and stakeholder communication</t>
  </si>
  <si>
    <t>Policy, Compliance &amp; Governance</t>
  </si>
  <si>
    <t>Ensure compliance with contracts and regulations</t>
  </si>
  <si>
    <t>Support leadership training programs</t>
  </si>
  <si>
    <t>Talent development support</t>
  </si>
  <si>
    <t>Identify future leadership needs</t>
  </si>
  <si>
    <t>Succession forecasting</t>
  </si>
  <si>
    <t>Executive Coordination &amp; Reporting</t>
  </si>
  <si>
    <t>Executive Coordination</t>
  </si>
  <si>
    <t>Coordinate with COO and President</t>
  </si>
  <si>
    <t>Executive alignment</t>
  </si>
  <si>
    <t>Report branch performance metrics</t>
  </si>
  <si>
    <t>Maintain branch leadership competency</t>
  </si>
  <si>
    <t>Participate in advanced management training</t>
  </si>
  <si>
    <t>Enterprise Operations Leadership</t>
  </si>
  <si>
    <t>Operations Leadership</t>
  </si>
  <si>
    <t>Oversee all branch operations</t>
  </si>
  <si>
    <t>Provide leadership to Branch Managers</t>
  </si>
  <si>
    <t>Senior leadership direction</t>
  </si>
  <si>
    <t>Ensure operational consistency across branches</t>
  </si>
  <si>
    <t>Process standardization</t>
  </si>
  <si>
    <t>Financial Performance &amp; Business Results</t>
  </si>
  <si>
    <t>P&amp;L strategy leadership</t>
  </si>
  <si>
    <t>Manage cash flow performance</t>
  </si>
  <si>
    <t>Cash flow optimization</t>
  </si>
  <si>
    <t>Interpret operational financial data</t>
  </si>
  <si>
    <t>Financial analysis</t>
  </si>
  <si>
    <t>Field Operations Governance</t>
  </si>
  <si>
    <t>Oversee project procurement and startup</t>
  </si>
  <si>
    <t>Oversee prefabrication program</t>
  </si>
  <si>
    <t>Prefab strategy leadership</t>
  </si>
  <si>
    <t>Ensure effective project performance</t>
  </si>
  <si>
    <t>Productivity optimization</t>
  </si>
  <si>
    <t>Oversee project closeout execution</t>
  </si>
  <si>
    <t>Closeout compliance</t>
  </si>
  <si>
    <t>Policy, Process &amp; SOP Development</t>
  </si>
  <si>
    <t>Standard Operating Procedures</t>
  </si>
  <si>
    <t>Develop and enforce SOPs</t>
  </si>
  <si>
    <t>Ensure implementation of Management Directives</t>
  </si>
  <si>
    <t>Directive enforcement</t>
  </si>
  <si>
    <t>Lead Operations Committee</t>
  </si>
  <si>
    <t>Process leadership</t>
  </si>
  <si>
    <t>Develop operations training plan</t>
  </si>
  <si>
    <t>Training strategy development</t>
  </si>
  <si>
    <t>Oversee leadership certification programs</t>
  </si>
  <si>
    <t>Leadership pipeline development</t>
  </si>
  <si>
    <t>Talent pipeline planning</t>
  </si>
  <si>
    <t>Drive continuous improvement initiatives</t>
  </si>
  <si>
    <t>Operational excellence mindset</t>
  </si>
  <si>
    <t>People, Culture &amp; Workforce Health</t>
  </si>
  <si>
    <t>People Leadership</t>
  </si>
  <si>
    <t>Monitor employee morale and engagement</t>
  </si>
  <si>
    <t>Organizational health awareness</t>
  </si>
  <si>
    <t>Ensure safety program effectiveness</t>
  </si>
  <si>
    <t>Assess quality of workforce</t>
  </si>
  <si>
    <t>Talent quality evaluation</t>
  </si>
  <si>
    <t>Executive Collaboration &amp; Governance</t>
  </si>
  <si>
    <t>Support CEO in achieving Board objectives</t>
  </si>
  <si>
    <t>Executive partnership</t>
  </si>
  <si>
    <t>Collaborate with senior leadership teams</t>
  </si>
  <si>
    <t>Cross-functional leadership</t>
  </si>
  <si>
    <t>Decision-Making &amp; Strategic Thinking</t>
  </si>
  <si>
    <t>Strategic execution planning</t>
  </si>
  <si>
    <t>Compliance, Licensing &amp; Risk</t>
  </si>
  <si>
    <t>Oversee electrical licensing across states</t>
  </si>
  <si>
    <t>Identify operational risks</t>
  </si>
  <si>
    <t>Represent company professionally</t>
  </si>
  <si>
    <t>Public representation</t>
  </si>
  <si>
    <t>Deliver presentations and messaging</t>
  </si>
  <si>
    <t>Professional Development &amp; Capability</t>
  </si>
  <si>
    <t>Maintain operational mastery</t>
  </si>
  <si>
    <t>Continuous learning mindset</t>
  </si>
  <si>
    <t>Use enterprise software tools effectively</t>
  </si>
  <si>
    <t>Digital fluency</t>
  </si>
  <si>
    <t>CADREV</t>
  </si>
  <si>
    <t>CAD &amp; REVIT Operator</t>
  </si>
  <si>
    <t>DRAW</t>
  </si>
  <si>
    <t>Drawing Production</t>
  </si>
  <si>
    <t>Produce electrical drawings</t>
  </si>
  <si>
    <t>Drafting accuracy</t>
  </si>
  <si>
    <t>Drawings minimize field engineering</t>
  </si>
  <si>
    <t>Field constructability awareness</t>
  </si>
  <si>
    <t>BIM Modeling</t>
  </si>
  <si>
    <t>Assist in BIM modeling</t>
  </si>
  <si>
    <t>BIM modeling fundamentals</t>
  </si>
  <si>
    <t>CAD</t>
  </si>
  <si>
    <t>CAD Tools</t>
  </si>
  <si>
    <t>Operate CAD tools efficiently</t>
  </si>
  <si>
    <t>CAD proficiency</t>
  </si>
  <si>
    <t>RVT</t>
  </si>
  <si>
    <t>REVIT Tools</t>
  </si>
  <si>
    <t>Operate REVIT tools efficiently</t>
  </si>
  <si>
    <t>REVIT proficiency</t>
  </si>
  <si>
    <t>Work under direction of designers/estimators/engineers</t>
  </si>
  <si>
    <t>Follow technical direction</t>
  </si>
  <si>
    <t>Clarify drawing intent and conflicts</t>
  </si>
  <si>
    <t>Estimating Process</t>
  </si>
  <si>
    <t>Follow estimating policies and procedures</t>
  </si>
  <si>
    <t>Bid Quality</t>
  </si>
  <si>
    <t>Produce complete and accurate pricing</t>
  </si>
  <si>
    <t>Pricing accuracy</t>
  </si>
  <si>
    <t>PROF</t>
  </si>
  <si>
    <t>Profitability</t>
  </si>
  <si>
    <t>Support profitable work procurement</t>
  </si>
  <si>
    <t>Profit awareness</t>
  </si>
  <si>
    <t>Coordinate with Dept Mgr / Branch Mgr</t>
  </si>
  <si>
    <t>Stakeholder coordination</t>
  </si>
  <si>
    <t>NARR</t>
  </si>
  <si>
    <t>Proposal Narrative</t>
  </si>
  <si>
    <t>Support customized estimate narratives</t>
  </si>
  <si>
    <t>Narrative support</t>
  </si>
  <si>
    <t>Risk Evaluation</t>
  </si>
  <si>
    <t>Support labor risk ratio considerations</t>
  </si>
  <si>
    <t>Labor risk awareness</t>
  </si>
  <si>
    <t>Coordinate with Branch Manager on final pricing</t>
  </si>
  <si>
    <t>Pricing coordination</t>
  </si>
  <si>
    <t>Coordinate customized narratives with Marketing/BD</t>
  </si>
  <si>
    <t>Narrative coordination</t>
  </si>
  <si>
    <t>Estimating Governance</t>
  </si>
  <si>
    <t>Ensure estimating process adherence</t>
  </si>
  <si>
    <t>Ensure bids are complete and accurate</t>
  </si>
  <si>
    <t>Bid quality control</t>
  </si>
  <si>
    <t>Evaluate labor/overhead/profit parameters</t>
  </si>
  <si>
    <t>Commercial judgment</t>
  </si>
  <si>
    <t>Support procurement strategy with BD/Marketing</t>
  </si>
  <si>
    <t>Market coordination</t>
  </si>
  <si>
    <t>Drive estimate narrative customization</t>
  </si>
  <si>
    <t>Narrative leadership</t>
  </si>
  <si>
    <t>Estimating Leadership</t>
  </si>
  <si>
    <t>Lead estimating efforts for department</t>
  </si>
  <si>
    <t>Estimating leadership</t>
  </si>
  <si>
    <t>Review bids for completeness and accuracy</t>
  </si>
  <si>
    <t>Bid review</t>
  </si>
  <si>
    <t>Advise Branch Manager on bid risk factors</t>
  </si>
  <si>
    <t>Risk advising</t>
  </si>
  <si>
    <t>Coordinate narrative with Marketing and BD</t>
  </si>
  <si>
    <t>Narrative integration</t>
  </si>
  <si>
    <t>Lead estimating across departments as assigned</t>
  </si>
  <si>
    <t>Enterprise estimating leadership</t>
  </si>
  <si>
    <t>Set bid quality standards</t>
  </si>
  <si>
    <t>Bid standards governance</t>
  </si>
  <si>
    <t>Guide final pricing inputs for Branch Manager</t>
  </si>
  <si>
    <t>Strategic risk judgment</t>
  </si>
  <si>
    <t>Own narrative strategy with Marketing/BD</t>
  </si>
  <si>
    <t>Narrative ownership</t>
  </si>
  <si>
    <t>Oversee estimating performance for branch/regions</t>
  </si>
  <si>
    <t>Ensure estimating outputs meet quality expectations</t>
  </si>
  <si>
    <t>Quality assurance</t>
  </si>
  <si>
    <t>Drive work procurement for volume and profitability</t>
  </si>
  <si>
    <t>Profit strategy</t>
  </si>
  <si>
    <t>Ensure narratives are customized appropriately</t>
  </si>
  <si>
    <t>Narrative governance</t>
  </si>
  <si>
    <t>DSGN</t>
  </si>
  <si>
    <t>Design Support</t>
  </si>
  <si>
    <t>Assist engineer with design details</t>
  </si>
  <si>
    <t>Detail development</t>
  </si>
  <si>
    <t>Coordinate with operations on constructability</t>
  </si>
  <si>
    <t>Constructability coordination</t>
  </si>
  <si>
    <t>Issue complete designs to support field efficiency</t>
  </si>
  <si>
    <t>Design completeness</t>
  </si>
  <si>
    <t>Clarify design intent to field/PM</t>
  </si>
  <si>
    <t>Design communication</t>
  </si>
  <si>
    <t>Design Production</t>
  </si>
  <si>
    <t>Develop design details under engineer direction</t>
  </si>
  <si>
    <t>Design development</t>
  </si>
  <si>
    <t>Resolve constructability issues with operations</t>
  </si>
  <si>
    <t>Constructability problem-solving</t>
  </si>
  <si>
    <t>Reduce field engineering through design quality</t>
  </si>
  <si>
    <t>Field-efficiency design</t>
  </si>
  <si>
    <t>Design Leadership</t>
  </si>
  <si>
    <t>Lead completion of design details as assigned</t>
  </si>
  <si>
    <t>Design leadership</t>
  </si>
  <si>
    <t>Drive constructability reviews with operations</t>
  </si>
  <si>
    <t>Constructability leadership</t>
  </si>
  <si>
    <t>Ensure design packages are complete and buildable</t>
  </si>
  <si>
    <t>Buildability assurance</t>
  </si>
  <si>
    <t>Own significant design scopes under engineer oversight</t>
  </si>
  <si>
    <t>Scope ownership</t>
  </si>
  <si>
    <t>Coordinate across operations/estimating/engineering</t>
  </si>
  <si>
    <t>Cross-functional coordination</t>
  </si>
  <si>
    <t>Drive efficiency-focused design delivery</t>
  </si>
  <si>
    <t>Design-for-install efficiency</t>
  </si>
  <si>
    <t>Ensure design completeness for construction efficiency</t>
  </si>
  <si>
    <t>Design governance</t>
  </si>
  <si>
    <t>Lead constructability alignment with operations</t>
  </si>
  <si>
    <t>Constructability governance</t>
  </si>
  <si>
    <t>Set standards that minimize field engineering</t>
  </si>
  <si>
    <t>Design standards leadership</t>
  </si>
  <si>
    <t>ENG-PE</t>
  </si>
  <si>
    <t>Electrical Professional Engineer</t>
  </si>
  <si>
    <t>Maintain active PE license</t>
  </si>
  <si>
    <t>Professional licensure compliance</t>
  </si>
  <si>
    <t>Proposals</t>
  </si>
  <si>
    <t>Submit proposals for design-build work</t>
  </si>
  <si>
    <t>Proposal development</t>
  </si>
  <si>
    <t>Design Authority</t>
  </si>
  <si>
    <t>Complete electrical design</t>
  </si>
  <si>
    <t>Engineering design execution</t>
  </si>
  <si>
    <t>STAMP</t>
  </si>
  <si>
    <t>Engineering Stamp</t>
  </si>
  <si>
    <t>Stamp drawings as required</t>
  </si>
  <si>
    <t>Professional responsibility</t>
  </si>
  <si>
    <t>Work with BD to find design-build opportunities</t>
  </si>
  <si>
    <t>Opportunity identification</t>
  </si>
  <si>
    <t>RFI Process</t>
  </si>
  <si>
    <t>Determine full scope through RFI process</t>
  </si>
  <si>
    <t>Scope definition via RFI</t>
  </si>
  <si>
    <t>Scope Control</t>
  </si>
  <si>
    <t>Offer minimal exclusions in proposals</t>
  </si>
  <si>
    <t>Exclusion control</t>
  </si>
  <si>
    <t>ALLOW</t>
  </si>
  <si>
    <t>Allowances</t>
  </si>
  <si>
    <t>Use qualified allowances when scope can’t be quantified</t>
  </si>
  <si>
    <t>Allowance development</t>
  </si>
  <si>
    <t>ALT</t>
  </si>
  <si>
    <t>Alternates</t>
  </si>
  <si>
    <t>Include deductive alternates when applicable</t>
  </si>
  <si>
    <t>Alternate strategy</t>
  </si>
  <si>
    <t>Customize proposal narrative with Marketing/BD</t>
  </si>
  <si>
    <t>Narrative customization</t>
  </si>
  <si>
    <t>AR</t>
  </si>
  <si>
    <t>Accounts Receivable</t>
  </si>
  <si>
    <t>Oversee branch business operations</t>
  </si>
  <si>
    <t>Monitor AR aging and collections</t>
  </si>
  <si>
    <t>AR aging review</t>
  </si>
  <si>
    <t>Collections follow-up</t>
  </si>
  <si>
    <t>AP</t>
  </si>
  <si>
    <t>Accounts Payable</t>
  </si>
  <si>
    <t>Maintain communication with suppliers’ finance departments</t>
  </si>
  <si>
    <t>Vendor communication</t>
  </si>
  <si>
    <t>Monitor accounts payable</t>
  </si>
  <si>
    <t>AP tracking</t>
  </si>
  <si>
    <t>Policy Administration</t>
  </si>
  <si>
    <t>Interpret and administer Board policies</t>
  </si>
  <si>
    <t>Apply corporate/branch policies consistently</t>
  </si>
  <si>
    <t>Policy interpretation</t>
  </si>
  <si>
    <t>Licensing &amp; Compliance</t>
  </si>
  <si>
    <t>Maintain licensing/regulatory contacts</t>
  </si>
  <si>
    <t>Coordinate with licensing and labor agencies</t>
  </si>
  <si>
    <t>Regulatory communication</t>
  </si>
  <si>
    <t>PM-SUP</t>
  </si>
  <si>
    <t>PM Support</t>
  </si>
  <si>
    <t>Counsel PMs on problems where expertise helps</t>
  </si>
  <si>
    <t>Support PM issue resolution</t>
  </si>
  <si>
    <t>People Development</t>
  </si>
  <si>
    <t>Share discipline/training/employee development responsibilities</t>
  </si>
  <si>
    <t>Coach and develop staff</t>
  </si>
  <si>
    <t>GROW</t>
  </si>
  <si>
    <t>Branch Growth</t>
  </si>
  <si>
    <t>Support branch growth and market segment selection</t>
  </si>
  <si>
    <t>Contribute to market segment planning</t>
  </si>
  <si>
    <t>Market awareness</t>
  </si>
  <si>
    <t>BID</t>
  </si>
  <si>
    <t>Bidding Support</t>
  </si>
  <si>
    <t>Evaluate potential jobs bidding</t>
  </si>
  <si>
    <t>Secure plans/specs and monitor bid dates</t>
  </si>
  <si>
    <t>Bid coordination</t>
  </si>
  <si>
    <t>BUD</t>
  </si>
  <si>
    <t>Develop and submit branch budgets/forecasts</t>
  </si>
  <si>
    <t>Build and update branch forecasts</t>
  </si>
  <si>
    <t>Expense Control</t>
  </si>
  <si>
    <t>Establish procedures for branch expenditures</t>
  </si>
  <si>
    <t>Control branch spending and approvals</t>
  </si>
  <si>
    <t>Cost control</t>
  </si>
  <si>
    <t>Petty Cash</t>
  </si>
  <si>
    <t>Administer petty cash</t>
  </si>
  <si>
    <t>Petty cash management</t>
  </si>
  <si>
    <t>PR</t>
  </si>
  <si>
    <t>Public Relations</t>
  </si>
  <si>
    <t>Formulate PR policies/plans (as needed)</t>
  </si>
  <si>
    <t>Develop PR approach for branch</t>
  </si>
  <si>
    <t>PR planning</t>
  </si>
  <si>
    <t>Leadership Meetings</t>
  </si>
  <si>
    <t>Preside at weekly staff meetings</t>
  </si>
  <si>
    <t>Prepare and lead weekly staff meetings</t>
  </si>
  <si>
    <t>Payroll</t>
  </si>
  <si>
    <t>Manage branch payroll</t>
  </si>
  <si>
    <t>Process/coordinate payroll activities</t>
  </si>
  <si>
    <t>Payroll administration</t>
  </si>
  <si>
    <t>PROC</t>
  </si>
  <si>
    <t>Office Procurement</t>
  </si>
  <si>
    <t>Evaluate need for and purchase office equipment</t>
  </si>
  <si>
    <t>Source and purchase office equipment</t>
  </si>
  <si>
    <t>Procurement</t>
  </si>
  <si>
    <t>Hiring &amp; Personnel</t>
  </si>
  <si>
    <t>Manage personnel functions and hiring flow</t>
  </si>
  <si>
    <t>Process applicants and coordinate interviews</t>
  </si>
  <si>
    <t>Hiring coordination</t>
  </si>
  <si>
    <t>Apprenticeship Admin</t>
  </si>
  <si>
    <t>Administer state apprenticeship program</t>
  </si>
  <si>
    <t>Administer apprenticeship requirements</t>
  </si>
  <si>
    <t>Program administration</t>
  </si>
  <si>
    <t>IT Support</t>
  </si>
  <si>
    <t>Administer branch computer network</t>
  </si>
  <si>
    <t>Coordinate basic IT/network needs</t>
  </si>
  <si>
    <t>IT coordination</t>
  </si>
  <si>
    <t>Technology Support</t>
  </si>
  <si>
    <t>Maintain technical training and support</t>
  </si>
  <si>
    <t>Support office software/hardware training</t>
  </si>
  <si>
    <t>User support</t>
  </si>
  <si>
    <t>MOR</t>
  </si>
  <si>
    <t>Morale</t>
  </si>
  <si>
    <t>Support high employee morale</t>
  </si>
  <si>
    <t>Address morale issues and support teams</t>
  </si>
  <si>
    <t>Employee relations</t>
  </si>
  <si>
    <t>DEL</t>
  </si>
  <si>
    <t>Delegate tasks and authority as necessary</t>
  </si>
  <si>
    <t>Assign work and follow up</t>
  </si>
  <si>
    <t>Task delegation</t>
  </si>
  <si>
    <t>PREQ</t>
  </si>
  <si>
    <t>Prequalifications</t>
  </si>
  <si>
    <t>Project/Client submissions</t>
  </si>
  <si>
    <t>Complete customer/project pre-qualification forms</t>
  </si>
  <si>
    <t>Pre-qualification management</t>
  </si>
  <si>
    <t>Develop proposals</t>
  </si>
  <si>
    <t>Proposal writing</t>
  </si>
  <si>
    <t>PRES</t>
  </si>
  <si>
    <t>Presentation Materials</t>
  </si>
  <si>
    <t>Create presentation materials</t>
  </si>
  <si>
    <t>Presentation development</t>
  </si>
  <si>
    <t>SOQ</t>
  </si>
  <si>
    <t>SOQs</t>
  </si>
  <si>
    <t>Develop SOQs</t>
  </si>
  <si>
    <t>SOQ development</t>
  </si>
  <si>
    <t>AWRD</t>
  </si>
  <si>
    <t>Award Submissions</t>
  </si>
  <si>
    <t>Prepare award submissions</t>
  </si>
  <si>
    <t>Award submission prep</t>
  </si>
  <si>
    <t>COLL</t>
  </si>
  <si>
    <t>Collateral</t>
  </si>
  <si>
    <t>Marketing materials</t>
  </si>
  <si>
    <t>Develop corporate brochure</t>
  </si>
  <si>
    <t>Collateral development</t>
  </si>
  <si>
    <t>Create project sheets</t>
  </si>
  <si>
    <t>Project sheet creation</t>
  </si>
  <si>
    <t>Create line cards</t>
  </si>
  <si>
    <t>Line card creation</t>
  </si>
  <si>
    <t>NEWS</t>
  </si>
  <si>
    <t>Client Newsletter</t>
  </si>
  <si>
    <t>Produce client/quarterly newsletters</t>
  </si>
  <si>
    <t>Newsletter production</t>
  </si>
  <si>
    <t>Resumes</t>
  </si>
  <si>
    <t>Update and maintain company resumes</t>
  </si>
  <si>
    <t>Resume management</t>
  </si>
  <si>
    <t>WEB</t>
  </si>
  <si>
    <t>Website</t>
  </si>
  <si>
    <t>Brand presence</t>
  </si>
  <si>
    <t>Update and maintain company website</t>
  </si>
  <si>
    <t>Website content management</t>
  </si>
  <si>
    <t>SOC</t>
  </si>
  <si>
    <t>Social Media</t>
  </si>
  <si>
    <t>Build a following and manage social media</t>
  </si>
  <si>
    <t>Social media management</t>
  </si>
  <si>
    <t>BRAND</t>
  </si>
  <si>
    <t>Brand Standards</t>
  </si>
  <si>
    <t>Brand management</t>
  </si>
  <si>
    <t>Set brand standards and enforce consistency</t>
  </si>
  <si>
    <t>Brand governance</t>
  </si>
  <si>
    <t>CAMP</t>
  </si>
  <si>
    <t>Campaigns</t>
  </si>
  <si>
    <t>Strategize and run effective campaigns</t>
  </si>
  <si>
    <t>Campaign planning</t>
  </si>
  <si>
    <t>MKT-AN</t>
  </si>
  <si>
    <t>Market Analysis</t>
  </si>
  <si>
    <t>Analyze market trends and competitors</t>
  </si>
  <si>
    <t>Market analysis</t>
  </si>
  <si>
    <t>CRM</t>
  </si>
  <si>
    <t>CRM Management</t>
  </si>
  <si>
    <t>CRM management</t>
  </si>
  <si>
    <t>Maintain client/project info in Cosential</t>
  </si>
  <si>
    <t>CRM administration (Cosential)</t>
  </si>
  <si>
    <t>Communications</t>
  </si>
  <si>
    <t>Brand communications</t>
  </si>
  <si>
    <t>Excellent verbal and written communication</t>
  </si>
  <si>
    <t>CRE</t>
  </si>
  <si>
    <t>Creative</t>
  </si>
  <si>
    <t>Core skills</t>
  </si>
  <si>
    <t>Creative and innovative thinking</t>
  </si>
  <si>
    <t>Creative development</t>
  </si>
  <si>
    <t>Multi-task, prioritize, manage time</t>
  </si>
  <si>
    <t>Time management</t>
  </si>
  <si>
    <t>Use tech across platforms (web/design/production)</t>
  </si>
  <si>
    <t>Multi-platform digital proficiency</t>
  </si>
  <si>
    <t>OFF</t>
  </si>
  <si>
    <t>MS Office</t>
  </si>
  <si>
    <t>Proficient with Microsoft Office Suite</t>
  </si>
  <si>
    <t>MS Office proficiency</t>
  </si>
  <si>
    <t>Goal-oriented, organized team player</t>
  </si>
  <si>
    <t>Core HR Governance &amp; Compliance</t>
  </si>
  <si>
    <t>Human Resource Manager</t>
  </si>
  <si>
    <t>Communicate and implement HR policies</t>
  </si>
  <si>
    <t>Apply HR policies consistently</t>
  </si>
  <si>
    <t>Maintain compliance with labor laws</t>
  </si>
  <si>
    <t>Knowledge of federal, state, and local labor law</t>
  </si>
  <si>
    <t>Recommend policy updates</t>
  </si>
  <si>
    <t>Identify required policy changes</t>
  </si>
  <si>
    <t>Law and policy analysis</t>
  </si>
  <si>
    <t>Maintain ethical HR practices</t>
  </si>
  <si>
    <t>Confidentiality and ethical judgment</t>
  </si>
  <si>
    <t>Ethical decision-making</t>
  </si>
  <si>
    <t>Recruiting &amp; Talent Acquisition</t>
  </si>
  <si>
    <t>RECR</t>
  </si>
  <si>
    <t>Recruiting</t>
  </si>
  <si>
    <t>Develop recruiting strategy</t>
  </si>
  <si>
    <t>Create and execute recruiting plans</t>
  </si>
  <si>
    <t>Recruiting strategy</t>
  </si>
  <si>
    <t>Source candidates across platforms</t>
  </si>
  <si>
    <t>Candidate sourcing</t>
  </si>
  <si>
    <t>Sourcing techniques</t>
  </si>
  <si>
    <t>Screen resumes and applications</t>
  </si>
  <si>
    <t>Resume evaluation</t>
  </si>
  <si>
    <t>Candidate screening</t>
  </si>
  <si>
    <t>INT</t>
  </si>
  <si>
    <t>Interviewing</t>
  </si>
  <si>
    <t>Conduct phone screens</t>
  </si>
  <si>
    <t>Behavioral interviewing</t>
  </si>
  <si>
    <t>Interviewing skills</t>
  </si>
  <si>
    <t>Coordinate interviews with managers</t>
  </si>
  <si>
    <t>Scheduling and coordination</t>
  </si>
  <si>
    <t>Verify electrician licensing</t>
  </si>
  <si>
    <t>License verification</t>
  </si>
  <si>
    <t>DOPL / jurisdictional checks</t>
  </si>
  <si>
    <t>HR Metrics</t>
  </si>
  <si>
    <t>Track recruiting metrics</t>
  </si>
  <si>
    <t>Time-to-fill analysis</t>
  </si>
  <si>
    <t>HR analytics</t>
  </si>
  <si>
    <t>Onboarding &amp; Orientation</t>
  </si>
  <si>
    <t>ONBD</t>
  </si>
  <si>
    <t>Onboarding</t>
  </si>
  <si>
    <t>Conduct new-hire orientation</t>
  </si>
  <si>
    <t>Deliver HR presentations</t>
  </si>
  <si>
    <t>Presentation delivery</t>
  </si>
  <si>
    <t>Review policies and employee handbook</t>
  </si>
  <si>
    <t>Policy explanation</t>
  </si>
  <si>
    <t>Clear instruction</t>
  </si>
  <si>
    <t>Process onboarding paperwork</t>
  </si>
  <si>
    <t>Document management</t>
  </si>
  <si>
    <t>Onboarding administration</t>
  </si>
  <si>
    <t>Complete I-9 and E-Verify</t>
  </si>
  <si>
    <t>Employment eligibility verification</t>
  </si>
  <si>
    <t>I-9 / E-Verify processing</t>
  </si>
  <si>
    <t>Employee Engagement &amp; Interviews</t>
  </si>
  <si>
    <t>ENG</t>
  </si>
  <si>
    <t>Engagement</t>
  </si>
  <si>
    <t>Coordinate entry interviews</t>
  </si>
  <si>
    <t>Interview coordination</t>
  </si>
  <si>
    <t>Follow-up management</t>
  </si>
  <si>
    <t>Conduct 30-day engagement interviews</t>
  </si>
  <si>
    <t>Employee engagement interviewing</t>
  </si>
  <si>
    <t>Conduct annual engagement interviews</t>
  </si>
  <si>
    <t>Employee relationship management</t>
  </si>
  <si>
    <t>Interpersonal communication</t>
  </si>
  <si>
    <t>Relay concerns to leadership</t>
  </si>
  <si>
    <t>Clear escalation communication</t>
  </si>
  <si>
    <t>Manage performance review system</t>
  </si>
  <si>
    <t>Performance tracking system administration</t>
  </si>
  <si>
    <t>PMS administration</t>
  </si>
  <si>
    <t>Ensure reviews are completed</t>
  </si>
  <si>
    <t>Compliance tracking</t>
  </si>
  <si>
    <t>Accountability tracking</t>
  </si>
  <si>
    <t>Train supervisors on performance reviews</t>
  </si>
  <si>
    <t>Coaching skills</t>
  </si>
  <si>
    <t>Corrective Counseling &amp; Terminations</t>
  </si>
  <si>
    <t>CORR</t>
  </si>
  <si>
    <t>Corrective Action</t>
  </si>
  <si>
    <t>Ensure corrective counseling is completed</t>
  </si>
  <si>
    <t>Corrective counseling</t>
  </si>
  <si>
    <t>Train supervisors on corrective counseling</t>
  </si>
  <si>
    <t>Corrective action coaching</t>
  </si>
  <si>
    <t>TERM</t>
  </si>
  <si>
    <t>Terminations</t>
  </si>
  <si>
    <t>Conduct termination interviews</t>
  </si>
  <si>
    <t>Exit interviewing</t>
  </si>
  <si>
    <t>Document corrective actions and terminations</t>
  </si>
  <si>
    <t>Accurate HR documentation</t>
  </si>
  <si>
    <t>Record keeping</t>
  </si>
  <si>
    <t>Reporting &amp; Data Management</t>
  </si>
  <si>
    <t>EEO</t>
  </si>
  <si>
    <t>EEO Reporting</t>
  </si>
  <si>
    <t>Prepare and submit EEO-1 reports</t>
  </si>
  <si>
    <t>EEO compliance reporting</t>
  </si>
  <si>
    <t>Regulatory reporting</t>
  </si>
  <si>
    <t>Maintain employee files and records</t>
  </si>
  <si>
    <t>HR file management</t>
  </si>
  <si>
    <t>HR Systems</t>
  </si>
  <si>
    <t>Use HRIS/ATS/PMS systems</t>
  </si>
  <si>
    <t>System navigation</t>
  </si>
  <si>
    <t>HR systems proficiency</t>
  </si>
  <si>
    <t>Professional Skills &amp; Competencies</t>
  </si>
  <si>
    <t>Communicate with employees and leadership</t>
  </si>
  <si>
    <t>Written and verbal communication</t>
  </si>
  <si>
    <t>Problem Solving</t>
  </si>
  <si>
    <t>Resolve employee conflicts</t>
  </si>
  <si>
    <t>Mediation skills</t>
  </si>
  <si>
    <t>Manage multiple HR workflows</t>
  </si>
  <si>
    <t>Prioritization and multitasking</t>
  </si>
  <si>
    <t>Use Microsoft Office and HR software</t>
  </si>
  <si>
    <t>Office software proficiency</t>
  </si>
  <si>
    <t>MS Office skills</t>
  </si>
  <si>
    <t>LEARN</t>
  </si>
  <si>
    <t>Continuous Learning</t>
  </si>
  <si>
    <t>Stay current on HR laws and trends</t>
  </si>
  <si>
    <t>Ongoing professional learning</t>
  </si>
  <si>
    <t>Benefits Administration &amp; Employee Support</t>
  </si>
  <si>
    <t>Corporate Benefits Manager</t>
  </si>
  <si>
    <t>Administer company benefit programs</t>
  </si>
  <si>
    <t>Benefits program administration</t>
  </si>
  <si>
    <t>CUST</t>
  </si>
  <si>
    <t>Employee Support</t>
  </si>
  <si>
    <t>Respond to employee benefit questions</t>
  </si>
  <si>
    <t>Employee benefits support</t>
  </si>
  <si>
    <t>Communicate with carriers and vendors</t>
  </si>
  <si>
    <t>Carrier/vendor communication</t>
  </si>
  <si>
    <t>ANAL</t>
  </si>
  <si>
    <t>Analysis</t>
  </si>
  <si>
    <t>Research benefit issues and provide findings</t>
  </si>
  <si>
    <t>Analytical problem solving</t>
  </si>
  <si>
    <t>Data Management &amp; Systems</t>
  </si>
  <si>
    <t>Maintain accurate census and benefits data</t>
  </si>
  <si>
    <t>Data accuracy and integrity</t>
  </si>
  <si>
    <t>Systems Administration</t>
  </si>
  <si>
    <t>Update Viewpoint and Employee Navigator</t>
  </si>
  <si>
    <t>Process employment status changes</t>
  </si>
  <si>
    <t>Personnel data maintenance</t>
  </si>
  <si>
    <t>Compliance, ACA &amp; Regulatory Reporting</t>
  </si>
  <si>
    <t>Maintain ACA coding and reporting</t>
  </si>
  <si>
    <t>ACA compliance knowledge</t>
  </si>
  <si>
    <t>Prepare 1094/1095 reporting</t>
  </si>
  <si>
    <t>ACA tax reporting</t>
  </si>
  <si>
    <t>LAW</t>
  </si>
  <si>
    <t>Regulatory Awareness</t>
  </si>
  <si>
    <t>Maintain awareness of benefit-related laws</t>
  </si>
  <si>
    <t>Regulatory monitoring</t>
  </si>
  <si>
    <t>Assist with EEO-1 data reconciliation</t>
  </si>
  <si>
    <t>Compliance reporting</t>
  </si>
  <si>
    <t>Payroll &amp; Financial Coordination</t>
  </si>
  <si>
    <t>Payroll Coordination</t>
  </si>
  <si>
    <t>Prepare payroll deduction reports</t>
  </si>
  <si>
    <t>Payroll-benefits reconciliation</t>
  </si>
  <si>
    <t>Financial Coordination</t>
  </si>
  <si>
    <t>Coordinate benefit billing with GL Manager</t>
  </si>
  <si>
    <t>Benefits financial coordination</t>
  </si>
  <si>
    <t>Reconcile insurance and wellness billings</t>
  </si>
  <si>
    <t>Billing reconciliation</t>
  </si>
  <si>
    <t>Leave Management &amp; Life Events</t>
  </si>
  <si>
    <t>LEAVE</t>
  </si>
  <si>
    <t>Leave Administration</t>
  </si>
  <si>
    <t>Track FMLA and non-FMLA leaves</t>
  </si>
  <si>
    <t>Leave management</t>
  </si>
  <si>
    <t>LIFE</t>
  </si>
  <si>
    <t>Life Events</t>
  </si>
  <si>
    <t>Manage qualifying life events</t>
  </si>
  <si>
    <t>Eligibility determination</t>
  </si>
  <si>
    <t>Notify employees of benefit eligibility changes</t>
  </si>
  <si>
    <t>Clear benefits communication</t>
  </si>
  <si>
    <t>401(k) &amp; Retirement Programs</t>
  </si>
  <si>
    <t>Retirement Programs</t>
  </si>
  <si>
    <t>Administer 401k eligibility and enrollment</t>
  </si>
  <si>
    <t>Prepare 401k enrollment and opt-out packets</t>
  </si>
  <si>
    <t>Retirement documentation</t>
  </si>
  <si>
    <t>Coordinate open enrollment meetings</t>
  </si>
  <si>
    <t>Meeting coordination</t>
  </si>
  <si>
    <t>Track and update participant contributions</t>
  </si>
  <si>
    <t>Data analysis</t>
  </si>
  <si>
    <t>Open Enrollment &amp; Annual Processes</t>
  </si>
  <si>
    <t>ENRL</t>
  </si>
  <si>
    <t>Open Enrollment</t>
  </si>
  <si>
    <t>Coordinate annual open enrollment process</t>
  </si>
  <si>
    <t>Open enrollment administration</t>
  </si>
  <si>
    <t>Update benefit statements and elections</t>
  </si>
  <si>
    <t>Benefits documentation</t>
  </si>
  <si>
    <t>Explain benefits during annual reviews</t>
  </si>
  <si>
    <t>Employee education</t>
  </si>
  <si>
    <t>Reporting, Meetings &amp; Governance</t>
  </si>
  <si>
    <t>Prepare monthly, quarterly, and annual reports</t>
  </si>
  <si>
    <t>Reporting accuracy</t>
  </si>
  <si>
    <t>Attend Business Policy Committee meetings</t>
  </si>
  <si>
    <t>Governance participation</t>
  </si>
  <si>
    <t>Provide information to CFO and Executive Committee</t>
  </si>
  <si>
    <t>Manage high-volume administrative tasks</t>
  </si>
  <si>
    <t>Use Microsoft Office and benefits platforms</t>
  </si>
  <si>
    <t>Handle sensitive employee data responsibly</t>
  </si>
  <si>
    <t>Stay current on benefits laws and trends</t>
  </si>
  <si>
    <t>Procurement Strategy</t>
  </si>
  <si>
    <t>Oversee purchasing operations</t>
  </si>
  <si>
    <t>Procurement leadership</t>
  </si>
  <si>
    <t>PO</t>
  </si>
  <si>
    <t>Purchase Orders</t>
  </si>
  <si>
    <t>Place and manage purchase orders</t>
  </si>
  <si>
    <t>PO creation and control</t>
  </si>
  <si>
    <t>Verify quantities, pricing, and tax accuracy</t>
  </si>
  <si>
    <t>PO accuracy verification</t>
  </si>
  <si>
    <t>Subcontracts</t>
  </si>
  <si>
    <t>Prepare and execute subcontracts over $10k</t>
  </si>
  <si>
    <t>Subcontract administration</t>
  </si>
  <si>
    <t>Ensure purchasing complies with specs/contracts</t>
  </si>
  <si>
    <t>Specification compliance</t>
  </si>
  <si>
    <t>Buy materials at or below bid-day value</t>
  </si>
  <si>
    <t>Cost control discipline</t>
  </si>
  <si>
    <t>Pre-buy volatile materials to limit escalation</t>
  </si>
  <si>
    <t>Escalation risk mitigation</t>
  </si>
  <si>
    <t>MAT</t>
  </si>
  <si>
    <t>Materials Management</t>
  </si>
  <si>
    <t>Manage commodities and inventory systems</t>
  </si>
  <si>
    <t>Inventory control</t>
  </si>
  <si>
    <t>Logistics</t>
  </si>
  <si>
    <t>Direct expeditors and material deliveries</t>
  </si>
  <si>
    <t>Logistics coordination</t>
  </si>
  <si>
    <t>TOOLS</t>
  </si>
  <si>
    <t>Tools &amp; Equipment</t>
  </si>
  <si>
    <t>Oversee tool program and billing</t>
  </si>
  <si>
    <t>Tool program management</t>
  </si>
  <si>
    <t>Oversee company vehicle fleet</t>
  </si>
  <si>
    <t>Fleet oversight</t>
  </si>
  <si>
    <t>FAC</t>
  </si>
  <si>
    <t>Facilities</t>
  </si>
  <si>
    <t>Maintain buildings and security</t>
  </si>
  <si>
    <t>Facilities management</t>
  </si>
  <si>
    <t>INV</t>
  </si>
  <si>
    <t>Invoicing</t>
  </si>
  <si>
    <t>Resolve invoice disputes</t>
  </si>
  <si>
    <t>Vendor invoice resolution</t>
  </si>
  <si>
    <t>Enter and manage POs in Viewpoint</t>
  </si>
  <si>
    <t>Viewpoint proficiency</t>
  </si>
  <si>
    <t>Coordinate with PMs and Foremen</t>
  </si>
  <si>
    <t>Purchasing coordination</t>
  </si>
  <si>
    <t>Analyze pricing, vendors, and alternatives</t>
  </si>
  <si>
    <t>Analytical purchasing judgment</t>
  </si>
  <si>
    <t>Delegate and supervise purchasing staff</t>
  </si>
  <si>
    <t>Maintain ethical purchasing practices</t>
  </si>
  <si>
    <t>Ethical procurement</t>
  </si>
  <si>
    <t>Purchasing Agent</t>
  </si>
  <si>
    <t>Assist with placing purchase orders</t>
  </si>
  <si>
    <t>PO processing</t>
  </si>
  <si>
    <t>Enter purchase orders into accounting software</t>
  </si>
  <si>
    <t>System data entry accuracy</t>
  </si>
  <si>
    <t>Resolve billing discrepancies</t>
  </si>
  <si>
    <t>Invoice troubleshooting</t>
  </si>
  <si>
    <t>Coordinate deliveries to and from jobsites</t>
  </si>
  <si>
    <t>Delivery coordination</t>
  </si>
  <si>
    <t>Maintain and repair tools and equipment</t>
  </si>
  <si>
    <t>Tool maintenance</t>
  </si>
  <si>
    <t>Check tools in and out of storage</t>
  </si>
  <si>
    <t>Tool tracking</t>
  </si>
  <si>
    <t>Maintain tool and equipment software</t>
  </si>
  <si>
    <t>Asset tracking systems</t>
  </si>
  <si>
    <t>Prepare monthly tool billings</t>
  </si>
  <si>
    <t>Tool billing preparation</t>
  </si>
  <si>
    <t>Inventory</t>
  </si>
  <si>
    <t>Account for lost or damaged tools</t>
  </si>
  <si>
    <t>Inventory accountability</t>
  </si>
  <si>
    <t>Assist with building maintenance and security</t>
  </si>
  <si>
    <t>Facilities support</t>
  </si>
  <si>
    <t>Assist with vehicle fleet maintenance</t>
  </si>
  <si>
    <t>Fleet support</t>
  </si>
  <si>
    <t>Materials Knowledge</t>
  </si>
  <si>
    <t>Understand electrical materials and tools</t>
  </si>
  <si>
    <t>Material knowledge</t>
  </si>
  <si>
    <t>Communicate with vendors and field personnel</t>
  </si>
  <si>
    <t>Check pricing and availability</t>
  </si>
  <si>
    <t>Pricing analysis</t>
  </si>
  <si>
    <t>Operate purchasing and materials software</t>
  </si>
  <si>
    <t>Handle company assets responsibly</t>
  </si>
  <si>
    <t>Asset stewardship</t>
  </si>
  <si>
    <t>Inspect tools before issue and upon return</t>
  </si>
  <si>
    <t>Inspection accuracy</t>
  </si>
  <si>
    <t>Ensure timely delivery of tools and materials</t>
  </si>
  <si>
    <t>Support jobsite goals and objectives</t>
  </si>
  <si>
    <t>Ethics &amp; Responsibility</t>
  </si>
  <si>
    <t>Ensure correct tools and materials reach the correct job</t>
  </si>
  <si>
    <t>Tools, Equipment &amp; Materials</t>
  </si>
  <si>
    <t>Tool Management</t>
  </si>
  <si>
    <t>Check tools in and out properly</t>
  </si>
  <si>
    <t>Tag tools requiring service</t>
  </si>
  <si>
    <t>Maintenance identification</t>
  </si>
  <si>
    <t>Tool Knowledge</t>
  </si>
  <si>
    <t>Repair and maintain tools and equipment</t>
  </si>
  <si>
    <t>Basic equipment repair</t>
  </si>
  <si>
    <t>Verify vendor quantities and descriptions</t>
  </si>
  <si>
    <t>Material verification</t>
  </si>
  <si>
    <t>Stage tools and materials by job</t>
  </si>
  <si>
    <t>Job material coordination</t>
  </si>
  <si>
    <t>Maintenance &amp; Systems</t>
  </si>
  <si>
    <t>MAINT</t>
  </si>
  <si>
    <t>Maintenance</t>
  </si>
  <si>
    <t>Conduct preventive maintenance on tools</t>
  </si>
  <si>
    <t>Predictive maintenance</t>
  </si>
  <si>
    <t>Troubleshoot equipment failures</t>
  </si>
  <si>
    <t>Problem diagnosis</t>
  </si>
  <si>
    <t>Maintain tool program records</t>
  </si>
  <si>
    <t>System data accuracy</t>
  </si>
  <si>
    <t>Run reports for monthly tool billing</t>
  </si>
  <si>
    <t>Logistics, Security &amp; Fleet</t>
  </si>
  <si>
    <t>Transport tools and materials safely</t>
  </si>
  <si>
    <t>Load handling</t>
  </si>
  <si>
    <t>SEC</t>
  </si>
  <si>
    <t>Security</t>
  </si>
  <si>
    <t>Assist with building security procedures</t>
  </si>
  <si>
    <t>Security awareness</t>
  </si>
  <si>
    <t>Fleet Support</t>
  </si>
  <si>
    <t>Assist in maintaining company vehicles</t>
  </si>
  <si>
    <t>Vehicle care awareness</t>
  </si>
  <si>
    <t>Communication &amp; Technology</t>
  </si>
  <si>
    <t>Communicate material and tool issues clearly</t>
  </si>
  <si>
    <t>Operational communication</t>
  </si>
  <si>
    <t>Use basic computer systems for tracking</t>
  </si>
  <si>
    <t>System usage</t>
  </si>
  <si>
    <t>A/P Clerk / Receptionist / Clerical Assistant</t>
  </si>
  <si>
    <t>Administrative Support</t>
  </si>
  <si>
    <t>Customer Service</t>
  </si>
  <si>
    <t>Office Operations</t>
  </si>
  <si>
    <t>Professionalism</t>
  </si>
  <si>
    <t>CUSTSERV</t>
  </si>
  <si>
    <t>Greet visitors and support callers</t>
  </si>
  <si>
    <t>Professional front-desk communication</t>
  </si>
  <si>
    <t>Answer and route phone calls clearly</t>
  </si>
  <si>
    <t>Phone etiquette and message accuracy</t>
  </si>
  <si>
    <t>Maintain professional appearance and conduct</t>
  </si>
  <si>
    <t>Workplace professionalism</t>
  </si>
  <si>
    <t>Support multiple departments collaboratively</t>
  </si>
  <si>
    <t>Cross-department collaboration</t>
  </si>
  <si>
    <t>Time Management</t>
  </si>
  <si>
    <t>Handle multiple tasks efficiently</t>
  </si>
  <si>
    <t>Task prioritization</t>
  </si>
  <si>
    <t>Accounts Payable (A/P) Functions</t>
  </si>
  <si>
    <t>Enter purchase orders and invoices</t>
  </si>
  <si>
    <t>Accurate data entry</t>
  </si>
  <si>
    <t>Match invoices to purchase orders</t>
  </si>
  <si>
    <t>Invoice reconciliation</t>
  </si>
  <si>
    <t>Identify invoice discrepancies</t>
  </si>
  <si>
    <t>Exception identification</t>
  </si>
  <si>
    <t>Route discrepancies for resolution</t>
  </si>
  <si>
    <t>Approve routine invoices per policy</t>
  </si>
  <si>
    <t>Policy compliance</t>
  </si>
  <si>
    <t>Clerical &amp; Administrative Support</t>
  </si>
  <si>
    <t>Scan and file documents</t>
  </si>
  <si>
    <t>Maintain electronic filing systems</t>
  </si>
  <si>
    <t>File organization</t>
  </si>
  <si>
    <t>Prepare correspondence and reports</t>
  </si>
  <si>
    <t>Basic business writing</t>
  </si>
  <si>
    <t>Create and update spreadsheets</t>
  </si>
  <si>
    <t>Spreadsheet fundamentals</t>
  </si>
  <si>
    <t>Open, sort, and distribute mail</t>
  </si>
  <si>
    <t>Mail handling accuracy</t>
  </si>
  <si>
    <t>Process incoming checks</t>
  </si>
  <si>
    <t>Check handling procedures</t>
  </si>
  <si>
    <t>Prepare outgoing mail and packages</t>
  </si>
  <si>
    <t>Order office and copy room supplies</t>
  </si>
  <si>
    <t>Inventory awareness</t>
  </si>
  <si>
    <t>Technology &amp; Systems</t>
  </si>
  <si>
    <t>Use Microsoft Office tools</t>
  </si>
  <si>
    <t>Use accounting software (Viewpoint, etc.)</t>
  </si>
  <si>
    <t>ERP navigation</t>
  </si>
  <si>
    <t>Operate phone and office systems</t>
  </si>
  <si>
    <t>Office systems usage</t>
  </si>
  <si>
    <t>Professional Skills &amp; Behaviors</t>
  </si>
  <si>
    <t>ETHICS</t>
  </si>
  <si>
    <t>Maintain confidentiality</t>
  </si>
  <si>
    <t>DEP</t>
  </si>
  <si>
    <t>Dependability</t>
  </si>
  <si>
    <t>Arrive on time and meet commitments</t>
  </si>
  <si>
    <t>Reliability</t>
  </si>
  <si>
    <t>Adaptability</t>
  </si>
  <si>
    <t>Adjust to changing priorities</t>
  </si>
  <si>
    <t>Flexibility</t>
  </si>
  <si>
    <t>Resolve routine issues independently</t>
  </si>
  <si>
    <t>Basic problem resolution</t>
  </si>
  <si>
    <t>Chief Operations Officer (COO)</t>
  </si>
  <si>
    <t>Chief Executive Officer (CEO)</t>
  </si>
  <si>
    <t>Chief Financial Officer (CFO)</t>
  </si>
  <si>
    <t>Benefits Manager</t>
  </si>
  <si>
    <t>Payroll Manager (TAB-DELIMITED)</t>
  </si>
  <si>
    <t>Electrical Professional Engineer (licensed PE)</t>
  </si>
  <si>
    <t>2110 — Marketing &amp; BD Manager</t>
  </si>
  <si>
    <t>2111 — Marketing &amp; BD Manager</t>
  </si>
  <si>
    <t>2112 — Marketing &amp; BD Manager</t>
  </si>
  <si>
    <t>2113 — Marketing &amp; BD Manager</t>
  </si>
  <si>
    <t>2114 — Marketing &amp; BD Manager</t>
  </si>
  <si>
    <t>2115 — Marketing &amp; BD Manager</t>
  </si>
  <si>
    <t>2116 — Marketing &amp; BD Manager</t>
  </si>
  <si>
    <t>2117 — Marketing &amp; BD Manager</t>
  </si>
  <si>
    <t>2118 — Marketing &amp; BD Manager</t>
  </si>
  <si>
    <t>2119 — Marketing &amp; BD Manager</t>
  </si>
  <si>
    <t>2120 — Marketing &amp; BD Manager</t>
  </si>
  <si>
    <t>2121 — Marketing &amp; BD Manager</t>
  </si>
  <si>
    <t>2122 — Marketing &amp; BD Manager</t>
  </si>
  <si>
    <t>2123 — Marketing &amp; BD Manager</t>
  </si>
  <si>
    <t>2124 — Marketing &amp; BD Manager</t>
  </si>
  <si>
    <t>2125 — Marketing &amp; BD Manager</t>
  </si>
  <si>
    <t>2126 — Marketing &amp; BD Manager</t>
  </si>
  <si>
    <t>2127 — Marketing &amp; BD Manager</t>
  </si>
  <si>
    <t>2128 — Marketing &amp; BD Manager</t>
  </si>
  <si>
    <t>2129 — Marketing &amp; BD Manager</t>
  </si>
  <si>
    <t>2130 — Marketing &amp; BD Manager</t>
  </si>
  <si>
    <t>2131 — Marketing &amp; BD Manager</t>
  </si>
  <si>
    <t>Estimator – 1</t>
  </si>
  <si>
    <t>Lead Estimator – 1</t>
  </si>
  <si>
    <t>Lead Estimator – 2</t>
  </si>
  <si>
    <t>Designer – 2</t>
  </si>
  <si>
    <t>Designer – 3</t>
  </si>
  <si>
    <t>Designer – 4</t>
  </si>
  <si>
    <t>Designer – 5</t>
  </si>
  <si>
    <t>Designer – 6</t>
  </si>
  <si>
    <t>Project Manager – 1</t>
  </si>
  <si>
    <t>Apprentice 1B</t>
  </si>
  <si>
    <t>Apprentice 2B</t>
  </si>
  <si>
    <t>Apprentice 2A</t>
  </si>
  <si>
    <t>Apprentice 1A</t>
  </si>
  <si>
    <t>Apprentice 3A</t>
  </si>
  <si>
    <t>Apprentice 3B</t>
  </si>
  <si>
    <t>Apprentice 4A</t>
  </si>
  <si>
    <t>Apprentice 4B</t>
  </si>
  <si>
    <t>Apprentice 5A</t>
  </si>
  <si>
    <t>Apprentice 5B</t>
  </si>
  <si>
    <t>Journeyman-1</t>
  </si>
  <si>
    <t>Journeyman-2</t>
  </si>
  <si>
    <t>Journeyman-3</t>
  </si>
  <si>
    <t>Journeyman-4</t>
  </si>
  <si>
    <t>Leadman 1</t>
  </si>
  <si>
    <t>Leadman 2</t>
  </si>
  <si>
    <t>Leadman 3</t>
  </si>
  <si>
    <t>Foreman 1</t>
  </si>
  <si>
    <t>Foreman 2</t>
  </si>
  <si>
    <t>Foreman-3</t>
  </si>
  <si>
    <t>Superintendent – 2</t>
  </si>
  <si>
    <t>Superintendent – 3</t>
  </si>
  <si>
    <t xml:space="preserve">Fiduciary Duty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</si>
</sst>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
  </numFmts>
  <fonts count="27" x14ac:knownFonts="1">
    <font>
      <sz val="11"/>
      <color rgb="FF000000"/>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b/>
      <sz val="11"/>
      <color rgb="FF000000"/>
      <name val="Aptos Narrow"/>
      <family val="2"/>
      <scheme val="minor"/>
    </font>
    <font>
      <sz val="12"/>
      <color rgb="FF000000"/>
      <name val="Aptos"/>
      <family val="2"/>
    </font>
    <font>
      <sz val="12"/>
      <color rgb="FF576475"/>
      <name val="Aptos"/>
      <family val="2"/>
    </font>
    <font>
      <b/>
      <sz val="12"/>
      <color rgb="FF000000"/>
      <name val="Aptos"/>
      <family val="2"/>
    </font>
    <font>
      <sz val="8"/>
      <name val="Aptos Narrow"/>
      <family val="2"/>
      <scheme val="minor"/>
    </font>
    <font>
      <b/>
      <sz val="13.5"/>
      <color rgb="FF000000"/>
      <name val="Aptos Narrow"/>
      <family val="2"/>
      <scheme val="minor"/>
    </font>
    <font>
      <b/>
      <sz val="18"/>
      <color rgb="FF000000"/>
      <name val="Aptos Narrow"/>
      <family val="2"/>
      <scheme val="minor"/>
    </font>
    <font>
      <b/>
      <sz val="24"/>
      <color rgb="FF000000"/>
      <name val="Aptos Narrow"/>
      <family val="2"/>
      <scheme val="minor"/>
    </font>
    <font>
      <sz val="12"/>
      <color rgb="FF000000"/>
      <name val="Aptos Narrow"/>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8F9FA"/>
        <bgColor indexed="64"/>
      </patternFill>
    </fill>
  </fills>
  <borders count="1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rgb="FFE5E5E5"/>
      </left>
      <right style="medium">
        <color rgb="FFE5E5E5"/>
      </right>
      <top style="medium">
        <color rgb="FFE8EDF1"/>
      </top>
      <bottom style="medium">
        <color rgb="FFE5E5E5"/>
      </bottom>
      <diagonal/>
    </border>
    <border>
      <left style="medium">
        <color indexed="64"/>
      </left>
      <right style="medium">
        <color indexed="64"/>
      </right>
      <top/>
      <bottom style="medium">
        <color indexed="64"/>
      </bottom>
      <diagonal/>
    </border>
    <border>
      <left/>
      <right/>
      <top/>
      <bottom style="medium">
        <color indexed="64"/>
      </bottom>
      <diagonal/>
    </border>
    <border>
      <left style="thin">
        <color indexed="64"/>
      </left>
      <right style="thin">
        <color indexed="64"/>
      </right>
      <top style="thin">
        <color indexed="64"/>
      </top>
      <bottom/>
      <diagonal/>
    </border>
    <border>
      <left style="medium">
        <color rgb="FFE5E5E5"/>
      </left>
      <right style="medium">
        <color rgb="FFE5E5E5"/>
      </right>
      <top style="medium">
        <color rgb="FFE8EDF1"/>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5">
    <xf numFmtId="0" fontId="0" fillId="0" borderId="0" xfId="0"/>
    <xf numFmtId="0" fontId="0" fillId="0" borderId="11" xfId="0" applyBorder="1" applyAlignment="1">
      <alignment wrapText="1"/>
    </xf>
    <xf numFmtId="0" fontId="18" fillId="0" borderId="0" xfId="0" applyFont="1" applyAlignment="1">
      <alignment wrapText="1"/>
    </xf>
    <xf numFmtId="0" fontId="0" fillId="0" borderId="10" xfId="0" applyBorder="1" applyAlignment="1">
      <alignment wrapText="1"/>
    </xf>
    <xf numFmtId="0" fontId="0" fillId="0" borderId="10" xfId="0" applyBorder="1"/>
    <xf numFmtId="0" fontId="0" fillId="33" borderId="10" xfId="0" applyFill="1" applyBorder="1" applyAlignment="1">
      <alignment wrapText="1"/>
    </xf>
    <xf numFmtId="0" fontId="18" fillId="0" borderId="12" xfId="0" applyFont="1" applyBorder="1" applyAlignment="1">
      <alignment horizontal="center" vertical="center" wrapText="1"/>
    </xf>
    <xf numFmtId="0" fontId="0" fillId="0" borderId="0" xfId="0" applyAlignment="1">
      <alignment horizontal="center" vertical="center" wrapText="1"/>
    </xf>
    <xf numFmtId="0" fontId="0" fillId="0" borderId="11" xfId="0" applyBorder="1" applyAlignment="1">
      <alignment horizontal="center" wrapText="1"/>
    </xf>
    <xf numFmtId="0" fontId="0" fillId="0" borderId="10" xfId="0" applyBorder="1" applyAlignment="1">
      <alignment horizontal="center" wrapText="1"/>
    </xf>
    <xf numFmtId="0" fontId="0" fillId="0" borderId="10" xfId="0" applyBorder="1" applyAlignment="1">
      <alignment horizontal="center"/>
    </xf>
    <xf numFmtId="0" fontId="0" fillId="0" borderId="0" xfId="0" applyAlignment="1">
      <alignment horizontal="center"/>
    </xf>
    <xf numFmtId="0" fontId="18" fillId="0" borderId="0" xfId="0" applyFont="1" applyAlignment="1">
      <alignment horizontal="center" wrapText="1"/>
    </xf>
    <xf numFmtId="164" fontId="0" fillId="0" borderId="0" xfId="0" applyNumberFormat="1" applyAlignment="1">
      <alignment horizontal="center"/>
    </xf>
    <xf numFmtId="164" fontId="0" fillId="0" borderId="11" xfId="0" applyNumberFormat="1" applyBorder="1" applyAlignment="1">
      <alignment horizontal="center"/>
    </xf>
    <xf numFmtId="164" fontId="0" fillId="0" borderId="10" xfId="0" applyNumberFormat="1" applyBorder="1" applyAlignment="1">
      <alignment horizontal="center"/>
    </xf>
    <xf numFmtId="164" fontId="0" fillId="0" borderId="10" xfId="0" applyNumberFormat="1" applyBorder="1" applyAlignment="1">
      <alignment horizontal="center" wrapText="1"/>
    </xf>
    <xf numFmtId="0" fontId="0" fillId="0" borderId="11" xfId="0" applyBorder="1" applyAlignment="1">
      <alignment horizontal="center"/>
    </xf>
    <xf numFmtId="0" fontId="0" fillId="0" borderId="11" xfId="0" applyBorder="1" applyAlignment="1">
      <alignment vertical="center" wrapText="1"/>
    </xf>
    <xf numFmtId="0" fontId="0" fillId="0" borderId="10"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18" fillId="0" borderId="0" xfId="0" applyFont="1" applyAlignment="1">
      <alignment vertical="center" wrapText="1"/>
    </xf>
    <xf numFmtId="0" fontId="0" fillId="0" borderId="11" xfId="0" applyBorder="1"/>
    <xf numFmtId="0" fontId="19" fillId="0" borderId="0" xfId="0" applyFont="1" applyAlignment="1">
      <alignment vertical="center"/>
    </xf>
    <xf numFmtId="0" fontId="20" fillId="34" borderId="13" xfId="0" applyFont="1" applyFill="1" applyBorder="1" applyAlignment="1">
      <alignment horizontal="left" vertical="center" wrapText="1"/>
    </xf>
    <xf numFmtId="0" fontId="20" fillId="0" borderId="13" xfId="0" applyFont="1" applyBorder="1" applyAlignment="1">
      <alignment horizontal="left" vertical="center" wrapText="1"/>
    </xf>
    <xf numFmtId="0" fontId="21" fillId="0" borderId="0" xfId="0" applyFont="1" applyAlignment="1">
      <alignment horizontal="center" vertical="center"/>
    </xf>
    <xf numFmtId="0" fontId="20" fillId="34" borderId="0" xfId="0" applyFont="1" applyFill="1" applyAlignment="1">
      <alignment horizontal="left" vertical="center" wrapText="1"/>
    </xf>
    <xf numFmtId="0" fontId="20" fillId="0" borderId="0" xfId="0" applyFont="1" applyAlignment="1">
      <alignment horizontal="left" vertical="center" wrapText="1"/>
    </xf>
    <xf numFmtId="0" fontId="18" fillId="0" borderId="0" xfId="0" applyFont="1"/>
    <xf numFmtId="0" fontId="0" fillId="0" borderId="0" xfId="0" applyAlignment="1">
      <alignment horizontal="center" vertical="center"/>
    </xf>
    <xf numFmtId="0" fontId="18" fillId="0" borderId="14" xfId="0" applyFont="1" applyBorder="1" applyAlignment="1">
      <alignment vertical="center" wrapText="1"/>
    </xf>
    <xf numFmtId="0" fontId="18" fillId="0" borderId="14" xfId="0" applyFont="1" applyBorder="1" applyAlignment="1">
      <alignment horizontal="center" vertical="center" wrapText="1"/>
    </xf>
    <xf numFmtId="164" fontId="18" fillId="0" borderId="14" xfId="0" applyNumberFormat="1" applyFont="1" applyBorder="1" applyAlignment="1">
      <alignment horizontal="center" vertical="center" wrapText="1"/>
    </xf>
    <xf numFmtId="0" fontId="18" fillId="0" borderId="15" xfId="0" applyFont="1" applyBorder="1" applyAlignment="1">
      <alignment horizontal="center" vertical="center" wrapText="1"/>
    </xf>
    <xf numFmtId="0" fontId="0" fillId="0" borderId="14" xfId="0" applyBorder="1" applyAlignment="1">
      <alignment horizontal="center" vertical="center" wrapText="1"/>
    </xf>
    <xf numFmtId="0" fontId="0" fillId="0" borderId="16" xfId="0" applyBorder="1" applyAlignment="1">
      <alignment vertical="center" wrapText="1"/>
    </xf>
    <xf numFmtId="0" fontId="0" fillId="0" borderId="16" xfId="0" applyBorder="1" applyAlignment="1">
      <alignment horizontal="center" wrapText="1"/>
    </xf>
    <xf numFmtId="0" fontId="0" fillId="0" borderId="16" xfId="0" applyBorder="1" applyAlignment="1">
      <alignment wrapText="1"/>
    </xf>
    <xf numFmtId="164" fontId="0" fillId="0" borderId="16" xfId="0" applyNumberFormat="1" applyBorder="1" applyAlignment="1">
      <alignment horizontal="center"/>
    </xf>
    <xf numFmtId="0" fontId="0" fillId="0" borderId="16" xfId="0" applyBorder="1"/>
    <xf numFmtId="0" fontId="0" fillId="0" borderId="0" xfId="0" applyAlignment="1">
      <alignment horizontal="left"/>
    </xf>
    <xf numFmtId="0" fontId="13" fillId="7" borderId="7" xfId="13" applyAlignment="1">
      <alignment horizontal="center" vertical="center"/>
    </xf>
    <xf numFmtId="0" fontId="13" fillId="7" borderId="7" xfId="13" applyAlignment="1">
      <alignment horizontal="center" vertical="center" wrapText="1"/>
    </xf>
    <xf numFmtId="0" fontId="20" fillId="0" borderId="13" xfId="0" applyFont="1" applyBorder="1" applyAlignment="1">
      <alignment horizontal="center" vertical="center" wrapText="1"/>
    </xf>
    <xf numFmtId="0" fontId="20" fillId="0" borderId="0" xfId="0" applyFont="1" applyAlignment="1">
      <alignment horizontal="center" vertical="center" wrapText="1"/>
    </xf>
    <xf numFmtId="0" fontId="21" fillId="0" borderId="0" xfId="0" applyFont="1" applyAlignment="1">
      <alignment horizontal="center"/>
    </xf>
    <xf numFmtId="0" fontId="19" fillId="0" borderId="0" xfId="0" applyFont="1"/>
    <xf numFmtId="0" fontId="19" fillId="0" borderId="0" xfId="0" applyFont="1" applyAlignment="1">
      <alignment horizontal="center" vertical="center" wrapText="1"/>
    </xf>
    <xf numFmtId="0" fontId="19" fillId="0" borderId="0" xfId="0" applyFont="1" applyAlignment="1">
      <alignment horizontal="center" vertical="center"/>
    </xf>
    <xf numFmtId="0" fontId="19" fillId="0" borderId="0" xfId="0" applyFont="1" applyAlignment="1">
      <alignment horizontal="left" vertical="center"/>
    </xf>
    <xf numFmtId="0" fontId="19" fillId="0" borderId="0" xfId="0" applyFont="1" applyAlignment="1">
      <alignment horizontal="center"/>
    </xf>
    <xf numFmtId="0" fontId="21" fillId="0" borderId="0" xfId="0" applyFont="1" applyAlignment="1">
      <alignment horizontal="left"/>
    </xf>
    <xf numFmtId="0" fontId="19" fillId="0" borderId="0" xfId="0" applyFont="1" applyAlignment="1">
      <alignment horizontal="left"/>
    </xf>
    <xf numFmtId="0" fontId="23" fillId="0" borderId="0" xfId="0" applyFont="1" applyAlignment="1">
      <alignment vertical="center"/>
    </xf>
    <xf numFmtId="0" fontId="0" fillId="0" borderId="0" xfId="0" applyAlignment="1">
      <alignment horizontal="left" vertical="center" indent="1"/>
    </xf>
    <xf numFmtId="0" fontId="24" fillId="0" borderId="0" xfId="0" applyFont="1" applyAlignment="1">
      <alignment vertical="center"/>
    </xf>
    <xf numFmtId="0" fontId="18" fillId="0" borderId="0" xfId="0" applyFont="1" applyAlignment="1">
      <alignment horizontal="center"/>
    </xf>
    <xf numFmtId="0" fontId="25" fillId="0" borderId="0" xfId="0" applyFont="1" applyAlignment="1">
      <alignment vertical="center"/>
    </xf>
    <xf numFmtId="0" fontId="18" fillId="0" borderId="0" xfId="0" applyFont="1" applyAlignment="1">
      <alignment horizontal="center" vertical="center" wrapText="1"/>
    </xf>
    <xf numFmtId="0" fontId="26" fillId="0" borderId="0" xfId="0" applyFont="1" applyAlignment="1">
      <alignment vertical="center"/>
    </xf>
    <xf numFmtId="0" fontId="0" fillId="0" borderId="13" xfId="0" applyBorder="1"/>
    <xf numFmtId="0" fontId="19" fillId="0" borderId="13" xfId="0" applyFont="1" applyBorder="1" applyAlignment="1">
      <alignment horizontal="center" vertical="center"/>
    </xf>
    <xf numFmtId="0" fontId="0" fillId="0" borderId="17" xfId="0"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2">
    <dxf>
      <border outline="0">
        <top style="double">
          <color rgb="FF3F3F3F"/>
        </top>
      </border>
    </dxf>
    <dxf>
      <border outline="0">
        <bottom style="double">
          <color rgb="FF3F3F3F"/>
        </bottom>
      </border>
    </dxf>
    <dxf>
      <alignment horizontal="center" vertical="center" textRotation="0" wrapText="0" indent="0" justifyLastLine="0" shrinkToFit="0" readingOrder="0"/>
    </dxf>
    <dxf>
      <font>
        <strike val="0"/>
        <outline val="0"/>
        <shadow val="0"/>
        <u val="none"/>
        <vertAlign val="baseline"/>
        <sz val="12"/>
        <name val="Aptos"/>
        <family val="2"/>
        <scheme val="none"/>
      </font>
      <fill>
        <patternFill patternType="none">
          <fgColor indexed="64"/>
          <bgColor auto="1"/>
        </patternFill>
      </fill>
      <alignment horizontal="center" vertical="center" textRotation="0" indent="0" justifyLastLine="0" shrinkToFit="0" readingOrder="0"/>
    </dxf>
    <dxf>
      <font>
        <strike val="0"/>
        <outline val="0"/>
        <shadow val="0"/>
        <u val="none"/>
        <vertAlign val="baseline"/>
        <sz val="12"/>
        <name val="Aptos"/>
        <family val="2"/>
        <scheme val="none"/>
      </font>
      <fill>
        <patternFill patternType="none">
          <fgColor indexed="64"/>
          <bgColor auto="1"/>
        </patternFill>
      </fill>
      <alignment horizontal="center" vertical="center" textRotation="0" indent="0" justifyLastLine="0" shrinkToFit="0" readingOrder="0"/>
    </dxf>
    <dxf>
      <font>
        <b val="0"/>
        <i val="0"/>
        <strike val="0"/>
        <condense val="0"/>
        <extend val="0"/>
        <outline val="0"/>
        <shadow val="0"/>
        <u val="none"/>
        <vertAlign val="baseline"/>
        <sz val="12"/>
        <color rgb="FF000000"/>
        <name val="Aptos"/>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2"/>
        <name val="Aptos"/>
        <family val="2"/>
        <scheme val="none"/>
      </font>
      <fill>
        <patternFill patternType="none">
          <fgColor indexed="64"/>
          <bgColor indexed="65"/>
        </patternFill>
      </fill>
      <alignment horizontal="center" vertical="center" textRotation="0" indent="0" justifyLastLine="0" shrinkToFit="0" readingOrder="0"/>
    </dxf>
    <dxf>
      <font>
        <strike val="0"/>
        <outline val="0"/>
        <shadow val="0"/>
        <u val="none"/>
        <vertAlign val="baseline"/>
        <sz val="12"/>
        <name val="Aptos"/>
        <family val="2"/>
        <scheme val="none"/>
      </font>
      <fill>
        <patternFill patternType="none">
          <fgColor indexed="64"/>
          <bgColor indexed="65"/>
        </patternFill>
      </fill>
      <alignment horizontal="left" vertical="center" textRotation="0" indent="0" justifyLastLine="0" shrinkToFit="0" readingOrder="0"/>
    </dxf>
    <dxf>
      <font>
        <strike val="0"/>
        <outline val="0"/>
        <shadow val="0"/>
        <u val="none"/>
        <vertAlign val="baseline"/>
        <sz val="12"/>
        <name val="Aptos"/>
        <family val="2"/>
        <scheme val="none"/>
      </font>
      <fill>
        <patternFill patternType="none">
          <fgColor indexed="64"/>
          <bgColor auto="1"/>
        </patternFill>
      </fill>
      <alignment horizontal="center" vertical="center" textRotation="0" indent="0" justifyLastLine="0" shrinkToFit="0" readingOrder="0"/>
    </dxf>
    <dxf>
      <font>
        <strike val="0"/>
        <outline val="0"/>
        <shadow val="0"/>
        <u val="none"/>
        <vertAlign val="baseline"/>
        <sz val="12"/>
        <name val="Aptos"/>
        <family val="2"/>
        <scheme val="none"/>
      </font>
      <fill>
        <patternFill patternType="none">
          <fgColor indexed="64"/>
          <bgColor auto="1"/>
        </patternFill>
      </fill>
      <alignment horizontal="center" vertical="center" textRotation="0" indent="0" justifyLastLine="0" shrinkToFit="0" readingOrder="0"/>
    </dxf>
    <dxf>
      <font>
        <b val="0"/>
        <i val="0"/>
        <strike val="0"/>
        <condense val="0"/>
        <extend val="0"/>
        <outline val="0"/>
        <shadow val="0"/>
        <u val="none"/>
        <vertAlign val="baseline"/>
        <sz val="12"/>
        <color rgb="FF576475"/>
        <name val="Aptos"/>
        <family val="2"/>
        <scheme val="none"/>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rgb="FF576475"/>
        <name val="Aptos"/>
        <family val="2"/>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rgb="FF576475"/>
        <name val="Aptos"/>
        <family val="2"/>
        <scheme val="none"/>
      </font>
      <fill>
        <patternFill patternType="none">
          <fgColor indexed="64"/>
          <bgColor auto="1"/>
        </patternFill>
      </fill>
      <alignment horizontal="center" vertical="center" textRotation="0" wrapText="1" indent="0" justifyLastLine="0" shrinkToFit="0" readingOrder="0"/>
      <border diagonalUp="0" diagonalDown="0" outline="0">
        <left style="medium">
          <color rgb="FFE5E5E5"/>
        </left>
        <right style="medium">
          <color rgb="FFE5E5E5"/>
        </right>
        <top style="medium">
          <color rgb="FFE8EDF1"/>
        </top>
        <bottom style="medium">
          <color rgb="FFE5E5E5"/>
        </bottom>
      </border>
    </dxf>
    <dxf>
      <font>
        <b val="0"/>
        <i val="0"/>
        <strike val="0"/>
        <condense val="0"/>
        <extend val="0"/>
        <outline val="0"/>
        <shadow val="0"/>
        <u val="none"/>
        <vertAlign val="baseline"/>
        <sz val="12"/>
        <color rgb="FF576475"/>
        <name val="Aptos"/>
        <family val="2"/>
        <scheme val="none"/>
      </font>
      <fill>
        <patternFill patternType="none">
          <fgColor indexed="64"/>
          <bgColor auto="1"/>
        </patternFill>
      </fill>
      <alignment horizontal="center" vertical="center" textRotation="0" wrapText="1" indent="0" justifyLastLine="0" shrinkToFit="0" readingOrder="0"/>
      <border diagonalUp="0" diagonalDown="0" outline="0">
        <left style="medium">
          <color rgb="FFE5E5E5"/>
        </left>
        <right style="medium">
          <color rgb="FFE5E5E5"/>
        </right>
        <top style="medium">
          <color rgb="FFE8EDF1"/>
        </top>
        <bottom style="medium">
          <color rgb="FFE5E5E5"/>
        </bottom>
      </border>
    </dxf>
    <dxf>
      <font>
        <strike val="0"/>
        <outline val="0"/>
        <shadow val="0"/>
        <u val="none"/>
        <vertAlign val="baseline"/>
        <sz val="12"/>
        <name val="Aptos"/>
        <family val="2"/>
        <scheme val="none"/>
      </font>
      <numFmt numFmtId="0" formatCode="General"/>
      <fill>
        <patternFill patternType="none">
          <fgColor indexed="64"/>
          <bgColor auto="1"/>
        </patternFill>
      </fill>
    </dxf>
    <dxf>
      <font>
        <strike val="0"/>
        <outline val="0"/>
        <shadow val="0"/>
        <u val="none"/>
        <vertAlign val="baseline"/>
        <sz val="12"/>
        <name val="Aptos"/>
        <family val="2"/>
        <scheme val="none"/>
      </font>
      <fill>
        <patternFill patternType="none">
          <fgColor indexed="64"/>
          <bgColor auto="1"/>
        </patternFill>
      </fill>
    </dxf>
    <dxf>
      <font>
        <b/>
        <i val="0"/>
        <strike val="0"/>
        <condense val="0"/>
        <extend val="0"/>
        <outline val="0"/>
        <shadow val="0"/>
        <u val="none"/>
        <vertAlign val="baseline"/>
        <sz val="12"/>
        <color rgb="FF000000"/>
        <name val="Aptos"/>
        <family val="2"/>
        <scheme val="none"/>
      </font>
      <fill>
        <patternFill patternType="none">
          <fgColor indexed="64"/>
          <bgColor auto="1"/>
        </patternFill>
      </fill>
      <alignment horizontal="center" vertical="bottom" textRotation="0" wrapText="0" indent="0" justifyLastLine="0" shrinkToFit="0" readingOrder="0"/>
    </dxf>
    <dxf>
      <numFmt numFmtId="0" formatCode="General"/>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4" formatCode="m/d/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border outline="0">
        <bottom style="medium">
          <color indexed="64"/>
        </bottom>
      </border>
    </dxf>
    <dxf>
      <alignment horizontal="center" vertical="center" textRotation="0" wrapText="1" indent="0" justifyLastLine="0" shrinkToFit="0" readingOrder="0"/>
      <border diagonalUp="0" diagonalDown="0" outline="0">
        <left style="medium">
          <color indexed="64"/>
        </left>
        <right style="medium">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openxmlformats.org/officeDocument/2006/relationships/customXml" Target="../customXml/item2.xml"/><Relationship Id="rId3" Type="http://schemas.openxmlformats.org/officeDocument/2006/relationships/worksheet" Target="worksheets/sheet3.xml"/><Relationship Id="rId21" Type="http://schemas.microsoft.com/office/2017/06/relationships/rdRichValue" Target="richData/rdrichvalu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Types" Target="richData/rdRichValueType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Structure" Target="richData/rdrichvaluestructure.xml"/><Relationship Id="rId27" Type="http://schemas.openxmlformats.org/officeDocument/2006/relationships/customXml" Target="../customXml/item3.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E21505D-FB1D-4215-BBB6-1C0B5C879E71}" name="EmployeesTable" displayName="EmployeesTable" ref="A1:V304" totalsRowShown="0" headerRowDxfId="41" headerRowBorderDxfId="40" tableBorderDxfId="39">
  <autoFilter ref="A1:V304" xr:uid="{8E21505D-FB1D-4215-BBB6-1C0B5C879E71}"/>
  <tableColumns count="22">
    <tableColumn id="1" xr3:uid="{86D6D44D-4192-463D-84AC-0F3C3D79979E}" name="Name" dataDxfId="38"/>
    <tableColumn id="2" xr3:uid="{73B70EA2-111B-477C-906B-D693C082C30A}" name="Job Code" dataDxfId="37"/>
    <tableColumn id="3" xr3:uid="{8606E6F7-3A5E-489B-8F14-0EFF98786A23}" name="Job Title" dataDxfId="36"/>
    <tableColumn id="4" xr3:uid="{601049BE-A361-4C05-AA75-97BA89290C25}" name="Additional Executive Role" dataDxfId="35"/>
    <tableColumn id="5" xr3:uid="{1FEDF270-8DE0-4C12-BD8B-40638DE155B1}" name="Hire Date" dataDxfId="34"/>
    <tableColumn id="6" xr3:uid="{54A21ED6-E675-4825-B5E1-B7040EE95809}" name="User Name" dataDxfId="33"/>
    <tableColumn id="7" xr3:uid="{51C765B9-7469-4C6C-8182-40C3D3E59BCE}" name="Manager" dataDxfId="32"/>
    <tableColumn id="8" xr3:uid="{F1997C1D-E5A0-4567-BAFF-0DFF63949B43}" name="Company Location" dataDxfId="31"/>
    <tableColumn id="9" xr3:uid="{8260B4D0-A8C1-4418-8056-BA5640FF72C9}" name="Branch" dataDxfId="30"/>
    <tableColumn id="10" xr3:uid="{C3E8BEB8-70CB-4226-BFA4-741ED9C256B2}" name="Succession Plan Job Code" dataDxfId="29"/>
    <tableColumn id="11" xr3:uid="{B89BC769-F4ED-4671-AB70-422FACC60930}" name="Succession Plan Job Title" dataDxfId="28"/>
    <tableColumn id="12" xr3:uid="{0F0237F2-2D5E-435B-B2AB-7FD085E5C336}" name="Notes – Skills/Development" dataDxfId="27"/>
    <tableColumn id="13" xr3:uid="{421B2B67-0E11-47E1-BE27-4319319C1EE3}" name="Succession Skills Ready – Required Total" dataDxfId="26">
      <calculatedColumnFormula>COUNTIFS(JobCodeSkills!$B:$B, EmployeesTable[[#This Row],[Succession Plan Job Code]],
          JobCodeSkills!$K:$K, "Required")</calculatedColumnFormula>
    </tableColumn>
    <tableColumn id="14" xr3:uid="{CDF1E1AF-2261-46FD-84A7-C4BFB5B1CEC5}" name="Succession Skills Ready – Required Met" dataDxfId="25">
      <calculatedColumnFormula>COUNTIFS(EmployeeSkills!$A:$A, EmployeesTable[[#This Row],[User Name]],
          EmployeeSkills!$B:$B, EmployeesTable[[#This Row],[Succession Plan Job Code]],
          EmployeeSkills!$D:$D, "Competent")</calculatedColumnFormula>
    </tableColumn>
    <tableColumn id="15" xr3:uid="{E08AF91E-85FA-4BC5-BB13-9D63EC309128}" name="Succession Skills Readiness %" dataDxfId="24">
      <calculatedColumnFormula>IF(EmployeesTable[[#This Row],[Succession Skills Ready – Required Total]]=0,"",
   EmployeesTable[[#This Row],[Succession Skills Ready – Required Met]]/EmployeesTable[[#This Row],[Succession Skills Ready – Required Total]])</calculatedColumnFormula>
    </tableColumn>
    <tableColumn id="16" xr3:uid="{685DF9B5-CD2B-4F8C-82BC-179A9ECBC553}" name="Succession Skills Readiness Status" dataDxfId="23">
      <calculatedColumnFormula array="1">_xlfn.IFS(EmployeesTable[[#This Row],[Succession Skills Readiness %]]="","",
     EmployeesTable[[#This Row],[Succession Skills Readiness %]]&lt;0.6,"Not Ready",
     EmployeesTable[[#This Row],[Succession Skills Readiness %]]&lt;0.8,"Developing",
     TRUE,"Ready")</calculatedColumnFormula>
    </tableColumn>
    <tableColumn id="17" xr3:uid="{8D8E94F8-FAC9-4978-A990-C91B7B46D648}" name="Skills Needed – Current" dataDxfId="22">
      <calculatedColumnFormula array="1">_xlfn.TEXTJOIN(", ",TRUE,
  _xlfn._xlws.FILTER(JobCodeSkills!$G:$G,
    (JobCodeSkills!$B:$B=EmployeesTable[[#This Row],[Job Code]])*
    (JobCodeSkills!$K:$K="Required")
  )
)</calculatedColumnFormula>
    </tableColumn>
    <tableColumn id="22" xr3:uid="{3215C80B-EAA6-4CFB-BB02-28B9CEDC4893}" name="Succession Skills Ready – Total Points" dataDxfId="21"/>
    <tableColumn id="21" xr3:uid="{E8F93344-170D-4137-95F7-66D40B251AF3}" name="Succession Skills Ready – Points Met" dataDxfId="20"/>
    <tableColumn id="20" xr3:uid="{A465FB73-B371-4FE4-80FE-F741514F3919}" name="Succession Skills Readiness % (Weighted)" dataDxfId="19"/>
    <tableColumn id="23" xr3:uid="{B8DC243B-F029-40BB-A1BA-C1F8251AD056}" name="Missing Required Skills – Succession (Top 5)" dataDxfId="18"/>
    <tableColumn id="18" xr3:uid="{04DF6C8F-1F5F-4F97-9AC8-5946D4C69C93}" name="Skills Needed – Executive Role" dataDxfId="17">
      <calculatedColumnFormula array="1">IF(EmployeesTable[[#This Row],[Additional Executive Role]]="","",
  _xlfn.TEXTJOIN(", ",TRUE,
    _xlfn._xlws.FILTER(ExecRoleSkills!$B:$B,
      ExecRoleSkills!$A:$A=EmployeesTable[[#This Row],[Additional Executive Role]]
    )
  )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D53E3F-7859-40E7-8EBF-718CB780E7AC}" name="JobCodeSkills" displayName="JobCodeSkills" ref="A1:L1840" totalsRowShown="0" headerRowDxfId="16" dataDxfId="15">
  <autoFilter ref="A1:L1840" xr:uid="{5FD53E3F-7859-40E7-8EBF-718CB780E7AC}">
    <filterColumn colId="0">
      <filters>
        <filter val="SKL-0001"/>
        <filter val="SKL-0002"/>
        <filter val="SKL-0004"/>
        <filter val="SKL-0007"/>
        <filter val="SKL-0008"/>
        <filter val="SKL-0009"/>
        <filter val="SKL-0010"/>
        <filter val="SKL-0012"/>
        <filter val="SKL-0014"/>
        <filter val="SKL-0016"/>
        <filter val="SKL-0017"/>
        <filter val="SKL-0018"/>
        <filter val="SKL-0019"/>
        <filter val="SKL-0020"/>
        <filter val="SKL-0021"/>
        <filter val="SKL-0022"/>
        <filter val="SKL-0023"/>
        <filter val="SKL-0024"/>
        <filter val="SKL-0025"/>
        <filter val="SKL-0028"/>
        <filter val="SKL-0029"/>
        <filter val="SKL-0030"/>
        <filter val="SKL-0031"/>
        <filter val="SKL-0033"/>
        <filter val="SKL-0034"/>
        <filter val="SKL-0035"/>
        <filter val="SKL-0036"/>
        <filter val="SKL-0037"/>
        <filter val="SKL-0040"/>
        <filter val="SKL-0041"/>
        <filter val="SKL-0042"/>
        <filter val="SKL-0043"/>
        <filter val="SKL-0044"/>
        <filter val="SKL-0045"/>
        <filter val="SKL-0047"/>
        <filter val="SKL-0048"/>
        <filter val="SKL-0049"/>
        <filter val="SKL-0050"/>
        <filter val="SKL-0051"/>
        <filter val="SKL-0052"/>
        <filter val="SKL-0054"/>
        <filter val="SKL-0055"/>
        <filter val="SKL-0057"/>
        <filter val="SKL-0058"/>
        <filter val="SKL-0059"/>
        <filter val="SKL-0060"/>
        <filter val="SKL-0061"/>
        <filter val="SKL-0063"/>
        <filter val="SKL-0064"/>
        <filter val="SKL-0065"/>
        <filter val="SKL-0067"/>
        <filter val="SKL-0069"/>
        <filter val="SKL-0070"/>
        <filter val="SKL-0071"/>
        <filter val="SKL-0072"/>
        <filter val="SKL-0073"/>
        <filter val="SKL-0074"/>
        <filter val="SKL-0075"/>
        <filter val="SKL-0076"/>
        <filter val="SKL-0077"/>
        <filter val="SKL-0078"/>
        <filter val="SKL-0079"/>
        <filter val="SKL-0080"/>
        <filter val="SKL-0081"/>
        <filter val="SKL-0082"/>
        <filter val="SKL-0083"/>
        <filter val="SKL-0084"/>
        <filter val="SKL-0085"/>
        <filter val="SKL-0086"/>
        <filter val="SKL-0087"/>
        <filter val="SKL-0088"/>
        <filter val="SKL-0093"/>
        <filter val="SKL-0094"/>
        <filter val="SKL-0095"/>
        <filter val="SKL-0096"/>
        <filter val="SKL-0098"/>
        <filter val="SKL-0100"/>
        <filter val="SKL-0101"/>
        <filter val="SKL-0102"/>
        <filter val="SKL-0103"/>
        <filter val="SKL-0107"/>
        <filter val="SKL-0108"/>
        <filter val="SKL-0109"/>
        <filter val="SKL-0110"/>
        <filter val="SKL-0111"/>
        <filter val="SKL-0112"/>
        <filter val="SKL-0113"/>
        <filter val="SKL-0114"/>
        <filter val="SKL-0116"/>
        <filter val="SKL-0119"/>
        <filter val="SKL-0120"/>
        <filter val="SKL-0121"/>
        <filter val="SKL-0122"/>
        <filter val="SKL-0123"/>
        <filter val="SKL-0125"/>
        <filter val="SKL-0126"/>
        <filter val="SKL-0128"/>
        <filter val="SKL-0129"/>
        <filter val="SKL-0130"/>
        <filter val="SK-PLAN-001"/>
      </filters>
    </filterColumn>
  </autoFilter>
  <sortState xmlns:xlrd2="http://schemas.microsoft.com/office/spreadsheetml/2017/richdata2" ref="A2:L1840">
    <sortCondition ref="A1:A1840"/>
  </sortState>
  <tableColumns count="12">
    <tableColumn id="10" xr3:uid="{A2514EB9-14E6-45E8-865A-D7EEBB752AFF}" name="Skill ID" dataDxfId="14">
      <calculatedColumnFormula>IF(JobCodeSkills[[#This Row],[Secondary  Skills  Categories]]="","",
"SK-" &amp;
UPPER(JobCodeSkills[[#This Row],[Secondary  Skills  Categories]]) &amp;
"-" &amp;
TEXT(
COUNTIFS(
JobCodeSkills[Secondary  Skills  Categories],JobCodeSkills[[#This Row],[Secondary  Skills  Categories]],
JobCodeSkills[Skill],"&lt;="&amp;JobCodeSkills[[#This Row],[Skill]]
),
"000")
)</calculatedColumnFormula>
    </tableColumn>
    <tableColumn id="1" xr3:uid="{F3E9C42A-A095-4922-A7EE-9234B3601663}" name="Job Code" dataDxfId="13"/>
    <tableColumn id="2" xr3:uid="{5C9C2C30-D302-4422-8F09-FE814D95FB6C}" name="Job Title" dataDxfId="12"/>
    <tableColumn id="7" xr3:uid="{F1E5618D-7006-48B2-9D46-FAE77972B5BA}" name="Role Level" dataDxfId="11"/>
    <tableColumn id="16" xr3:uid="{4F7C1182-E280-4DA2-882C-97194D92E98E}" name="Primary Skill Category" dataDxfId="10">
      <calculatedColumnFormula>IF(I2="","",_xlfn.XLOOKUP(TRIM(I2),'SkillMasterSkill ID'!$C:$C,'SkillMasterSkill ID'!$D:$D,"NOT FOUND",0))</calculatedColumnFormula>
    </tableColumn>
    <tableColumn id="3" xr3:uid="{BCD4FA33-58BE-4EF0-B31E-66F2DAE6D829}" name="Secondary  Skills  Categories" dataDxfId="9"/>
    <tableColumn id="4" xr3:uid="{35F62882-C3A3-4DC7-9511-12B86EDB72F1}" name="Capabilities" dataDxfId="8"/>
    <tableColumn id="8" xr3:uid="{226DA507-2D33-4134-92D2-C05344765DA8}" name="Task" dataDxfId="7"/>
    <tableColumn id="9" xr3:uid="{29964CB1-D2B4-483D-8991-851D9702BF52}" name="Skill" dataDxfId="6"/>
    <tableColumn id="17" xr3:uid="{BFF90825-5913-4360-B902-5C8F77935A9B}" name="Skill Description" dataDxfId="5">
      <calculatedColumnFormula>IF(I2="","",_xlfn.XLOOKUP(TRIM(I2),'SkillMasterSkill ID'!$C:$C,'SkillMasterSkill ID'!$F:$F,"NOT FOUND",0))</calculatedColumnFormula>
    </tableColumn>
    <tableColumn id="5" xr3:uid="{3642CE1F-4639-42B7-9BE4-8CABC4E3460E}" name="Skill Type" dataDxfId="4"/>
    <tableColumn id="6" xr3:uid="{003AC8D5-A5F9-45B0-A50F-7634EB107BED}" name="Weight" dataDxfId="3"/>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046D6BA-FC39-4697-8F14-90BB48082105}" name="Table4" displayName="Table4" ref="A1:H100" totalsRowShown="0" headerRowDxfId="2" headerRowBorderDxfId="1" tableBorderDxfId="0" headerRowCellStyle="Check Cell">
  <autoFilter ref="A1:H100" xr:uid="{F046D6BA-FC39-4697-8F14-90BB48082105}"/>
  <tableColumns count="8">
    <tableColumn id="1" xr3:uid="{D65AD71C-D602-453B-9EF7-A7D79B36F301}" name="Employee Name"/>
    <tableColumn id="2" xr3:uid="{5BD8932A-36F5-4DA6-8C24-594AD1001A19}" name="Job Code"/>
    <tableColumn id="3" xr3:uid="{2310BEFD-E714-4640-AB51-8ED982CE7089}" name="Skill"/>
    <tableColumn id="4" xr3:uid="{932B2CF0-AFBA-4842-8D39-41CB1227EB1B}" name="Skill Status"/>
    <tableColumn id="5" xr3:uid="{EE8F972D-D8D9-45C8-BCA1-706D6D3509E4}" name="Verified"/>
    <tableColumn id="6" xr3:uid="{287EB9B5-9758-4864-AFC2-982E23216795}" name="Verified By"/>
    <tableColumn id="7" xr3:uid="{44332114-3724-4077-84FD-408AC9F177BE}" name="Date Verified"/>
    <tableColumn id="8" xr3:uid="{A4092EF4-F21D-4D4C-8EBD-77D1FCB02DD4}" name="Notes"/>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B9F1EA-505B-4B27-A9ED-5B60F14D15E5}">
  <sheetPr codeName="Sheet1"/>
  <dimension ref="A1:V605"/>
  <sheetViews>
    <sheetView workbookViewId="0">
      <selection activeCell="C7" sqref="C7"/>
    </sheetView>
  </sheetViews>
  <sheetFormatPr defaultRowHeight="15" x14ac:dyDescent="0.25"/>
  <cols>
    <col min="1" max="1" width="28.140625" style="21" customWidth="1"/>
    <col min="2" max="2" width="19.7109375" style="11" customWidth="1"/>
    <col min="3" max="3" width="15.5703125" customWidth="1"/>
    <col min="4" max="4" width="24.85546875" style="11" customWidth="1"/>
    <col min="5" max="5" width="14.140625" style="13" customWidth="1"/>
    <col min="6" max="6" width="34.85546875" customWidth="1"/>
    <col min="7" max="7" width="18.28515625" customWidth="1"/>
    <col min="8" max="8" width="24.42578125" bestFit="1" customWidth="1"/>
    <col min="9" max="9" width="10.5703125" style="11" customWidth="1"/>
    <col min="10" max="10" width="24.5703125" customWidth="1"/>
    <col min="11" max="11" width="23.85546875" customWidth="1"/>
    <col min="12" max="12" width="17.7109375" customWidth="1"/>
    <col min="13" max="13" width="36.5703125" customWidth="1"/>
    <col min="14" max="14" width="35.42578125" customWidth="1"/>
    <col min="15" max="15" width="32.5703125" customWidth="1"/>
    <col min="16" max="16" width="41.85546875" customWidth="1"/>
    <col min="17" max="21" width="22" customWidth="1"/>
    <col min="22" max="22" width="27.5703125" customWidth="1"/>
  </cols>
  <sheetData>
    <row r="1" spans="1:22" s="7" customFormat="1" ht="45.75" thickBot="1" x14ac:dyDescent="0.3">
      <c r="A1" s="32" t="s">
        <v>0</v>
      </c>
      <c r="B1" s="33" t="s">
        <v>1</v>
      </c>
      <c r="C1" s="33" t="s">
        <v>2</v>
      </c>
      <c r="D1" s="33" t="s">
        <v>717</v>
      </c>
      <c r="E1" s="34" t="s">
        <v>3</v>
      </c>
      <c r="F1" s="33" t="s">
        <v>4</v>
      </c>
      <c r="G1" s="33" t="s">
        <v>5</v>
      </c>
      <c r="H1" s="33" t="s">
        <v>6</v>
      </c>
      <c r="I1" s="35" t="s">
        <v>7</v>
      </c>
      <c r="J1" s="36" t="s">
        <v>723</v>
      </c>
      <c r="K1" s="36" t="s">
        <v>724</v>
      </c>
      <c r="L1" s="36" t="s">
        <v>788</v>
      </c>
      <c r="M1" s="36" t="s">
        <v>779</v>
      </c>
      <c r="N1" s="36" t="s">
        <v>780</v>
      </c>
      <c r="O1" s="36" t="s">
        <v>781</v>
      </c>
      <c r="P1" s="36" t="s">
        <v>782</v>
      </c>
      <c r="Q1" s="36" t="s">
        <v>726</v>
      </c>
      <c r="R1" s="36" t="s">
        <v>784</v>
      </c>
      <c r="S1" s="36" t="s">
        <v>785</v>
      </c>
      <c r="T1" s="36" t="s">
        <v>786</v>
      </c>
      <c r="U1" s="36" t="s">
        <v>787</v>
      </c>
      <c r="V1" s="36" t="s">
        <v>727</v>
      </c>
    </row>
    <row r="2" spans="1:22" ht="30" x14ac:dyDescent="0.25">
      <c r="A2" s="18" t="s">
        <v>126</v>
      </c>
      <c r="B2" s="8">
        <v>10814</v>
      </c>
      <c r="C2" s="1" t="s">
        <v>127</v>
      </c>
      <c r="D2" s="8"/>
      <c r="E2" s="14">
        <v>44956</v>
      </c>
      <c r="F2" s="1" t="s">
        <v>128</v>
      </c>
      <c r="G2" s="1" t="s">
        <v>129</v>
      </c>
      <c r="H2" s="1" t="s">
        <v>12</v>
      </c>
      <c r="I2" s="17" t="s">
        <v>712</v>
      </c>
      <c r="J2" s="23"/>
      <c r="K2" s="23"/>
      <c r="L2" s="23"/>
      <c r="M2" s="23">
        <f>COUNTIFS(JobCodeSkills!$B:$B, EmployeesTable[[#This Row],[Succession Plan Job Code]],
          JobCodeSkills!$K:$K, "Required")</f>
        <v>0</v>
      </c>
      <c r="N2" s="23">
        <f>COUNTIFS(EmployeeSkills!$A:$A, EmployeesTable[[#This Row],[User Name]],
          EmployeeSkills!$B:$B, EmployeesTable[[#This Row],[Succession Plan Job Code]],
          EmployeeSkills!$D:$D, "Competent")</f>
        <v>0</v>
      </c>
      <c r="O2" s="23" t="str">
        <f>IF(EmployeesTable[[#This Row],[Succession Skills Ready – Required Total]]=0,"",
   EmployeesTable[[#This Row],[Succession Skills Ready – Required Met]]/EmployeesTable[[#This Row],[Succession Skills Ready – Required Total]])</f>
        <v/>
      </c>
      <c r="P2" s="23" t="str" cm="1">
        <f t="array" ref="P2">_xlfn.IFS(EmployeesTable[[#This Row],[Succession Skills Readiness %]]="","",
     EmployeesTable[[#This Row],[Succession Skills Readiness %]]&lt;0.6,"Not Ready",
     EmployeesTable[[#This Row],[Succession Skills Readiness %]]&lt;0.8,"Developing",
     TRUE,"Ready")</f>
        <v/>
      </c>
      <c r="Q2" s="23" t="e" cm="1" vm="1">
        <f t="array" ref="Q2">_xlfn.TEXTJOIN(", ",TRUE,
  _xlfn._xlws.FILTER(JobCodeSkills!$G:$G,
    (JobCodeSkills!$B:$B=EmployeesTable[[#This Row],[Job Code]])*
    (JobCodeSkills!$K:$K="Required")
  )
)</f>
        <v>#VALUE!</v>
      </c>
      <c r="R2" s="23"/>
      <c r="S2" s="23"/>
      <c r="T2" s="23"/>
      <c r="U2" s="23"/>
      <c r="V2" s="23" t="str" cm="1">
        <f t="array" ref="V2">IF(EmployeesTable[[#This Row],[Additional Executive Role]]="","",
  _xlfn.TEXTJOIN(", ",TRUE,
    _xlfn._xlws.FILTER(ExecRoleSkills!$B:$B,
      ExecRoleSkills!$A:$A=EmployeesTable[[#This Row],[Additional Executive Role]]
    )
  )
)</f>
        <v/>
      </c>
    </row>
    <row r="3" spans="1:22" ht="30" x14ac:dyDescent="0.25">
      <c r="A3" s="19" t="s">
        <v>130</v>
      </c>
      <c r="B3" s="9">
        <v>10601</v>
      </c>
      <c r="C3" s="3" t="s">
        <v>127</v>
      </c>
      <c r="D3" s="9"/>
      <c r="E3" s="15">
        <v>44333</v>
      </c>
      <c r="F3" s="3" t="s">
        <v>131</v>
      </c>
      <c r="G3" s="3" t="s">
        <v>129</v>
      </c>
      <c r="H3" s="3" t="s">
        <v>12</v>
      </c>
      <c r="I3" s="10" t="s">
        <v>712</v>
      </c>
      <c r="J3" s="4"/>
      <c r="K3" s="4"/>
      <c r="L3" s="4"/>
      <c r="M3" s="3">
        <f>COUNTIFS(JobCodeSkills!$B:$B, EmployeesTable[[#This Row],[Succession Plan Job Code]],
          JobCodeSkills!$K:$K, "Required")</f>
        <v>0</v>
      </c>
      <c r="N3" s="4">
        <f>COUNTIFS(EmployeeSkills!$A:$A, EmployeesTable[[#This Row],[User Name]],
          EmployeeSkills!$B:$B, EmployeesTable[[#This Row],[Succession Plan Job Code]],
          EmployeeSkills!$D:$D, "Competent")</f>
        <v>0</v>
      </c>
      <c r="O3" s="4" t="str">
        <f>IF(EmployeesTable[[#This Row],[Succession Skills Ready – Required Total]]=0,"",
   EmployeesTable[[#This Row],[Succession Skills Ready – Required Met]]/EmployeesTable[[#This Row],[Succession Skills Ready – Required Total]])</f>
        <v/>
      </c>
      <c r="P3" s="4" t="str" cm="1">
        <f t="array" ref="P3">_xlfn.IFS(EmployeesTable[[#This Row],[Succession Skills Readiness %]]="","",
     EmployeesTable[[#This Row],[Succession Skills Readiness %]]&lt;0.6,"Not Ready",
     EmployeesTable[[#This Row],[Succession Skills Readiness %]]&lt;0.8,"Developing",
     TRUE,"Ready")</f>
        <v/>
      </c>
      <c r="Q3" s="4" t="e" cm="1" vm="1">
        <f t="array" ref="Q3">_xlfn.TEXTJOIN(", ",TRUE,
  _xlfn._xlws.FILTER(JobCodeSkills!$G:$G,
    (JobCodeSkills!$B:$B=EmployeesTable[[#This Row],[Job Code]])*
    (JobCodeSkills!$K:$K="Required")
  )
)</f>
        <v>#VALUE!</v>
      </c>
      <c r="R3" s="4"/>
      <c r="S3" s="4"/>
      <c r="T3" s="4"/>
      <c r="U3" s="4"/>
      <c r="V3" s="4" t="str" cm="1">
        <f t="array" ref="V3">IF(EmployeesTable[[#This Row],[Additional Executive Role]]="","",
  _xlfn.TEXTJOIN(", ",TRUE,
    _xlfn._xlws.FILTER(ExecRoleSkills!$B:$B,
      ExecRoleSkills!$A:$A=EmployeesTable[[#This Row],[Additional Executive Role]]
    )
  )
)</f>
        <v/>
      </c>
    </row>
    <row r="4" spans="1:22" ht="30" x14ac:dyDescent="0.25">
      <c r="A4" s="19" t="s">
        <v>132</v>
      </c>
      <c r="B4" s="9">
        <v>10803</v>
      </c>
      <c r="C4" s="3" t="s">
        <v>133</v>
      </c>
      <c r="D4" s="9"/>
      <c r="E4" s="15">
        <v>45155</v>
      </c>
      <c r="F4" s="3" t="s">
        <v>134</v>
      </c>
      <c r="G4" s="3" t="s">
        <v>129</v>
      </c>
      <c r="H4" s="3" t="s">
        <v>12</v>
      </c>
      <c r="I4" s="10" t="s">
        <v>712</v>
      </c>
      <c r="J4" s="4"/>
      <c r="K4" s="4"/>
      <c r="L4" s="4"/>
      <c r="M4" s="4">
        <f>COUNTIFS(JobCodeSkills!$B:$B, EmployeesTable[[#This Row],[Succession Plan Job Code]],
          JobCodeSkills!$K:$K, "Required")</f>
        <v>0</v>
      </c>
      <c r="N4" s="4">
        <f>COUNTIFS(EmployeeSkills!$A:$A, EmployeesTable[[#This Row],[User Name]],
          EmployeeSkills!$B:$B, EmployeesTable[[#This Row],[Succession Plan Job Code]],
          EmployeeSkills!$D:$D, "Competent")</f>
        <v>0</v>
      </c>
      <c r="O4" s="4" t="str">
        <f>IF(EmployeesTable[[#This Row],[Succession Skills Ready – Required Total]]=0,"",
   EmployeesTable[[#This Row],[Succession Skills Ready – Required Met]]/EmployeesTable[[#This Row],[Succession Skills Ready – Required Total]])</f>
        <v/>
      </c>
      <c r="P4" s="4" t="str" cm="1">
        <f t="array" ref="P4">_xlfn.IFS(EmployeesTable[[#This Row],[Succession Skills Readiness %]]="","",
     EmployeesTable[[#This Row],[Succession Skills Readiness %]]&lt;0.6,"Not Ready",
     EmployeesTable[[#This Row],[Succession Skills Readiness %]]&lt;0.8,"Developing",
     TRUE,"Ready")</f>
        <v/>
      </c>
      <c r="Q4" s="4" t="e" cm="1" vm="1">
        <f t="array" ref="Q4">_xlfn.TEXTJOIN(", ",TRUE,
  _xlfn._xlws.FILTER(JobCodeSkills!$G:$G,
    (JobCodeSkills!$B:$B=EmployeesTable[[#This Row],[Job Code]])*
    (JobCodeSkills!$K:$K="Required")
  )
)</f>
        <v>#VALUE!</v>
      </c>
      <c r="R4" s="4"/>
      <c r="S4" s="4"/>
      <c r="T4" s="4"/>
      <c r="U4" s="4"/>
      <c r="V4" s="4" t="str" cm="1">
        <f t="array" ref="V4">IF(EmployeesTable[[#This Row],[Additional Executive Role]]="","",
  _xlfn.TEXTJOIN(", ",TRUE,
    _xlfn._xlws.FILTER(ExecRoleSkills!$B:$B,
      ExecRoleSkills!$A:$A=EmployeesTable[[#This Row],[Additional Executive Role]]
    )
  )
)</f>
        <v/>
      </c>
    </row>
    <row r="5" spans="1:22" ht="30" x14ac:dyDescent="0.25">
      <c r="A5" s="19" t="s">
        <v>135</v>
      </c>
      <c r="B5" s="9">
        <v>10705</v>
      </c>
      <c r="C5" s="3" t="s">
        <v>136</v>
      </c>
      <c r="D5" s="9"/>
      <c r="E5" s="15">
        <v>45344</v>
      </c>
      <c r="F5" s="3" t="s">
        <v>137</v>
      </c>
      <c r="G5" s="3" t="s">
        <v>129</v>
      </c>
      <c r="H5" s="3" t="s">
        <v>12</v>
      </c>
      <c r="I5" s="10" t="s">
        <v>712</v>
      </c>
      <c r="J5" s="4"/>
      <c r="K5" s="4"/>
      <c r="L5" s="4"/>
      <c r="M5" s="4">
        <f>COUNTIFS(JobCodeSkills!$B:$B, EmployeesTable[[#This Row],[Succession Plan Job Code]],
          JobCodeSkills!$K:$K, "Required")</f>
        <v>0</v>
      </c>
      <c r="N5" s="4">
        <f>COUNTIFS(EmployeeSkills!$A:$A, EmployeesTable[[#This Row],[User Name]],
          EmployeeSkills!$B:$B, EmployeesTable[[#This Row],[Succession Plan Job Code]],
          EmployeeSkills!$D:$D, "Competent")</f>
        <v>0</v>
      </c>
      <c r="O5" s="4" t="str">
        <f>IF(EmployeesTable[[#This Row],[Succession Skills Ready – Required Total]]=0,"",
   EmployeesTable[[#This Row],[Succession Skills Ready – Required Met]]/EmployeesTable[[#This Row],[Succession Skills Ready – Required Total]])</f>
        <v/>
      </c>
      <c r="P5" s="4" t="str" cm="1">
        <f t="array" ref="P5">_xlfn.IFS(EmployeesTable[[#This Row],[Succession Skills Readiness %]]="","",
     EmployeesTable[[#This Row],[Succession Skills Readiness %]]&lt;0.6,"Not Ready",
     EmployeesTable[[#This Row],[Succession Skills Readiness %]]&lt;0.8,"Developing",
     TRUE,"Ready")</f>
        <v/>
      </c>
      <c r="Q5" s="4" t="e" cm="1" vm="1">
        <f t="array" ref="Q5">_xlfn.TEXTJOIN(", ",TRUE,
  _xlfn._xlws.FILTER(JobCodeSkills!$G:$G,
    (JobCodeSkills!$B:$B=EmployeesTable[[#This Row],[Job Code]])*
    (JobCodeSkills!$K:$K="Required")
  )
)</f>
        <v>#VALUE!</v>
      </c>
      <c r="R5" s="4"/>
      <c r="S5" s="4"/>
      <c r="T5" s="4"/>
      <c r="U5" s="4"/>
      <c r="V5" s="4" t="str" cm="1">
        <f t="array" ref="V5">IF(EmployeesTable[[#This Row],[Additional Executive Role]]="","",
  _xlfn.TEXTJOIN(", ",TRUE,
    _xlfn._xlws.FILTER(ExecRoleSkills!$B:$B,
      ExecRoleSkills!$A:$A=EmployeesTable[[#This Row],[Additional Executive Role]]
    )
  )
)</f>
        <v/>
      </c>
    </row>
    <row r="6" spans="1:22" ht="30" x14ac:dyDescent="0.25">
      <c r="A6" s="19" t="s">
        <v>452</v>
      </c>
      <c r="B6" s="9">
        <v>10804</v>
      </c>
      <c r="C6" s="3" t="s">
        <v>167</v>
      </c>
      <c r="D6" s="9"/>
      <c r="E6" s="15">
        <v>44420</v>
      </c>
      <c r="F6" s="3" t="s">
        <v>453</v>
      </c>
      <c r="G6" s="3" t="s">
        <v>454</v>
      </c>
      <c r="H6" s="3" t="s">
        <v>12</v>
      </c>
      <c r="I6" s="9" t="s">
        <v>13</v>
      </c>
      <c r="J6" s="4"/>
      <c r="K6" s="4"/>
      <c r="L6" s="4"/>
      <c r="M6" s="4">
        <f>COUNTIFS(JobCodeSkills!$B:$B, EmployeesTable[[#This Row],[Succession Plan Job Code]],
          JobCodeSkills!$K:$K, "Required")</f>
        <v>0</v>
      </c>
      <c r="N6" s="4">
        <f>COUNTIFS(EmployeeSkills!$A:$A, EmployeesTable[[#This Row],[User Name]],
          EmployeeSkills!$B:$B, EmployeesTable[[#This Row],[Succession Plan Job Code]],
          EmployeeSkills!$D:$D, "Competent")</f>
        <v>0</v>
      </c>
      <c r="O6" s="4" t="str">
        <f>IF(EmployeesTable[[#This Row],[Succession Skills Ready – Required Total]]=0,"",
   EmployeesTable[[#This Row],[Succession Skills Ready – Required Met]]/EmployeesTable[[#This Row],[Succession Skills Ready – Required Total]])</f>
        <v/>
      </c>
      <c r="P6" s="4" t="str" cm="1">
        <f t="array" ref="P6">_xlfn.IFS(EmployeesTable[[#This Row],[Succession Skills Readiness %]]="","",
     EmployeesTable[[#This Row],[Succession Skills Readiness %]]&lt;0.6,"Not Ready",
     EmployeesTable[[#This Row],[Succession Skills Readiness %]]&lt;0.8,"Developing",
     TRUE,"Ready")</f>
        <v/>
      </c>
      <c r="Q6" s="4" t="e" cm="1" vm="1">
        <f t="array" ref="Q6">_xlfn.TEXTJOIN(", ",TRUE,
  _xlfn._xlws.FILTER(JobCodeSkills!$G:$G,
    (JobCodeSkills!$B:$B=EmployeesTable[[#This Row],[Job Code]])*
    (JobCodeSkills!$K:$K="Required")
  )
)</f>
        <v>#VALUE!</v>
      </c>
      <c r="R6" s="4"/>
      <c r="S6" s="4"/>
      <c r="T6" s="4"/>
      <c r="U6" s="4"/>
      <c r="V6" s="4" t="str" cm="1">
        <f t="array" ref="V6">IF(EmployeesTable[[#This Row],[Additional Executive Role]]="","",
  _xlfn.TEXTJOIN(", ",TRUE,
    _xlfn._xlws.FILTER(ExecRoleSkills!$B:$B,
      ExecRoleSkills!$A:$A=EmployeesTable[[#This Row],[Additional Executive Role]]
    )
  )
)</f>
        <v/>
      </c>
    </row>
    <row r="7" spans="1:22" ht="30" x14ac:dyDescent="0.25">
      <c r="A7" s="19" t="s">
        <v>138</v>
      </c>
      <c r="B7" s="9">
        <v>10603</v>
      </c>
      <c r="C7" s="3" t="s">
        <v>136</v>
      </c>
      <c r="D7" s="9"/>
      <c r="E7" s="15">
        <v>45489</v>
      </c>
      <c r="F7" s="3" t="s">
        <v>139</v>
      </c>
      <c r="G7" s="3" t="s">
        <v>129</v>
      </c>
      <c r="H7" s="3" t="s">
        <v>12</v>
      </c>
      <c r="I7" s="10" t="s">
        <v>712</v>
      </c>
      <c r="J7" s="4"/>
      <c r="K7" s="4"/>
      <c r="L7" s="4"/>
      <c r="M7" s="4">
        <f>COUNTIFS(JobCodeSkills!$B:$B, EmployeesTable[[#This Row],[Succession Plan Job Code]],
          JobCodeSkills!$K:$K, "Required")</f>
        <v>0</v>
      </c>
      <c r="N7" s="4">
        <f>COUNTIFS(EmployeeSkills!$A:$A, EmployeesTable[[#This Row],[User Name]],
          EmployeeSkills!$B:$B, EmployeesTable[[#This Row],[Succession Plan Job Code]],
          EmployeeSkills!$D:$D, "Competent")</f>
        <v>0</v>
      </c>
      <c r="O7" s="4" t="str">
        <f>IF(EmployeesTable[[#This Row],[Succession Skills Ready – Required Total]]=0,"",
   EmployeesTable[[#This Row],[Succession Skills Ready – Required Met]]/EmployeesTable[[#This Row],[Succession Skills Ready – Required Total]])</f>
        <v/>
      </c>
      <c r="P7" s="4" t="str" cm="1">
        <f t="array" ref="P7">_xlfn.IFS(EmployeesTable[[#This Row],[Succession Skills Readiness %]]="","",
     EmployeesTable[[#This Row],[Succession Skills Readiness %]]&lt;0.6,"Not Ready",
     EmployeesTable[[#This Row],[Succession Skills Readiness %]]&lt;0.8,"Developing",
     TRUE,"Ready")</f>
        <v/>
      </c>
      <c r="Q7" s="4" t="e" cm="1" vm="1">
        <f t="array" ref="Q7">_xlfn.TEXTJOIN(", ",TRUE,
  _xlfn._xlws.FILTER(JobCodeSkills!$G:$G,
    (JobCodeSkills!$B:$B=EmployeesTable[[#This Row],[Job Code]])*
    (JobCodeSkills!$K:$K="Required")
  )
)</f>
        <v>#VALUE!</v>
      </c>
      <c r="R7" s="4"/>
      <c r="S7" s="4"/>
      <c r="T7" s="4"/>
      <c r="U7" s="4"/>
      <c r="V7" s="4" t="str" cm="1">
        <f t="array" ref="V7">IF(EmployeesTable[[#This Row],[Additional Executive Role]]="","",
  _xlfn.TEXTJOIN(", ",TRUE,
    _xlfn._xlws.FILTER(ExecRoleSkills!$B:$B,
      ExecRoleSkills!$A:$A=EmployeesTable[[#This Row],[Additional Executive Role]]
    )
  )
)</f>
        <v/>
      </c>
    </row>
    <row r="8" spans="1:22" ht="45" x14ac:dyDescent="0.25">
      <c r="A8" s="19" t="s">
        <v>17</v>
      </c>
      <c r="B8" s="9">
        <v>10210</v>
      </c>
      <c r="C8" s="3" t="s">
        <v>18</v>
      </c>
      <c r="D8" s="9"/>
      <c r="E8" s="15">
        <v>43291</v>
      </c>
      <c r="F8" s="3" t="s">
        <v>19</v>
      </c>
      <c r="G8" s="3" t="s">
        <v>20</v>
      </c>
      <c r="H8" s="3" t="s">
        <v>12</v>
      </c>
      <c r="I8" s="10" t="s">
        <v>13</v>
      </c>
      <c r="J8" s="4"/>
      <c r="K8" s="4"/>
      <c r="L8" s="4"/>
      <c r="M8" s="4">
        <f>COUNTIFS(JobCodeSkills!$B:$B, EmployeesTable[[#This Row],[Succession Plan Job Code]],
          JobCodeSkills!$K:$K, "Required")</f>
        <v>0</v>
      </c>
      <c r="N8" s="4">
        <f>COUNTIFS(EmployeeSkills!$A:$A, EmployeesTable[[#This Row],[User Name]],
          EmployeeSkills!$B:$B, EmployeesTable[[#This Row],[Succession Plan Job Code]],
          EmployeeSkills!$D:$D, "Competent")</f>
        <v>0</v>
      </c>
      <c r="O8" s="4" t="str">
        <f>IF(EmployeesTable[[#This Row],[Succession Skills Ready – Required Total]]=0,"",
   EmployeesTable[[#This Row],[Succession Skills Ready – Required Met]]/EmployeesTable[[#This Row],[Succession Skills Ready – Required Total]])</f>
        <v/>
      </c>
      <c r="P8" s="4" t="str" cm="1">
        <f t="array" ref="P8">_xlfn.IFS(EmployeesTable[[#This Row],[Succession Skills Readiness %]]="","",
     EmployeesTable[[#This Row],[Succession Skills Readiness %]]&lt;0.6,"Not Ready",
     EmployeesTable[[#This Row],[Succession Skills Readiness %]]&lt;0.8,"Developing",
     TRUE,"Ready")</f>
        <v/>
      </c>
      <c r="Q8" s="4" t="e" cm="1" vm="1">
        <f t="array" ref="Q8">_xlfn.TEXTJOIN(", ",TRUE,
  _xlfn._xlws.FILTER(JobCodeSkills!$G:$G,
    (JobCodeSkills!$B:$B=EmployeesTable[[#This Row],[Job Code]])*
    (JobCodeSkills!$K:$K="Required")
  )
)</f>
        <v>#VALUE!</v>
      </c>
      <c r="R8" s="4"/>
      <c r="S8" s="4"/>
      <c r="T8" s="4"/>
      <c r="U8" s="4"/>
      <c r="V8" s="4" t="str" cm="1">
        <f t="array" ref="V8">IF(EmployeesTable[[#This Row],[Additional Executive Role]]="","",
  _xlfn.TEXTJOIN(", ",TRUE,
    _xlfn._xlws.FILTER(ExecRoleSkills!$B:$B,
      ExecRoleSkills!$A:$A=EmployeesTable[[#This Row],[Additional Executive Role]]
    )
  )
)</f>
        <v/>
      </c>
    </row>
    <row r="9" spans="1:22" ht="30" x14ac:dyDescent="0.25">
      <c r="A9" s="19" t="s">
        <v>140</v>
      </c>
      <c r="B9" s="9">
        <v>10812</v>
      </c>
      <c r="C9" s="3" t="s">
        <v>141</v>
      </c>
      <c r="D9" s="9"/>
      <c r="E9" s="15">
        <v>45398</v>
      </c>
      <c r="F9" s="3" t="s">
        <v>142</v>
      </c>
      <c r="G9" s="3" t="s">
        <v>129</v>
      </c>
      <c r="H9" s="3" t="s">
        <v>12</v>
      </c>
      <c r="I9" s="10" t="s">
        <v>712</v>
      </c>
      <c r="J9" s="4"/>
      <c r="K9" s="4"/>
      <c r="L9" s="4"/>
      <c r="M9" s="4">
        <f>COUNTIFS(JobCodeSkills!$B:$B, EmployeesTable[[#This Row],[Succession Plan Job Code]],
          JobCodeSkills!$K:$K, "Required")</f>
        <v>0</v>
      </c>
      <c r="N9" s="4">
        <f>COUNTIFS(EmployeeSkills!$A:$A, EmployeesTable[[#This Row],[User Name]],
          EmployeeSkills!$B:$B, EmployeesTable[[#This Row],[Succession Plan Job Code]],
          EmployeeSkills!$D:$D, "Competent")</f>
        <v>0</v>
      </c>
      <c r="O9" s="4" t="str">
        <f>IF(EmployeesTable[[#This Row],[Succession Skills Ready – Required Total]]=0,"",
   EmployeesTable[[#This Row],[Succession Skills Ready – Required Met]]/EmployeesTable[[#This Row],[Succession Skills Ready – Required Total]])</f>
        <v/>
      </c>
      <c r="P9" s="4" t="str" cm="1">
        <f t="array" ref="P9">_xlfn.IFS(EmployeesTable[[#This Row],[Succession Skills Readiness %]]="","",
     EmployeesTable[[#This Row],[Succession Skills Readiness %]]&lt;0.6,"Not Ready",
     EmployeesTable[[#This Row],[Succession Skills Readiness %]]&lt;0.8,"Developing",
     TRUE,"Ready")</f>
        <v/>
      </c>
      <c r="Q9" s="4" t="e" cm="1" vm="1">
        <f t="array" ref="Q9">_xlfn.TEXTJOIN(", ",TRUE,
  _xlfn._xlws.FILTER(JobCodeSkills!$G:$G,
    (JobCodeSkills!$B:$B=EmployeesTable[[#This Row],[Job Code]])*
    (JobCodeSkills!$K:$K="Required")
  )
)</f>
        <v>#VALUE!</v>
      </c>
      <c r="R9" s="4"/>
      <c r="S9" s="4"/>
      <c r="T9" s="4"/>
      <c r="U9" s="4"/>
      <c r="V9" s="4" t="str" cm="1">
        <f t="array" ref="V9">IF(EmployeesTable[[#This Row],[Additional Executive Role]]="","",
  _xlfn.TEXTJOIN(", ",TRUE,
    _xlfn._xlws.FILTER(ExecRoleSkills!$B:$B,
      ExecRoleSkills!$A:$A=EmployeesTable[[#This Row],[Additional Executive Role]]
    )
  )
)</f>
        <v/>
      </c>
    </row>
    <row r="10" spans="1:22" ht="30" x14ac:dyDescent="0.25">
      <c r="A10" s="19" t="s">
        <v>455</v>
      </c>
      <c r="B10" s="9">
        <v>10403</v>
      </c>
      <c r="C10" s="3" t="s">
        <v>249</v>
      </c>
      <c r="D10" s="9"/>
      <c r="E10" s="15">
        <v>38341</v>
      </c>
      <c r="F10" s="3" t="s">
        <v>456</v>
      </c>
      <c r="G10" s="3" t="s">
        <v>454</v>
      </c>
      <c r="H10" s="3" t="s">
        <v>12</v>
      </c>
      <c r="I10" s="9" t="s">
        <v>13</v>
      </c>
      <c r="J10" s="4"/>
      <c r="K10" s="4"/>
      <c r="L10" s="4"/>
      <c r="M10" s="4">
        <f>COUNTIFS(JobCodeSkills!$B:$B, EmployeesTable[[#This Row],[Succession Plan Job Code]],
          JobCodeSkills!$K:$K, "Required")</f>
        <v>0</v>
      </c>
      <c r="N10" s="4">
        <f>COUNTIFS(EmployeeSkills!$A:$A, EmployeesTable[[#This Row],[User Name]],
          EmployeeSkills!$B:$B, EmployeesTable[[#This Row],[Succession Plan Job Code]],
          EmployeeSkills!$D:$D, "Competent")</f>
        <v>0</v>
      </c>
      <c r="O10" s="4" t="str">
        <f>IF(EmployeesTable[[#This Row],[Succession Skills Ready – Required Total]]=0,"",
   EmployeesTable[[#This Row],[Succession Skills Ready – Required Met]]/EmployeesTable[[#This Row],[Succession Skills Ready – Required Total]])</f>
        <v/>
      </c>
      <c r="P10" s="4" t="str" cm="1">
        <f t="array" ref="P10">_xlfn.IFS(EmployeesTable[[#This Row],[Succession Skills Readiness %]]="","",
     EmployeesTable[[#This Row],[Succession Skills Readiness %]]&lt;0.6,"Not Ready",
     EmployeesTable[[#This Row],[Succession Skills Readiness %]]&lt;0.8,"Developing",
     TRUE,"Ready")</f>
        <v/>
      </c>
      <c r="Q10" s="4" t="e" cm="1" vm="1">
        <f t="array" ref="Q10">_xlfn.TEXTJOIN(", ",TRUE,
  _xlfn._xlws.FILTER(JobCodeSkills!$G:$G,
    (JobCodeSkills!$B:$B=EmployeesTable[[#This Row],[Job Code]])*
    (JobCodeSkills!$K:$K="Required")
  )
)</f>
        <v>#VALUE!</v>
      </c>
      <c r="R10" s="4"/>
      <c r="S10" s="4"/>
      <c r="T10" s="4"/>
      <c r="U10" s="4"/>
      <c r="V10" s="4" t="str" cm="1">
        <f t="array" ref="V10">IF(EmployeesTable[[#This Row],[Additional Executive Role]]="","",
  _xlfn.TEXTJOIN(", ",TRUE,
    _xlfn._xlws.FILTER(ExecRoleSkills!$B:$B,
      ExecRoleSkills!$A:$A=EmployeesTable[[#This Row],[Additional Executive Role]]
    )
  )
)</f>
        <v/>
      </c>
    </row>
    <row r="11" spans="1:22" ht="30" x14ac:dyDescent="0.25">
      <c r="A11" s="19" t="s">
        <v>457</v>
      </c>
      <c r="B11" s="9">
        <v>10301</v>
      </c>
      <c r="C11" s="3" t="s">
        <v>458</v>
      </c>
      <c r="D11" s="9"/>
      <c r="E11" s="15">
        <v>37310</v>
      </c>
      <c r="F11" s="3" t="s">
        <v>459</v>
      </c>
      <c r="G11" s="3" t="s">
        <v>454</v>
      </c>
      <c r="H11" s="3" t="s">
        <v>12</v>
      </c>
      <c r="I11" s="9" t="s">
        <v>13</v>
      </c>
      <c r="J11" s="4"/>
      <c r="K11" s="4"/>
      <c r="L11" s="4"/>
      <c r="M11" s="4">
        <f>COUNTIFS(JobCodeSkills!$B:$B, EmployeesTable[[#This Row],[Succession Plan Job Code]],
          JobCodeSkills!$K:$K, "Required")</f>
        <v>0</v>
      </c>
      <c r="N11" s="4">
        <f>COUNTIFS(EmployeeSkills!$A:$A, EmployeesTable[[#This Row],[User Name]],
          EmployeeSkills!$B:$B, EmployeesTable[[#This Row],[Succession Plan Job Code]],
          EmployeeSkills!$D:$D, "Competent")</f>
        <v>0</v>
      </c>
      <c r="O11" s="4" t="str">
        <f>IF(EmployeesTable[[#This Row],[Succession Skills Ready – Required Total]]=0,"",
   EmployeesTable[[#This Row],[Succession Skills Ready – Required Met]]/EmployeesTable[[#This Row],[Succession Skills Ready – Required Total]])</f>
        <v/>
      </c>
      <c r="P11" s="4" t="str" cm="1">
        <f t="array" ref="P11">_xlfn.IFS(EmployeesTable[[#This Row],[Succession Skills Readiness %]]="","",
     EmployeesTable[[#This Row],[Succession Skills Readiness %]]&lt;0.6,"Not Ready",
     EmployeesTable[[#This Row],[Succession Skills Readiness %]]&lt;0.8,"Developing",
     TRUE,"Ready")</f>
        <v/>
      </c>
      <c r="Q11" s="4" t="e" cm="1" vm="1">
        <f t="array" ref="Q11">_xlfn.TEXTJOIN(", ",TRUE,
  _xlfn._xlws.FILTER(JobCodeSkills!$G:$G,
    (JobCodeSkills!$B:$B=EmployeesTable[[#This Row],[Job Code]])*
    (JobCodeSkills!$K:$K="Required")
  )
)</f>
        <v>#VALUE!</v>
      </c>
      <c r="R11" s="4"/>
      <c r="S11" s="4"/>
      <c r="T11" s="4"/>
      <c r="U11" s="4"/>
      <c r="V11" s="4" t="str" cm="1">
        <f t="array" ref="V11">IF(EmployeesTable[[#This Row],[Additional Executive Role]]="","",
  _xlfn.TEXTJOIN(", ",TRUE,
    _xlfn._xlws.FILTER(ExecRoleSkills!$B:$B,
      ExecRoleSkills!$A:$A=EmployeesTable[[#This Row],[Additional Executive Role]]
    )
  )
)</f>
        <v/>
      </c>
    </row>
    <row r="12" spans="1:22" ht="45" x14ac:dyDescent="0.25">
      <c r="A12" s="19" t="s">
        <v>685</v>
      </c>
      <c r="B12" s="9">
        <v>10201</v>
      </c>
      <c r="C12" s="3" t="s">
        <v>52</v>
      </c>
      <c r="D12" s="9" t="s">
        <v>720</v>
      </c>
      <c r="E12" s="15">
        <v>36921</v>
      </c>
      <c r="F12" s="3" t="s">
        <v>686</v>
      </c>
      <c r="G12" s="3" t="s">
        <v>687</v>
      </c>
      <c r="H12" s="3" t="s">
        <v>12</v>
      </c>
      <c r="I12" s="9" t="s">
        <v>712</v>
      </c>
      <c r="J12" s="4"/>
      <c r="K12" s="4"/>
      <c r="L12" s="4"/>
      <c r="M12" s="4">
        <f>COUNTIFS(JobCodeSkills!$B:$B, EmployeesTable[[#This Row],[Succession Plan Job Code]],
          JobCodeSkills!$K:$K, "Required")</f>
        <v>0</v>
      </c>
      <c r="N12" s="4">
        <f>COUNTIFS(EmployeeSkills!$A:$A, EmployeesTable[[#This Row],[User Name]],
          EmployeeSkills!$B:$B, EmployeesTable[[#This Row],[Succession Plan Job Code]],
          EmployeeSkills!$D:$D, "Competent")</f>
        <v>0</v>
      </c>
      <c r="O12" s="4" t="str">
        <f>IF(EmployeesTable[[#This Row],[Succession Skills Ready – Required Total]]=0,"",
   EmployeesTable[[#This Row],[Succession Skills Ready – Required Met]]/EmployeesTable[[#This Row],[Succession Skills Ready – Required Total]])</f>
        <v/>
      </c>
      <c r="P12" s="4" t="str" cm="1">
        <f t="array" ref="P12">_xlfn.IFS(EmployeesTable[[#This Row],[Succession Skills Readiness %]]="","",
     EmployeesTable[[#This Row],[Succession Skills Readiness %]]&lt;0.6,"Not Ready",
     EmployeesTable[[#This Row],[Succession Skills Readiness %]]&lt;0.8,"Developing",
     TRUE,"Ready")</f>
        <v/>
      </c>
      <c r="Q12" s="4" t="e" cm="1" vm="1">
        <f t="array" ref="Q12">_xlfn.TEXTJOIN(", ",TRUE,
  _xlfn._xlws.FILTER(JobCodeSkills!$G:$G,
    (JobCodeSkills!$B:$B=EmployeesTable[[#This Row],[Job Code]])*
    (JobCodeSkills!$K:$K="Required")
  )
)</f>
        <v>#VALUE!</v>
      </c>
      <c r="R12" s="4"/>
      <c r="S12" s="4"/>
      <c r="T12" s="4"/>
      <c r="U12" s="4"/>
      <c r="V12" s="4" t="e" cm="1" vm="1">
        <f t="array" ref="V12">IF(EmployeesTable[[#This Row],[Additional Executive Role]]="","",
  _xlfn.TEXTJOIN(", ",TRUE,
    _xlfn._xlws.FILTER(ExecRoleSkills!$B:$B,
      ExecRoleSkills!$A:$A=EmployeesTable[[#This Row],[Additional Executive Role]]
    )
  )
)</f>
        <v>#VALUE!</v>
      </c>
    </row>
    <row r="13" spans="1:22" ht="30" x14ac:dyDescent="0.25">
      <c r="A13" s="19" t="s">
        <v>143</v>
      </c>
      <c r="B13" s="9">
        <v>10812</v>
      </c>
      <c r="C13" s="3" t="s">
        <v>141</v>
      </c>
      <c r="D13" s="9"/>
      <c r="E13" s="15">
        <v>45265</v>
      </c>
      <c r="F13" s="3" t="s">
        <v>144</v>
      </c>
      <c r="G13" s="3" t="s">
        <v>129</v>
      </c>
      <c r="H13" s="3" t="s">
        <v>12</v>
      </c>
      <c r="I13" s="10" t="s">
        <v>712</v>
      </c>
      <c r="J13" s="4"/>
      <c r="K13" s="4"/>
      <c r="L13" s="4"/>
      <c r="M13" s="4">
        <f>COUNTIFS(JobCodeSkills!$B:$B, EmployeesTable[[#This Row],[Succession Plan Job Code]],
          JobCodeSkills!$K:$K, "Required")</f>
        <v>0</v>
      </c>
      <c r="N13" s="4">
        <f>COUNTIFS(EmployeeSkills!$A:$A, EmployeesTable[[#This Row],[User Name]],
          EmployeeSkills!$B:$B, EmployeesTable[[#This Row],[Succession Plan Job Code]],
          EmployeeSkills!$D:$D, "Competent")</f>
        <v>0</v>
      </c>
      <c r="O13" s="4" t="str">
        <f>IF(EmployeesTable[[#This Row],[Succession Skills Ready – Required Total]]=0,"",
   EmployeesTable[[#This Row],[Succession Skills Ready – Required Met]]/EmployeesTable[[#This Row],[Succession Skills Ready – Required Total]])</f>
        <v/>
      </c>
      <c r="P13" s="4" t="str" cm="1">
        <f t="array" ref="P13">_xlfn.IFS(EmployeesTable[[#This Row],[Succession Skills Readiness %]]="","",
     EmployeesTable[[#This Row],[Succession Skills Readiness %]]&lt;0.6,"Not Ready",
     EmployeesTable[[#This Row],[Succession Skills Readiness %]]&lt;0.8,"Developing",
     TRUE,"Ready")</f>
        <v/>
      </c>
      <c r="Q13" s="4" t="e" cm="1" vm="1">
        <f t="array" ref="Q13">_xlfn.TEXTJOIN(", ",TRUE,
  _xlfn._xlws.FILTER(JobCodeSkills!$G:$G,
    (JobCodeSkills!$B:$B=EmployeesTable[[#This Row],[Job Code]])*
    (JobCodeSkills!$K:$K="Required")
  )
)</f>
        <v>#VALUE!</v>
      </c>
      <c r="R13" s="4"/>
      <c r="S13" s="4"/>
      <c r="T13" s="4"/>
      <c r="U13" s="4"/>
      <c r="V13" s="4" t="str" cm="1">
        <f t="array" ref="V13">IF(EmployeesTable[[#This Row],[Additional Executive Role]]="","",
  _xlfn.TEXTJOIN(", ",TRUE,
    _xlfn._xlws.FILTER(ExecRoleSkills!$B:$B,
      ExecRoleSkills!$A:$A=EmployeesTable[[#This Row],[Additional Executive Role]]
    )
  )
)</f>
        <v/>
      </c>
    </row>
    <row r="14" spans="1:22" ht="30" x14ac:dyDescent="0.25">
      <c r="A14" s="19" t="s">
        <v>145</v>
      </c>
      <c r="B14" s="9">
        <v>10603</v>
      </c>
      <c r="C14" s="3" t="s">
        <v>146</v>
      </c>
      <c r="D14" s="9"/>
      <c r="E14" s="15">
        <v>45447</v>
      </c>
      <c r="F14" s="3" t="s">
        <v>147</v>
      </c>
      <c r="G14" s="3" t="s">
        <v>129</v>
      </c>
      <c r="H14" s="3" t="s">
        <v>12</v>
      </c>
      <c r="I14" s="10" t="s">
        <v>712</v>
      </c>
      <c r="J14" s="4"/>
      <c r="K14" s="4"/>
      <c r="L14" s="4"/>
      <c r="M14" s="4">
        <f>COUNTIFS(JobCodeSkills!$B:$B, EmployeesTable[[#This Row],[Succession Plan Job Code]],
          JobCodeSkills!$K:$K, "Required")</f>
        <v>0</v>
      </c>
      <c r="N14" s="4">
        <f>COUNTIFS(EmployeeSkills!$A:$A, EmployeesTable[[#This Row],[User Name]],
          EmployeeSkills!$B:$B, EmployeesTable[[#This Row],[Succession Plan Job Code]],
          EmployeeSkills!$D:$D, "Competent")</f>
        <v>0</v>
      </c>
      <c r="O14" s="4" t="str">
        <f>IF(EmployeesTable[[#This Row],[Succession Skills Ready – Required Total]]=0,"",
   EmployeesTable[[#This Row],[Succession Skills Ready – Required Met]]/EmployeesTable[[#This Row],[Succession Skills Ready – Required Total]])</f>
        <v/>
      </c>
      <c r="P14" s="4" t="str" cm="1">
        <f t="array" ref="P14">_xlfn.IFS(EmployeesTable[[#This Row],[Succession Skills Readiness %]]="","",
     EmployeesTable[[#This Row],[Succession Skills Readiness %]]&lt;0.6,"Not Ready",
     EmployeesTable[[#This Row],[Succession Skills Readiness %]]&lt;0.8,"Developing",
     TRUE,"Ready")</f>
        <v/>
      </c>
      <c r="Q14" s="4" t="e" cm="1" vm="1">
        <f t="array" ref="Q14">_xlfn.TEXTJOIN(", ",TRUE,
  _xlfn._xlws.FILTER(JobCodeSkills!$G:$G,
    (JobCodeSkills!$B:$B=EmployeesTable[[#This Row],[Job Code]])*
    (JobCodeSkills!$K:$K="Required")
  )
)</f>
        <v>#VALUE!</v>
      </c>
      <c r="R14" s="4"/>
      <c r="S14" s="4"/>
      <c r="T14" s="4"/>
      <c r="U14" s="4"/>
      <c r="V14" s="4" t="str" cm="1">
        <f t="array" ref="V14">IF(EmployeesTable[[#This Row],[Additional Executive Role]]="","",
  _xlfn.TEXTJOIN(", ",TRUE,
    _xlfn._xlws.FILTER(ExecRoleSkills!$B:$B,
      ExecRoleSkills!$A:$A=EmployeesTable[[#This Row],[Additional Executive Role]]
    )
  )
)</f>
        <v/>
      </c>
    </row>
    <row r="15" spans="1:22" ht="30" x14ac:dyDescent="0.25">
      <c r="A15" s="19" t="s">
        <v>148</v>
      </c>
      <c r="B15" s="9">
        <v>10705</v>
      </c>
      <c r="C15" s="3" t="s">
        <v>136</v>
      </c>
      <c r="D15" s="9"/>
      <c r="E15" s="15">
        <v>45426</v>
      </c>
      <c r="F15" s="3" t="s">
        <v>149</v>
      </c>
      <c r="G15" s="3" t="s">
        <v>129</v>
      </c>
      <c r="H15" s="3" t="s">
        <v>12</v>
      </c>
      <c r="I15" s="10" t="s">
        <v>712</v>
      </c>
      <c r="J15" s="4"/>
      <c r="K15" s="4"/>
      <c r="L15" s="4"/>
      <c r="M15" s="4">
        <f>COUNTIFS(JobCodeSkills!$B:$B, EmployeesTable[[#This Row],[Succession Plan Job Code]],
          JobCodeSkills!$K:$K, "Required")</f>
        <v>0</v>
      </c>
      <c r="N15" s="4">
        <f>COUNTIFS(EmployeeSkills!$A:$A, EmployeesTable[[#This Row],[User Name]],
          EmployeeSkills!$B:$B, EmployeesTable[[#This Row],[Succession Plan Job Code]],
          EmployeeSkills!$D:$D, "Competent")</f>
        <v>0</v>
      </c>
      <c r="O15" s="4" t="str">
        <f>IF(EmployeesTable[[#This Row],[Succession Skills Ready – Required Total]]=0,"",
   EmployeesTable[[#This Row],[Succession Skills Ready – Required Met]]/EmployeesTable[[#This Row],[Succession Skills Ready – Required Total]])</f>
        <v/>
      </c>
      <c r="P15" s="4" t="str" cm="1">
        <f t="array" ref="P15">_xlfn.IFS(EmployeesTable[[#This Row],[Succession Skills Readiness %]]="","",
     EmployeesTable[[#This Row],[Succession Skills Readiness %]]&lt;0.6,"Not Ready",
     EmployeesTable[[#This Row],[Succession Skills Readiness %]]&lt;0.8,"Developing",
     TRUE,"Ready")</f>
        <v/>
      </c>
      <c r="Q15" s="4" t="e" cm="1" vm="1">
        <f t="array" ref="Q15">_xlfn.TEXTJOIN(", ",TRUE,
  _xlfn._xlws.FILTER(JobCodeSkills!$G:$G,
    (JobCodeSkills!$B:$B=EmployeesTable[[#This Row],[Job Code]])*
    (JobCodeSkills!$K:$K="Required")
  )
)</f>
        <v>#VALUE!</v>
      </c>
      <c r="R15" s="4"/>
      <c r="S15" s="4"/>
      <c r="T15" s="4"/>
      <c r="U15" s="4"/>
      <c r="V15" s="4" t="str" cm="1">
        <f t="array" ref="V15">IF(EmployeesTable[[#This Row],[Additional Executive Role]]="","",
  _xlfn.TEXTJOIN(", ",TRUE,
    _xlfn._xlws.FILTER(ExecRoleSkills!$B:$B,
      ExecRoleSkills!$A:$A=EmployeesTable[[#This Row],[Additional Executive Role]]
    )
  )
)</f>
        <v/>
      </c>
    </row>
    <row r="16" spans="1:22" ht="30" x14ac:dyDescent="0.25">
      <c r="A16" s="19" t="s">
        <v>150</v>
      </c>
      <c r="B16" s="9">
        <v>10502</v>
      </c>
      <c r="C16" s="3" t="s">
        <v>146</v>
      </c>
      <c r="D16" s="9"/>
      <c r="E16" s="15">
        <v>45342</v>
      </c>
      <c r="F16" s="3" t="s">
        <v>151</v>
      </c>
      <c r="G16" s="3" t="s">
        <v>129</v>
      </c>
      <c r="H16" s="3" t="s">
        <v>12</v>
      </c>
      <c r="I16" s="10" t="s">
        <v>712</v>
      </c>
      <c r="J16" s="4"/>
      <c r="K16" s="4"/>
      <c r="L16" s="4"/>
      <c r="M16" s="4">
        <f>COUNTIFS(JobCodeSkills!$B:$B, EmployeesTable[[#This Row],[Succession Plan Job Code]],
          JobCodeSkills!$K:$K, "Required")</f>
        <v>0</v>
      </c>
      <c r="N16" s="4">
        <f>COUNTIFS(EmployeeSkills!$A:$A, EmployeesTable[[#This Row],[User Name]],
          EmployeeSkills!$B:$B, EmployeesTable[[#This Row],[Succession Plan Job Code]],
          EmployeeSkills!$D:$D, "Competent")</f>
        <v>0</v>
      </c>
      <c r="O16" s="4" t="str">
        <f>IF(EmployeesTable[[#This Row],[Succession Skills Ready – Required Total]]=0,"",
   EmployeesTable[[#This Row],[Succession Skills Ready – Required Met]]/EmployeesTable[[#This Row],[Succession Skills Ready – Required Total]])</f>
        <v/>
      </c>
      <c r="P16" s="4" t="str" cm="1">
        <f t="array" ref="P16">_xlfn.IFS(EmployeesTable[[#This Row],[Succession Skills Readiness %]]="","",
     EmployeesTable[[#This Row],[Succession Skills Readiness %]]&lt;0.6,"Not Ready",
     EmployeesTable[[#This Row],[Succession Skills Readiness %]]&lt;0.8,"Developing",
     TRUE,"Ready")</f>
        <v/>
      </c>
      <c r="Q16" s="4" t="e" cm="1" vm="1">
        <f t="array" ref="Q16">_xlfn.TEXTJOIN(", ",TRUE,
  _xlfn._xlws.FILTER(JobCodeSkills!$G:$G,
    (JobCodeSkills!$B:$B=EmployeesTable[[#This Row],[Job Code]])*
    (JobCodeSkills!$K:$K="Required")
  )
)</f>
        <v>#VALUE!</v>
      </c>
      <c r="R16" s="4"/>
      <c r="S16" s="4"/>
      <c r="T16" s="4"/>
      <c r="U16" s="4"/>
      <c r="V16" s="4" t="str" cm="1">
        <f t="array" ref="V16">IF(EmployeesTable[[#This Row],[Additional Executive Role]]="","",
  _xlfn.TEXTJOIN(", ",TRUE,
    _xlfn._xlws.FILTER(ExecRoleSkills!$B:$B,
      ExecRoleSkills!$A:$A=EmployeesTable[[#This Row],[Additional Executive Role]]
    )
  )
)</f>
        <v/>
      </c>
    </row>
    <row r="17" spans="1:22" ht="30" x14ac:dyDescent="0.25">
      <c r="A17" s="19" t="s">
        <v>460</v>
      </c>
      <c r="B17" s="9">
        <v>10401</v>
      </c>
      <c r="C17" s="3" t="s">
        <v>184</v>
      </c>
      <c r="D17" s="9"/>
      <c r="E17" s="15">
        <v>41682</v>
      </c>
      <c r="F17" s="3" t="s">
        <v>461</v>
      </c>
      <c r="G17" s="3" t="s">
        <v>454</v>
      </c>
      <c r="H17" s="3" t="s">
        <v>12</v>
      </c>
      <c r="I17" s="9" t="s">
        <v>13</v>
      </c>
      <c r="J17" s="4"/>
      <c r="K17" s="4"/>
      <c r="L17" s="4"/>
      <c r="M17" s="4">
        <f>COUNTIFS(JobCodeSkills!$B:$B, EmployeesTable[[#This Row],[Succession Plan Job Code]],
          JobCodeSkills!$K:$K, "Required")</f>
        <v>0</v>
      </c>
      <c r="N17" s="4">
        <f>COUNTIFS(EmployeeSkills!$A:$A, EmployeesTable[[#This Row],[User Name]],
          EmployeeSkills!$B:$B, EmployeesTable[[#This Row],[Succession Plan Job Code]],
          EmployeeSkills!$D:$D, "Competent")</f>
        <v>0</v>
      </c>
      <c r="O17" s="4" t="str">
        <f>IF(EmployeesTable[[#This Row],[Succession Skills Ready – Required Total]]=0,"",
   EmployeesTable[[#This Row],[Succession Skills Ready – Required Met]]/EmployeesTable[[#This Row],[Succession Skills Ready – Required Total]])</f>
        <v/>
      </c>
      <c r="P17" s="4" t="str" cm="1">
        <f t="array" ref="P17">_xlfn.IFS(EmployeesTable[[#This Row],[Succession Skills Readiness %]]="","",
     EmployeesTable[[#This Row],[Succession Skills Readiness %]]&lt;0.6,"Not Ready",
     EmployeesTable[[#This Row],[Succession Skills Readiness %]]&lt;0.8,"Developing",
     TRUE,"Ready")</f>
        <v/>
      </c>
      <c r="Q17" s="4" t="e" cm="1" vm="1">
        <f t="array" ref="Q17">_xlfn.TEXTJOIN(", ",TRUE,
  _xlfn._xlws.FILTER(JobCodeSkills!$G:$G,
    (JobCodeSkills!$B:$B=EmployeesTable[[#This Row],[Job Code]])*
    (JobCodeSkills!$K:$K="Required")
  )
)</f>
        <v>#VALUE!</v>
      </c>
      <c r="R17" s="4"/>
      <c r="S17" s="4"/>
      <c r="T17" s="4"/>
      <c r="U17" s="4"/>
      <c r="V17" s="4" t="str" cm="1">
        <f t="array" ref="V17">IF(EmployeesTable[[#This Row],[Additional Executive Role]]="","",
  _xlfn.TEXTJOIN(", ",TRUE,
    _xlfn._xlws.FILTER(ExecRoleSkills!$B:$B,
      ExecRoleSkills!$A:$A=EmployeesTable[[#This Row],[Additional Executive Role]]
    )
  )
)</f>
        <v/>
      </c>
    </row>
    <row r="18" spans="1:22" ht="30" x14ac:dyDescent="0.25">
      <c r="A18" s="19" t="s">
        <v>462</v>
      </c>
      <c r="B18" s="9">
        <v>10804</v>
      </c>
      <c r="C18" s="3" t="s">
        <v>167</v>
      </c>
      <c r="D18" s="9"/>
      <c r="E18" s="15">
        <v>44006</v>
      </c>
      <c r="F18" s="3" t="s">
        <v>463</v>
      </c>
      <c r="G18" s="3" t="s">
        <v>454</v>
      </c>
      <c r="H18" s="3" t="s">
        <v>12</v>
      </c>
      <c r="I18" s="9" t="s">
        <v>13</v>
      </c>
      <c r="J18" s="4"/>
      <c r="K18" s="4"/>
      <c r="L18" s="4"/>
      <c r="M18" s="4">
        <f>COUNTIFS(JobCodeSkills!$B:$B, EmployeesTable[[#This Row],[Succession Plan Job Code]],
          JobCodeSkills!$K:$K, "Required")</f>
        <v>0</v>
      </c>
      <c r="N18" s="4">
        <f>COUNTIFS(EmployeeSkills!$A:$A, EmployeesTable[[#This Row],[User Name]],
          EmployeeSkills!$B:$B, EmployeesTable[[#This Row],[Succession Plan Job Code]],
          EmployeeSkills!$D:$D, "Competent")</f>
        <v>0</v>
      </c>
      <c r="O18" s="4" t="str">
        <f>IF(EmployeesTable[[#This Row],[Succession Skills Ready – Required Total]]=0,"",
   EmployeesTable[[#This Row],[Succession Skills Ready – Required Met]]/EmployeesTable[[#This Row],[Succession Skills Ready – Required Total]])</f>
        <v/>
      </c>
      <c r="P18" s="4" t="str" cm="1">
        <f t="array" ref="P18">_xlfn.IFS(EmployeesTable[[#This Row],[Succession Skills Readiness %]]="","",
     EmployeesTable[[#This Row],[Succession Skills Readiness %]]&lt;0.6,"Not Ready",
     EmployeesTable[[#This Row],[Succession Skills Readiness %]]&lt;0.8,"Developing",
     TRUE,"Ready")</f>
        <v/>
      </c>
      <c r="Q18" s="4" t="e" cm="1" vm="1">
        <f t="array" ref="Q18">_xlfn.TEXTJOIN(", ",TRUE,
  _xlfn._xlws.FILTER(JobCodeSkills!$G:$G,
    (JobCodeSkills!$B:$B=EmployeesTable[[#This Row],[Job Code]])*
    (JobCodeSkills!$K:$K="Required")
  )
)</f>
        <v>#VALUE!</v>
      </c>
      <c r="R18" s="4"/>
      <c r="S18" s="4"/>
      <c r="T18" s="4"/>
      <c r="U18" s="4"/>
      <c r="V18" s="4" t="str" cm="1">
        <f t="array" ref="V18">IF(EmployeesTable[[#This Row],[Additional Executive Role]]="","",
  _xlfn.TEXTJOIN(", ",TRUE,
    _xlfn._xlws.FILTER(ExecRoleSkills!$B:$B,
      ExecRoleSkills!$A:$A=EmployeesTable[[#This Row],[Additional Executive Role]]
    )
  )
)</f>
        <v/>
      </c>
    </row>
    <row r="19" spans="1:22" ht="30" x14ac:dyDescent="0.25">
      <c r="A19" s="19" t="s">
        <v>464</v>
      </c>
      <c r="B19" s="9">
        <v>10802</v>
      </c>
      <c r="C19" s="3" t="s">
        <v>141</v>
      </c>
      <c r="D19" s="9"/>
      <c r="E19" s="15">
        <v>44567</v>
      </c>
      <c r="F19" s="3" t="s">
        <v>465</v>
      </c>
      <c r="G19" s="3" t="s">
        <v>454</v>
      </c>
      <c r="H19" s="3" t="s">
        <v>12</v>
      </c>
      <c r="I19" s="9" t="s">
        <v>13</v>
      </c>
      <c r="J19" s="4"/>
      <c r="K19" s="4"/>
      <c r="L19" s="4"/>
      <c r="M19" s="4">
        <f>COUNTIFS(JobCodeSkills!$B:$B, EmployeesTable[[#This Row],[Succession Plan Job Code]],
          JobCodeSkills!$K:$K, "Required")</f>
        <v>0</v>
      </c>
      <c r="N19" s="4">
        <f>COUNTIFS(EmployeeSkills!$A:$A, EmployeesTable[[#This Row],[User Name]],
          EmployeeSkills!$B:$B, EmployeesTable[[#This Row],[Succession Plan Job Code]],
          EmployeeSkills!$D:$D, "Competent")</f>
        <v>0</v>
      </c>
      <c r="O19" s="4" t="str">
        <f>IF(EmployeesTable[[#This Row],[Succession Skills Ready – Required Total]]=0,"",
   EmployeesTable[[#This Row],[Succession Skills Ready – Required Met]]/EmployeesTable[[#This Row],[Succession Skills Ready – Required Total]])</f>
        <v/>
      </c>
      <c r="P19" s="4" t="str" cm="1">
        <f t="array" ref="P19">_xlfn.IFS(EmployeesTable[[#This Row],[Succession Skills Readiness %]]="","",
     EmployeesTable[[#This Row],[Succession Skills Readiness %]]&lt;0.6,"Not Ready",
     EmployeesTable[[#This Row],[Succession Skills Readiness %]]&lt;0.8,"Developing",
     TRUE,"Ready")</f>
        <v/>
      </c>
      <c r="Q19" s="4" t="e" cm="1" vm="1">
        <f t="array" ref="Q19">_xlfn.TEXTJOIN(", ",TRUE,
  _xlfn._xlws.FILTER(JobCodeSkills!$G:$G,
    (JobCodeSkills!$B:$B=EmployeesTable[[#This Row],[Job Code]])*
    (JobCodeSkills!$K:$K="Required")
  )
)</f>
        <v>#VALUE!</v>
      </c>
      <c r="R19" s="4"/>
      <c r="S19" s="4"/>
      <c r="T19" s="4"/>
      <c r="U19" s="4"/>
      <c r="V19" s="4" t="str" cm="1">
        <f t="array" ref="V19">IF(EmployeesTable[[#This Row],[Additional Executive Role]]="","",
  _xlfn.TEXTJOIN(", ",TRUE,
    _xlfn._xlws.FILTER(ExecRoleSkills!$B:$B,
      ExecRoleSkills!$A:$A=EmployeesTable[[#This Row],[Additional Executive Role]]
    )
  )
)</f>
        <v/>
      </c>
    </row>
    <row r="20" spans="1:22" ht="30" x14ac:dyDescent="0.25">
      <c r="A20" s="19" t="s">
        <v>466</v>
      </c>
      <c r="B20" s="9">
        <v>10803</v>
      </c>
      <c r="C20" s="3" t="s">
        <v>272</v>
      </c>
      <c r="D20" s="9"/>
      <c r="E20" s="15">
        <v>44712</v>
      </c>
      <c r="F20" s="3" t="s">
        <v>467</v>
      </c>
      <c r="G20" s="3" t="s">
        <v>454</v>
      </c>
      <c r="H20" s="3" t="s">
        <v>12</v>
      </c>
      <c r="I20" s="9" t="s">
        <v>13</v>
      </c>
      <c r="J20" s="4"/>
      <c r="K20" s="4"/>
      <c r="L20" s="4"/>
      <c r="M20" s="4">
        <f>COUNTIFS(JobCodeSkills!$B:$B, EmployeesTable[[#This Row],[Succession Plan Job Code]],
          JobCodeSkills!$K:$K, "Required")</f>
        <v>0</v>
      </c>
      <c r="N20" s="4">
        <f>COUNTIFS(EmployeeSkills!$A:$A, EmployeesTable[[#This Row],[User Name]],
          EmployeeSkills!$B:$B, EmployeesTable[[#This Row],[Succession Plan Job Code]],
          EmployeeSkills!$D:$D, "Competent")</f>
        <v>0</v>
      </c>
      <c r="O20" s="4" t="str">
        <f>IF(EmployeesTable[[#This Row],[Succession Skills Ready – Required Total]]=0,"",
   EmployeesTable[[#This Row],[Succession Skills Ready – Required Met]]/EmployeesTable[[#This Row],[Succession Skills Ready – Required Total]])</f>
        <v/>
      </c>
      <c r="P20" s="4" t="str" cm="1">
        <f t="array" ref="P20">_xlfn.IFS(EmployeesTable[[#This Row],[Succession Skills Readiness %]]="","",
     EmployeesTable[[#This Row],[Succession Skills Readiness %]]&lt;0.6,"Not Ready",
     EmployeesTable[[#This Row],[Succession Skills Readiness %]]&lt;0.8,"Developing",
     TRUE,"Ready")</f>
        <v/>
      </c>
      <c r="Q20" s="4" t="e" cm="1" vm="1">
        <f t="array" ref="Q20">_xlfn.TEXTJOIN(", ",TRUE,
  _xlfn._xlws.FILTER(JobCodeSkills!$G:$G,
    (JobCodeSkills!$B:$B=EmployeesTable[[#This Row],[Job Code]])*
    (JobCodeSkills!$K:$K="Required")
  )
)</f>
        <v>#VALUE!</v>
      </c>
      <c r="R20" s="4"/>
      <c r="S20" s="4"/>
      <c r="T20" s="4"/>
      <c r="U20" s="4"/>
      <c r="V20" s="4" t="str" cm="1">
        <f t="array" ref="V20">IF(EmployeesTable[[#This Row],[Additional Executive Role]]="","",
  _xlfn.TEXTJOIN(", ",TRUE,
    _xlfn._xlws.FILTER(ExecRoleSkills!$B:$B,
      ExecRoleSkills!$A:$A=EmployeesTable[[#This Row],[Additional Executive Role]]
    )
  )
)</f>
        <v/>
      </c>
    </row>
    <row r="21" spans="1:22" ht="45" x14ac:dyDescent="0.25">
      <c r="A21" s="19" t="s">
        <v>688</v>
      </c>
      <c r="B21" s="9">
        <v>10201</v>
      </c>
      <c r="C21" s="3" t="s">
        <v>52</v>
      </c>
      <c r="D21" s="9"/>
      <c r="E21" s="15">
        <v>45300</v>
      </c>
      <c r="F21" s="3" t="s">
        <v>689</v>
      </c>
      <c r="G21" s="3" t="s">
        <v>687</v>
      </c>
      <c r="H21" s="3" t="s">
        <v>12</v>
      </c>
      <c r="I21" s="9" t="s">
        <v>712</v>
      </c>
      <c r="J21" s="4"/>
      <c r="K21" s="4"/>
      <c r="L21" s="4"/>
      <c r="M21" s="4">
        <f>COUNTIFS(JobCodeSkills!$B:$B, EmployeesTable[[#This Row],[Succession Plan Job Code]],
          JobCodeSkills!$K:$K, "Required")</f>
        <v>0</v>
      </c>
      <c r="N21" s="4">
        <f>COUNTIFS(EmployeeSkills!$A:$A, EmployeesTable[[#This Row],[User Name]],
          EmployeeSkills!$B:$B, EmployeesTable[[#This Row],[Succession Plan Job Code]],
          EmployeeSkills!$D:$D, "Competent")</f>
        <v>0</v>
      </c>
      <c r="O21" s="4" t="str">
        <f>IF(EmployeesTable[[#This Row],[Succession Skills Ready – Required Total]]=0,"",
   EmployeesTable[[#This Row],[Succession Skills Ready – Required Met]]/EmployeesTable[[#This Row],[Succession Skills Ready – Required Total]])</f>
        <v/>
      </c>
      <c r="P21" s="4" t="str" cm="1">
        <f t="array" ref="P21">_xlfn.IFS(EmployeesTable[[#This Row],[Succession Skills Readiness %]]="","",
     EmployeesTable[[#This Row],[Succession Skills Readiness %]]&lt;0.6,"Not Ready",
     EmployeesTable[[#This Row],[Succession Skills Readiness %]]&lt;0.8,"Developing",
     TRUE,"Ready")</f>
        <v/>
      </c>
      <c r="Q21" s="4" t="e" cm="1" vm="1">
        <f t="array" ref="Q21">_xlfn.TEXTJOIN(", ",TRUE,
  _xlfn._xlws.FILTER(JobCodeSkills!$G:$G,
    (JobCodeSkills!$B:$B=EmployeesTable[[#This Row],[Job Code]])*
    (JobCodeSkills!$K:$K="Required")
  )
)</f>
        <v>#VALUE!</v>
      </c>
      <c r="R21" s="4"/>
      <c r="S21" s="4"/>
      <c r="T21" s="4"/>
      <c r="U21" s="4"/>
      <c r="V21" s="4" t="str" cm="1">
        <f t="array" ref="V21">IF(EmployeesTable[[#This Row],[Additional Executive Role]]="","",
  _xlfn.TEXTJOIN(", ",TRUE,
    _xlfn._xlws.FILTER(ExecRoleSkills!$B:$B,
      ExecRoleSkills!$A:$A=EmployeesTable[[#This Row],[Additional Executive Role]]
    )
  )
)</f>
        <v/>
      </c>
    </row>
    <row r="22" spans="1:22" ht="30" x14ac:dyDescent="0.25">
      <c r="A22" s="19" t="s">
        <v>152</v>
      </c>
      <c r="B22" s="9">
        <v>10701</v>
      </c>
      <c r="C22" s="3" t="s">
        <v>153</v>
      </c>
      <c r="D22" s="9"/>
      <c r="E22" s="15">
        <v>45440</v>
      </c>
      <c r="F22" s="3" t="s">
        <v>154</v>
      </c>
      <c r="G22" s="3" t="s">
        <v>129</v>
      </c>
      <c r="H22" s="3" t="s">
        <v>12</v>
      </c>
      <c r="I22" s="10" t="s">
        <v>712</v>
      </c>
      <c r="J22" s="4"/>
      <c r="K22" s="4"/>
      <c r="L22" s="4"/>
      <c r="M22" s="4">
        <f>COUNTIFS(JobCodeSkills!$B:$B, EmployeesTable[[#This Row],[Succession Plan Job Code]],
          JobCodeSkills!$K:$K, "Required")</f>
        <v>0</v>
      </c>
      <c r="N22" s="4">
        <f>COUNTIFS(EmployeeSkills!$A:$A, EmployeesTable[[#This Row],[User Name]],
          EmployeeSkills!$B:$B, EmployeesTable[[#This Row],[Succession Plan Job Code]],
          EmployeeSkills!$D:$D, "Competent")</f>
        <v>0</v>
      </c>
      <c r="O22" s="4" t="str">
        <f>IF(EmployeesTable[[#This Row],[Succession Skills Ready – Required Total]]=0,"",
   EmployeesTable[[#This Row],[Succession Skills Ready – Required Met]]/EmployeesTable[[#This Row],[Succession Skills Ready – Required Total]])</f>
        <v/>
      </c>
      <c r="P22" s="4" t="str" cm="1">
        <f t="array" ref="P22">_xlfn.IFS(EmployeesTable[[#This Row],[Succession Skills Readiness %]]="","",
     EmployeesTable[[#This Row],[Succession Skills Readiness %]]&lt;0.6,"Not Ready",
     EmployeesTable[[#This Row],[Succession Skills Readiness %]]&lt;0.8,"Developing",
     TRUE,"Ready")</f>
        <v/>
      </c>
      <c r="Q22" s="4" t="e" cm="1" vm="1">
        <f t="array" ref="Q22">_xlfn.TEXTJOIN(", ",TRUE,
  _xlfn._xlws.FILTER(JobCodeSkills!$G:$G,
    (JobCodeSkills!$B:$B=EmployeesTable[[#This Row],[Job Code]])*
    (JobCodeSkills!$K:$K="Required")
  )
)</f>
        <v>#VALUE!</v>
      </c>
      <c r="R22" s="4"/>
      <c r="S22" s="4"/>
      <c r="T22" s="4"/>
      <c r="U22" s="4"/>
      <c r="V22" s="4" t="str" cm="1">
        <f t="array" ref="V22">IF(EmployeesTable[[#This Row],[Additional Executive Role]]="","",
  _xlfn.TEXTJOIN(", ",TRUE,
    _xlfn._xlws.FILTER(ExecRoleSkills!$B:$B,
      ExecRoleSkills!$A:$A=EmployeesTable[[#This Row],[Additional Executive Role]]
    )
  )
)</f>
        <v/>
      </c>
    </row>
    <row r="23" spans="1:22" ht="30" x14ac:dyDescent="0.25">
      <c r="A23" s="19" t="s">
        <v>468</v>
      </c>
      <c r="B23" s="9">
        <v>10803</v>
      </c>
      <c r="C23" s="3" t="s">
        <v>272</v>
      </c>
      <c r="D23" s="9"/>
      <c r="E23" s="15">
        <v>44588</v>
      </c>
      <c r="F23" s="3" t="s">
        <v>469</v>
      </c>
      <c r="G23" s="3" t="s">
        <v>454</v>
      </c>
      <c r="H23" s="3" t="s">
        <v>12</v>
      </c>
      <c r="I23" s="9" t="s">
        <v>13</v>
      </c>
      <c r="J23" s="4"/>
      <c r="K23" s="4"/>
      <c r="L23" s="4"/>
      <c r="M23" s="4">
        <f>COUNTIFS(JobCodeSkills!$B:$B, EmployeesTable[[#This Row],[Succession Plan Job Code]],
          JobCodeSkills!$K:$K, "Required")</f>
        <v>0</v>
      </c>
      <c r="N23" s="4">
        <f>COUNTIFS(EmployeeSkills!$A:$A, EmployeesTable[[#This Row],[User Name]],
          EmployeeSkills!$B:$B, EmployeesTable[[#This Row],[Succession Plan Job Code]],
          EmployeeSkills!$D:$D, "Competent")</f>
        <v>0</v>
      </c>
      <c r="O23" s="4" t="str">
        <f>IF(EmployeesTable[[#This Row],[Succession Skills Ready – Required Total]]=0,"",
   EmployeesTable[[#This Row],[Succession Skills Ready – Required Met]]/EmployeesTable[[#This Row],[Succession Skills Ready – Required Total]])</f>
        <v/>
      </c>
      <c r="P23" s="4" t="str" cm="1">
        <f t="array" ref="P23">_xlfn.IFS(EmployeesTable[[#This Row],[Succession Skills Readiness %]]="","",
     EmployeesTable[[#This Row],[Succession Skills Readiness %]]&lt;0.6,"Not Ready",
     EmployeesTable[[#This Row],[Succession Skills Readiness %]]&lt;0.8,"Developing",
     TRUE,"Ready")</f>
        <v/>
      </c>
      <c r="Q23" s="4" t="e" cm="1" vm="1">
        <f t="array" ref="Q23">_xlfn.TEXTJOIN(", ",TRUE,
  _xlfn._xlws.FILTER(JobCodeSkills!$G:$G,
    (JobCodeSkills!$B:$B=EmployeesTable[[#This Row],[Job Code]])*
    (JobCodeSkills!$K:$K="Required")
  )
)</f>
        <v>#VALUE!</v>
      </c>
      <c r="R23" s="4"/>
      <c r="S23" s="4"/>
      <c r="T23" s="4"/>
      <c r="U23" s="4"/>
      <c r="V23" s="4" t="str" cm="1">
        <f t="array" ref="V23">IF(EmployeesTable[[#This Row],[Additional Executive Role]]="","",
  _xlfn.TEXTJOIN(", ",TRUE,
    _xlfn._xlws.FILTER(ExecRoleSkills!$B:$B,
      ExecRoleSkills!$A:$A=EmployeesTable[[#This Row],[Additional Executive Role]]
    )
  )
)</f>
        <v/>
      </c>
    </row>
    <row r="24" spans="1:22" ht="30" x14ac:dyDescent="0.25">
      <c r="A24" s="19" t="s">
        <v>470</v>
      </c>
      <c r="B24" s="9">
        <v>10804</v>
      </c>
      <c r="C24" s="3" t="s">
        <v>167</v>
      </c>
      <c r="D24" s="9"/>
      <c r="E24" s="15">
        <v>44371</v>
      </c>
      <c r="F24" s="3" t="s">
        <v>471</v>
      </c>
      <c r="G24" s="3" t="s">
        <v>454</v>
      </c>
      <c r="H24" s="3" t="s">
        <v>12</v>
      </c>
      <c r="I24" s="9" t="s">
        <v>13</v>
      </c>
      <c r="J24" s="4"/>
      <c r="K24" s="4"/>
      <c r="L24" s="4"/>
      <c r="M24" s="4">
        <f>COUNTIFS(JobCodeSkills!$B:$B, EmployeesTable[[#This Row],[Succession Plan Job Code]],
          JobCodeSkills!$K:$K, "Required")</f>
        <v>0</v>
      </c>
      <c r="N24" s="4">
        <f>COUNTIFS(EmployeeSkills!$A:$A, EmployeesTable[[#This Row],[User Name]],
          EmployeeSkills!$B:$B, EmployeesTable[[#This Row],[Succession Plan Job Code]],
          EmployeeSkills!$D:$D, "Competent")</f>
        <v>0</v>
      </c>
      <c r="O24" s="4" t="str">
        <f>IF(EmployeesTable[[#This Row],[Succession Skills Ready – Required Total]]=0,"",
   EmployeesTable[[#This Row],[Succession Skills Ready – Required Met]]/EmployeesTable[[#This Row],[Succession Skills Ready – Required Total]])</f>
        <v/>
      </c>
      <c r="P24" s="4" t="str" cm="1">
        <f t="array" ref="P24">_xlfn.IFS(EmployeesTable[[#This Row],[Succession Skills Readiness %]]="","",
     EmployeesTable[[#This Row],[Succession Skills Readiness %]]&lt;0.6,"Not Ready",
     EmployeesTable[[#This Row],[Succession Skills Readiness %]]&lt;0.8,"Developing",
     TRUE,"Ready")</f>
        <v/>
      </c>
      <c r="Q24" s="4" t="e" cm="1" vm="1">
        <f t="array" ref="Q24">_xlfn.TEXTJOIN(", ",TRUE,
  _xlfn._xlws.FILTER(JobCodeSkills!$G:$G,
    (JobCodeSkills!$B:$B=EmployeesTable[[#This Row],[Job Code]])*
    (JobCodeSkills!$K:$K="Required")
  )
)</f>
        <v>#VALUE!</v>
      </c>
      <c r="R24" s="4"/>
      <c r="S24" s="4"/>
      <c r="T24" s="4"/>
      <c r="U24" s="4"/>
      <c r="V24" s="4" t="str" cm="1">
        <f t="array" ref="V24">IF(EmployeesTable[[#This Row],[Additional Executive Role]]="","",
  _xlfn.TEXTJOIN(", ",TRUE,
    _xlfn._xlws.FILTER(ExecRoleSkills!$B:$B,
      ExecRoleSkills!$A:$A=EmployeesTable[[#This Row],[Additional Executive Role]]
    )
  )
)</f>
        <v/>
      </c>
    </row>
    <row r="25" spans="1:22" ht="30" x14ac:dyDescent="0.25">
      <c r="A25" s="19" t="s">
        <v>472</v>
      </c>
      <c r="B25" s="9">
        <v>10401</v>
      </c>
      <c r="C25" s="3" t="s">
        <v>184</v>
      </c>
      <c r="D25" s="9"/>
      <c r="E25" s="15">
        <v>39559</v>
      </c>
      <c r="F25" s="3" t="s">
        <v>473</v>
      </c>
      <c r="G25" s="3" t="s">
        <v>454</v>
      </c>
      <c r="H25" s="3" t="s">
        <v>12</v>
      </c>
      <c r="I25" s="9" t="s">
        <v>13</v>
      </c>
      <c r="J25" s="4"/>
      <c r="K25" s="4"/>
      <c r="L25" s="4"/>
      <c r="M25" s="4">
        <f>COUNTIFS(JobCodeSkills!$B:$B, EmployeesTable[[#This Row],[Succession Plan Job Code]],
          JobCodeSkills!$K:$K, "Required")</f>
        <v>0</v>
      </c>
      <c r="N25" s="4">
        <f>COUNTIFS(EmployeeSkills!$A:$A, EmployeesTable[[#This Row],[User Name]],
          EmployeeSkills!$B:$B, EmployeesTable[[#This Row],[Succession Plan Job Code]],
          EmployeeSkills!$D:$D, "Competent")</f>
        <v>0</v>
      </c>
      <c r="O25" s="4" t="str">
        <f>IF(EmployeesTable[[#This Row],[Succession Skills Ready – Required Total]]=0,"",
   EmployeesTable[[#This Row],[Succession Skills Ready – Required Met]]/EmployeesTable[[#This Row],[Succession Skills Ready – Required Total]])</f>
        <v/>
      </c>
      <c r="P25" s="4" t="str" cm="1">
        <f t="array" ref="P25">_xlfn.IFS(EmployeesTable[[#This Row],[Succession Skills Readiness %]]="","",
     EmployeesTable[[#This Row],[Succession Skills Readiness %]]&lt;0.6,"Not Ready",
     EmployeesTable[[#This Row],[Succession Skills Readiness %]]&lt;0.8,"Developing",
     TRUE,"Ready")</f>
        <v/>
      </c>
      <c r="Q25" s="4" t="e" cm="1" vm="1">
        <f t="array" ref="Q25">_xlfn.TEXTJOIN(", ",TRUE,
  _xlfn._xlws.FILTER(JobCodeSkills!$G:$G,
    (JobCodeSkills!$B:$B=EmployeesTable[[#This Row],[Job Code]])*
    (JobCodeSkills!$K:$K="Required")
  )
)</f>
        <v>#VALUE!</v>
      </c>
      <c r="R25" s="4"/>
      <c r="S25" s="4"/>
      <c r="T25" s="4"/>
      <c r="U25" s="4"/>
      <c r="V25" s="4" t="str" cm="1">
        <f t="array" ref="V25">IF(EmployeesTable[[#This Row],[Additional Executive Role]]="","",
  _xlfn.TEXTJOIN(", ",TRUE,
    _xlfn._xlws.FILTER(ExecRoleSkills!$B:$B,
      ExecRoleSkills!$A:$A=EmployeesTable[[#This Row],[Additional Executive Role]]
    )
  )
)</f>
        <v/>
      </c>
    </row>
    <row r="26" spans="1:22" ht="30" x14ac:dyDescent="0.25">
      <c r="A26" s="19" t="s">
        <v>84</v>
      </c>
      <c r="B26" s="9">
        <v>20206</v>
      </c>
      <c r="C26" s="3" t="s">
        <v>85</v>
      </c>
      <c r="D26" s="9"/>
      <c r="E26" s="15">
        <v>39630</v>
      </c>
      <c r="F26" s="3" t="s">
        <v>86</v>
      </c>
      <c r="G26" s="3" t="s">
        <v>87</v>
      </c>
      <c r="H26" s="3" t="s">
        <v>12</v>
      </c>
      <c r="I26" s="10" t="s">
        <v>713</v>
      </c>
      <c r="J26" s="4"/>
      <c r="K26" s="4"/>
      <c r="L26" s="4"/>
      <c r="M26" s="4">
        <f>COUNTIFS(JobCodeSkills!$B:$B, EmployeesTable[[#This Row],[Succession Plan Job Code]],
          JobCodeSkills!$K:$K, "Required")</f>
        <v>0</v>
      </c>
      <c r="N26" s="4">
        <f>COUNTIFS(EmployeeSkills!$A:$A, EmployeesTable[[#This Row],[User Name]],
          EmployeeSkills!$B:$B, EmployeesTable[[#This Row],[Succession Plan Job Code]],
          EmployeeSkills!$D:$D, "Competent")</f>
        <v>0</v>
      </c>
      <c r="O26" s="4" t="str">
        <f>IF(EmployeesTable[[#This Row],[Succession Skills Ready – Required Total]]=0,"",
   EmployeesTable[[#This Row],[Succession Skills Ready – Required Met]]/EmployeesTable[[#This Row],[Succession Skills Ready – Required Total]])</f>
        <v/>
      </c>
      <c r="P26" s="4" t="str" cm="1">
        <f t="array" ref="P26">_xlfn.IFS(EmployeesTable[[#This Row],[Succession Skills Readiness %]]="","",
     EmployeesTable[[#This Row],[Succession Skills Readiness %]]&lt;0.6,"Not Ready",
     EmployeesTable[[#This Row],[Succession Skills Readiness %]]&lt;0.8,"Developing",
     TRUE,"Ready")</f>
        <v/>
      </c>
      <c r="Q26" s="4" t="e" cm="1" vm="1">
        <f t="array" ref="Q26">_xlfn.TEXTJOIN(", ",TRUE,
  _xlfn._xlws.FILTER(JobCodeSkills!$G:$G,
    (JobCodeSkills!$B:$B=EmployeesTable[[#This Row],[Job Code]])*
    (JobCodeSkills!$K:$K="Required")
  )
)</f>
        <v>#VALUE!</v>
      </c>
      <c r="R26" s="4"/>
      <c r="S26" s="4"/>
      <c r="T26" s="4"/>
      <c r="U26" s="4"/>
      <c r="V26" s="4" t="str" cm="1">
        <f t="array" ref="V26">IF(EmployeesTable[[#This Row],[Additional Executive Role]]="","",
  _xlfn.TEXTJOIN(", ",TRUE,
    _xlfn._xlws.FILTER(ExecRoleSkills!$B:$B,
      ExecRoleSkills!$A:$A=EmployeesTable[[#This Row],[Additional Executive Role]]
    )
  )
)</f>
        <v/>
      </c>
    </row>
    <row r="27" spans="1:22" ht="30" x14ac:dyDescent="0.25">
      <c r="A27" s="19" t="s">
        <v>474</v>
      </c>
      <c r="B27" s="9">
        <v>10801</v>
      </c>
      <c r="C27" s="3" t="s">
        <v>475</v>
      </c>
      <c r="D27" s="9"/>
      <c r="E27" s="15">
        <v>45762</v>
      </c>
      <c r="F27" s="3" t="s">
        <v>476</v>
      </c>
      <c r="G27" s="3" t="s">
        <v>454</v>
      </c>
      <c r="H27" s="3" t="s">
        <v>12</v>
      </c>
      <c r="I27" s="9" t="s">
        <v>13</v>
      </c>
      <c r="J27" s="4"/>
      <c r="K27" s="4"/>
      <c r="L27" s="4"/>
      <c r="M27" s="4">
        <f>COUNTIFS(JobCodeSkills!$B:$B, EmployeesTable[[#This Row],[Succession Plan Job Code]],
          JobCodeSkills!$K:$K, "Required")</f>
        <v>0</v>
      </c>
      <c r="N27" s="4">
        <f>COUNTIFS(EmployeeSkills!$A:$A, EmployeesTable[[#This Row],[User Name]],
          EmployeeSkills!$B:$B, EmployeesTable[[#This Row],[Succession Plan Job Code]],
          EmployeeSkills!$D:$D, "Competent")</f>
        <v>0</v>
      </c>
      <c r="O27" s="4" t="str">
        <f>IF(EmployeesTable[[#This Row],[Succession Skills Ready – Required Total]]=0,"",
   EmployeesTable[[#This Row],[Succession Skills Ready – Required Met]]/EmployeesTable[[#This Row],[Succession Skills Ready – Required Total]])</f>
        <v/>
      </c>
      <c r="P27" s="4" t="str" cm="1">
        <f t="array" ref="P27">_xlfn.IFS(EmployeesTable[[#This Row],[Succession Skills Readiness %]]="","",
     EmployeesTable[[#This Row],[Succession Skills Readiness %]]&lt;0.6,"Not Ready",
     EmployeesTable[[#This Row],[Succession Skills Readiness %]]&lt;0.8,"Developing",
     TRUE,"Ready")</f>
        <v/>
      </c>
      <c r="Q27" s="4" t="e" cm="1" vm="1">
        <f t="array" ref="Q27">_xlfn.TEXTJOIN(", ",TRUE,
  _xlfn._xlws.FILTER(JobCodeSkills!$G:$G,
    (JobCodeSkills!$B:$B=EmployeesTable[[#This Row],[Job Code]])*
    (JobCodeSkills!$K:$K="Required")
  )
)</f>
        <v>#VALUE!</v>
      </c>
      <c r="R27" s="4"/>
      <c r="S27" s="4"/>
      <c r="T27" s="4"/>
      <c r="U27" s="4"/>
      <c r="V27" s="4" t="str" cm="1">
        <f t="array" ref="V27">IF(EmployeesTable[[#This Row],[Additional Executive Role]]="","",
  _xlfn.TEXTJOIN(", ",TRUE,
    _xlfn._xlws.FILTER(ExecRoleSkills!$B:$B,
      ExecRoleSkills!$A:$A=EmployeesTable[[#This Row],[Additional Executive Role]]
    )
  )
)</f>
        <v/>
      </c>
    </row>
    <row r="28" spans="1:22" ht="30" x14ac:dyDescent="0.25">
      <c r="A28" s="19" t="s">
        <v>477</v>
      </c>
      <c r="B28" s="9">
        <v>10804</v>
      </c>
      <c r="C28" s="3" t="s">
        <v>167</v>
      </c>
      <c r="D28" s="9"/>
      <c r="E28" s="15">
        <v>45531</v>
      </c>
      <c r="F28" s="3" t="s">
        <v>478</v>
      </c>
      <c r="G28" s="3" t="s">
        <v>454</v>
      </c>
      <c r="H28" s="3" t="s">
        <v>12</v>
      </c>
      <c r="I28" s="9" t="s">
        <v>13</v>
      </c>
      <c r="J28" s="4"/>
      <c r="K28" s="4"/>
      <c r="L28" s="4"/>
      <c r="M28" s="4">
        <f>COUNTIFS(JobCodeSkills!$B:$B, EmployeesTable[[#This Row],[Succession Plan Job Code]],
          JobCodeSkills!$K:$K, "Required")</f>
        <v>0</v>
      </c>
      <c r="N28" s="4">
        <f>COUNTIFS(EmployeeSkills!$A:$A, EmployeesTable[[#This Row],[User Name]],
          EmployeeSkills!$B:$B, EmployeesTable[[#This Row],[Succession Plan Job Code]],
          EmployeeSkills!$D:$D, "Competent")</f>
        <v>0</v>
      </c>
      <c r="O28" s="4" t="str">
        <f>IF(EmployeesTable[[#This Row],[Succession Skills Ready – Required Total]]=0,"",
   EmployeesTable[[#This Row],[Succession Skills Ready – Required Met]]/EmployeesTable[[#This Row],[Succession Skills Ready – Required Total]])</f>
        <v/>
      </c>
      <c r="P28" s="4" t="str" cm="1">
        <f t="array" ref="P28">_xlfn.IFS(EmployeesTable[[#This Row],[Succession Skills Readiness %]]="","",
     EmployeesTable[[#This Row],[Succession Skills Readiness %]]&lt;0.6,"Not Ready",
     EmployeesTable[[#This Row],[Succession Skills Readiness %]]&lt;0.8,"Developing",
     TRUE,"Ready")</f>
        <v/>
      </c>
      <c r="Q28" s="4" t="e" cm="1" vm="1">
        <f t="array" ref="Q28">_xlfn.TEXTJOIN(", ",TRUE,
  _xlfn._xlws.FILTER(JobCodeSkills!$G:$G,
    (JobCodeSkills!$B:$B=EmployeesTable[[#This Row],[Job Code]])*
    (JobCodeSkills!$K:$K="Required")
  )
)</f>
        <v>#VALUE!</v>
      </c>
      <c r="R28" s="4"/>
      <c r="S28" s="4"/>
      <c r="T28" s="4"/>
      <c r="U28" s="4"/>
      <c r="V28" s="4" t="str" cm="1">
        <f t="array" ref="V28">IF(EmployeesTable[[#This Row],[Additional Executive Role]]="","",
  _xlfn.TEXTJOIN(", ",TRUE,
    _xlfn._xlws.FILTER(ExecRoleSkills!$B:$B,
      ExecRoleSkills!$A:$A=EmployeesTable[[#This Row],[Additional Executive Role]]
    )
  )
)</f>
        <v/>
      </c>
    </row>
    <row r="29" spans="1:22" ht="30" x14ac:dyDescent="0.25">
      <c r="A29" s="19" t="s">
        <v>155</v>
      </c>
      <c r="B29" s="9">
        <v>10501</v>
      </c>
      <c r="C29" s="3" t="s">
        <v>156</v>
      </c>
      <c r="D29" s="9"/>
      <c r="E29" s="15">
        <v>43817</v>
      </c>
      <c r="F29" s="3" t="s">
        <v>157</v>
      </c>
      <c r="G29" s="3" t="s">
        <v>129</v>
      </c>
      <c r="H29" s="3" t="s">
        <v>12</v>
      </c>
      <c r="I29" s="10" t="s">
        <v>712</v>
      </c>
      <c r="J29" s="4"/>
      <c r="K29" s="4"/>
      <c r="L29" s="4"/>
      <c r="M29" s="4">
        <f>COUNTIFS(JobCodeSkills!$B:$B, EmployeesTable[[#This Row],[Succession Plan Job Code]],
          JobCodeSkills!$K:$K, "Required")</f>
        <v>0</v>
      </c>
      <c r="N29" s="4">
        <f>COUNTIFS(EmployeeSkills!$A:$A, EmployeesTable[[#This Row],[User Name]],
          EmployeeSkills!$B:$B, EmployeesTable[[#This Row],[Succession Plan Job Code]],
          EmployeeSkills!$D:$D, "Competent")</f>
        <v>0</v>
      </c>
      <c r="O29" s="4" t="str">
        <f>IF(EmployeesTable[[#This Row],[Succession Skills Ready – Required Total]]=0,"",
   EmployeesTable[[#This Row],[Succession Skills Ready – Required Met]]/EmployeesTable[[#This Row],[Succession Skills Ready – Required Total]])</f>
        <v/>
      </c>
      <c r="P29" s="4" t="str" cm="1">
        <f t="array" ref="P29">_xlfn.IFS(EmployeesTable[[#This Row],[Succession Skills Readiness %]]="","",
     EmployeesTable[[#This Row],[Succession Skills Readiness %]]&lt;0.6,"Not Ready",
     EmployeesTable[[#This Row],[Succession Skills Readiness %]]&lt;0.8,"Developing",
     TRUE,"Ready")</f>
        <v/>
      </c>
      <c r="Q29" s="4" t="e" cm="1" vm="1">
        <f t="array" ref="Q29">_xlfn.TEXTJOIN(", ",TRUE,
  _xlfn._xlws.FILTER(JobCodeSkills!$G:$G,
    (JobCodeSkills!$B:$B=EmployeesTable[[#This Row],[Job Code]])*
    (JobCodeSkills!$K:$K="Required")
  )
)</f>
        <v>#VALUE!</v>
      </c>
      <c r="R29" s="4"/>
      <c r="S29" s="4"/>
      <c r="T29" s="4"/>
      <c r="U29" s="4"/>
      <c r="V29" s="4" t="str" cm="1">
        <f t="array" ref="V29">IF(EmployeesTable[[#This Row],[Additional Executive Role]]="","",
  _xlfn.TEXTJOIN(", ",TRUE,
    _xlfn._xlws.FILTER(ExecRoleSkills!$B:$B,
      ExecRoleSkills!$A:$A=EmployeesTable[[#This Row],[Additional Executive Role]]
    )
  )
)</f>
        <v/>
      </c>
    </row>
    <row r="30" spans="1:22" ht="30" x14ac:dyDescent="0.25">
      <c r="A30" s="19" t="s">
        <v>21</v>
      </c>
      <c r="B30" s="9">
        <v>10200</v>
      </c>
      <c r="C30" s="3" t="s">
        <v>22</v>
      </c>
      <c r="D30" s="9"/>
      <c r="E30" s="15">
        <v>39223</v>
      </c>
      <c r="F30" s="3" t="s">
        <v>23</v>
      </c>
      <c r="G30" s="3" t="s">
        <v>20</v>
      </c>
      <c r="H30" s="3" t="s">
        <v>12</v>
      </c>
      <c r="I30" s="10" t="s">
        <v>13</v>
      </c>
      <c r="J30" s="4"/>
      <c r="K30" s="4"/>
      <c r="L30" s="4"/>
      <c r="M30" s="4">
        <f>COUNTIFS(JobCodeSkills!$B:$B, EmployeesTable[[#This Row],[Succession Plan Job Code]],
          JobCodeSkills!$K:$K, "Required")</f>
        <v>0</v>
      </c>
      <c r="N30" s="4">
        <f>COUNTIFS(EmployeeSkills!$A:$A, EmployeesTable[[#This Row],[User Name]],
          EmployeeSkills!$B:$B, EmployeesTable[[#This Row],[Succession Plan Job Code]],
          EmployeeSkills!$D:$D, "Competent")</f>
        <v>0</v>
      </c>
      <c r="O30" s="4" t="str">
        <f>IF(EmployeesTable[[#This Row],[Succession Skills Ready – Required Total]]=0,"",
   EmployeesTable[[#This Row],[Succession Skills Ready – Required Met]]/EmployeesTable[[#This Row],[Succession Skills Ready – Required Total]])</f>
        <v/>
      </c>
      <c r="P30" s="4" t="str" cm="1">
        <f t="array" ref="P30">_xlfn.IFS(EmployeesTable[[#This Row],[Succession Skills Readiness %]]="","",
     EmployeesTable[[#This Row],[Succession Skills Readiness %]]&lt;0.6,"Not Ready",
     EmployeesTable[[#This Row],[Succession Skills Readiness %]]&lt;0.8,"Developing",
     TRUE,"Ready")</f>
        <v/>
      </c>
      <c r="Q30" s="4" t="e" cm="1" vm="1">
        <f t="array" ref="Q30">_xlfn.TEXTJOIN(", ",TRUE,
  _xlfn._xlws.FILTER(JobCodeSkills!$G:$G,
    (JobCodeSkills!$B:$B=EmployeesTable[[#This Row],[Job Code]])*
    (JobCodeSkills!$K:$K="Required")
  )
)</f>
        <v>#VALUE!</v>
      </c>
      <c r="R30" s="4"/>
      <c r="S30" s="4"/>
      <c r="T30" s="4"/>
      <c r="U30" s="4"/>
      <c r="V30" s="4" t="str" cm="1">
        <f t="array" ref="V30">IF(EmployeesTable[[#This Row],[Additional Executive Role]]="","",
  _xlfn.TEXTJOIN(", ",TRUE,
    _xlfn._xlws.FILTER(ExecRoleSkills!$B:$B,
      ExecRoleSkills!$A:$A=EmployeesTable[[#This Row],[Additional Executive Role]]
    )
  )
)</f>
        <v/>
      </c>
    </row>
    <row r="31" spans="1:22" ht="30" x14ac:dyDescent="0.25">
      <c r="A31" s="19" t="s">
        <v>76</v>
      </c>
      <c r="B31" s="9">
        <v>1110</v>
      </c>
      <c r="C31" s="3" t="s">
        <v>409</v>
      </c>
      <c r="D31" s="9"/>
      <c r="E31" s="15">
        <v>35646</v>
      </c>
      <c r="F31" s="3" t="s">
        <v>78</v>
      </c>
      <c r="G31" s="3" t="s">
        <v>79</v>
      </c>
      <c r="H31" s="3" t="s">
        <v>12</v>
      </c>
      <c r="I31" s="10" t="s">
        <v>13</v>
      </c>
      <c r="J31" s="4"/>
      <c r="K31" s="4"/>
      <c r="L31" s="4"/>
      <c r="M31" s="4">
        <f>COUNTIFS(JobCodeSkills!$B:$B, EmployeesTable[[#This Row],[Succession Plan Job Code]],
          JobCodeSkills!$K:$K, "Required")</f>
        <v>0</v>
      </c>
      <c r="N31" s="4">
        <f>COUNTIFS(EmployeeSkills!$A:$A, EmployeesTable[[#This Row],[User Name]],
          EmployeeSkills!$B:$B, EmployeesTable[[#This Row],[Succession Plan Job Code]],
          EmployeeSkills!$D:$D, "Competent")</f>
        <v>0</v>
      </c>
      <c r="O31" s="4" t="str">
        <f>IF(EmployeesTable[[#This Row],[Succession Skills Ready – Required Total]]=0,"",
   EmployeesTable[[#This Row],[Succession Skills Ready – Required Met]]/EmployeesTable[[#This Row],[Succession Skills Ready – Required Total]])</f>
        <v/>
      </c>
      <c r="P31" s="4" t="str" cm="1">
        <f t="array" ref="P31">_xlfn.IFS(EmployeesTable[[#This Row],[Succession Skills Readiness %]]="","",
     EmployeesTable[[#This Row],[Succession Skills Readiness %]]&lt;0.6,"Not Ready",
     EmployeesTable[[#This Row],[Succession Skills Readiness %]]&lt;0.8,"Developing",
     TRUE,"Ready")</f>
        <v/>
      </c>
      <c r="Q31" s="4" t="e" cm="1" vm="1">
        <f t="array" ref="Q31">_xlfn.TEXTJOIN(", ",TRUE,
  _xlfn._xlws.FILTER(JobCodeSkills!$G:$G,
    (JobCodeSkills!$B:$B=EmployeesTable[[#This Row],[Job Code]])*
    (JobCodeSkills!$K:$K="Required")
  )
)</f>
        <v>#VALUE!</v>
      </c>
      <c r="R31" s="4"/>
      <c r="S31" s="4"/>
      <c r="T31" s="4"/>
      <c r="U31" s="4"/>
      <c r="V31" s="4" t="str" cm="1">
        <f t="array" ref="V31">IF(EmployeesTable[[#This Row],[Additional Executive Role]]="","",
  _xlfn.TEXTJOIN(", ",TRUE,
    _xlfn._xlws.FILTER(ExecRoleSkills!$B:$B,
      ExecRoleSkills!$A:$A=EmployeesTable[[#This Row],[Additional Executive Role]]
    )
  )
)</f>
        <v/>
      </c>
    </row>
    <row r="32" spans="1:22" ht="30" x14ac:dyDescent="0.25">
      <c r="A32" s="19" t="s">
        <v>479</v>
      </c>
      <c r="B32" s="9">
        <v>10815</v>
      </c>
      <c r="C32" s="3" t="s">
        <v>480</v>
      </c>
      <c r="D32" s="9"/>
      <c r="E32" s="15">
        <v>45425</v>
      </c>
      <c r="F32" s="3" t="s">
        <v>481</v>
      </c>
      <c r="G32" s="3" t="s">
        <v>454</v>
      </c>
      <c r="H32" s="3" t="s">
        <v>12</v>
      </c>
      <c r="I32" s="9" t="s">
        <v>13</v>
      </c>
      <c r="J32" s="4"/>
      <c r="K32" s="4"/>
      <c r="L32" s="4"/>
      <c r="M32" s="4">
        <f>COUNTIFS(JobCodeSkills!$B:$B, EmployeesTable[[#This Row],[Succession Plan Job Code]],
          JobCodeSkills!$K:$K, "Required")</f>
        <v>0</v>
      </c>
      <c r="N32" s="4">
        <f>COUNTIFS(EmployeeSkills!$A:$A, EmployeesTable[[#This Row],[User Name]],
          EmployeeSkills!$B:$B, EmployeesTable[[#This Row],[Succession Plan Job Code]],
          EmployeeSkills!$D:$D, "Competent")</f>
        <v>0</v>
      </c>
      <c r="O32" s="4" t="str">
        <f>IF(EmployeesTable[[#This Row],[Succession Skills Ready – Required Total]]=0,"",
   EmployeesTable[[#This Row],[Succession Skills Ready – Required Met]]/EmployeesTable[[#This Row],[Succession Skills Ready – Required Total]])</f>
        <v/>
      </c>
      <c r="P32" s="4" t="str" cm="1">
        <f t="array" ref="P32">_xlfn.IFS(EmployeesTable[[#This Row],[Succession Skills Readiness %]]="","",
     EmployeesTable[[#This Row],[Succession Skills Readiness %]]&lt;0.6,"Not Ready",
     EmployeesTable[[#This Row],[Succession Skills Readiness %]]&lt;0.8,"Developing",
     TRUE,"Ready")</f>
        <v/>
      </c>
      <c r="Q32" s="4" t="e" cm="1" vm="1">
        <f t="array" ref="Q32">_xlfn.TEXTJOIN(", ",TRUE,
  _xlfn._xlws.FILTER(JobCodeSkills!$G:$G,
    (JobCodeSkills!$B:$B=EmployeesTable[[#This Row],[Job Code]])*
    (JobCodeSkills!$K:$K="Required")
  )
)</f>
        <v>#VALUE!</v>
      </c>
      <c r="R32" s="4"/>
      <c r="S32" s="4"/>
      <c r="T32" s="4"/>
      <c r="U32" s="4"/>
      <c r="V32" s="4" t="str" cm="1">
        <f t="array" ref="V32">IF(EmployeesTable[[#This Row],[Additional Executive Role]]="","",
  _xlfn.TEXTJOIN(", ",TRUE,
    _xlfn._xlws.FILTER(ExecRoleSkills!$B:$B,
      ExecRoleSkills!$A:$A=EmployeesTable[[#This Row],[Additional Executive Role]]
    )
  )
)</f>
        <v/>
      </c>
    </row>
    <row r="33" spans="1:22" ht="30" x14ac:dyDescent="0.25">
      <c r="A33" s="19" t="s">
        <v>482</v>
      </c>
      <c r="B33" s="9">
        <v>10811</v>
      </c>
      <c r="C33" s="3" t="s">
        <v>161</v>
      </c>
      <c r="D33" s="9"/>
      <c r="E33" s="15">
        <v>44754</v>
      </c>
      <c r="F33" s="3" t="s">
        <v>483</v>
      </c>
      <c r="G33" s="3" t="s">
        <v>454</v>
      </c>
      <c r="H33" s="3" t="s">
        <v>12</v>
      </c>
      <c r="I33" s="9" t="s">
        <v>13</v>
      </c>
      <c r="J33" s="4"/>
      <c r="K33" s="4"/>
      <c r="L33" s="4"/>
      <c r="M33" s="4">
        <f>COUNTIFS(JobCodeSkills!$B:$B, EmployeesTable[[#This Row],[Succession Plan Job Code]],
          JobCodeSkills!$K:$K, "Required")</f>
        <v>0</v>
      </c>
      <c r="N33" s="4">
        <f>COUNTIFS(EmployeeSkills!$A:$A, EmployeesTable[[#This Row],[User Name]],
          EmployeeSkills!$B:$B, EmployeesTable[[#This Row],[Succession Plan Job Code]],
          EmployeeSkills!$D:$D, "Competent")</f>
        <v>0</v>
      </c>
      <c r="O33" s="4" t="str">
        <f>IF(EmployeesTable[[#This Row],[Succession Skills Ready – Required Total]]=0,"",
   EmployeesTable[[#This Row],[Succession Skills Ready – Required Met]]/EmployeesTable[[#This Row],[Succession Skills Ready – Required Total]])</f>
        <v/>
      </c>
      <c r="P33" s="4" t="str" cm="1">
        <f t="array" ref="P33">_xlfn.IFS(EmployeesTable[[#This Row],[Succession Skills Readiness %]]="","",
     EmployeesTable[[#This Row],[Succession Skills Readiness %]]&lt;0.6,"Not Ready",
     EmployeesTable[[#This Row],[Succession Skills Readiness %]]&lt;0.8,"Developing",
     TRUE,"Ready")</f>
        <v/>
      </c>
      <c r="Q33" s="4" t="e" cm="1" vm="1">
        <f t="array" ref="Q33">_xlfn.TEXTJOIN(", ",TRUE,
  _xlfn._xlws.FILTER(JobCodeSkills!$G:$G,
    (JobCodeSkills!$B:$B=EmployeesTable[[#This Row],[Job Code]])*
    (JobCodeSkills!$K:$K="Required")
  )
)</f>
        <v>#VALUE!</v>
      </c>
      <c r="R33" s="4"/>
      <c r="S33" s="4"/>
      <c r="T33" s="4"/>
      <c r="U33" s="4"/>
      <c r="V33" s="4" t="str" cm="1">
        <f t="array" ref="V33">IF(EmployeesTable[[#This Row],[Additional Executive Role]]="","",
  _xlfn.TEXTJOIN(", ",TRUE,
    _xlfn._xlws.FILTER(ExecRoleSkills!$B:$B,
      ExecRoleSkills!$A:$A=EmployeesTable[[#This Row],[Additional Executive Role]]
    )
  )
)</f>
        <v/>
      </c>
    </row>
    <row r="34" spans="1:22" ht="30" x14ac:dyDescent="0.25">
      <c r="A34" s="19" t="s">
        <v>484</v>
      </c>
      <c r="B34" s="9">
        <v>10302</v>
      </c>
      <c r="C34" s="3" t="s">
        <v>240</v>
      </c>
      <c r="D34" s="9"/>
      <c r="E34" s="15">
        <v>38107</v>
      </c>
      <c r="F34" s="3" t="s">
        <v>485</v>
      </c>
      <c r="G34" s="3" t="s">
        <v>454</v>
      </c>
      <c r="H34" s="3" t="s">
        <v>12</v>
      </c>
      <c r="I34" s="9" t="s">
        <v>13</v>
      </c>
      <c r="J34" s="4"/>
      <c r="K34" s="4"/>
      <c r="L34" s="4"/>
      <c r="M34" s="4">
        <f>COUNTIFS(JobCodeSkills!$B:$B, EmployeesTable[[#This Row],[Succession Plan Job Code]],
          JobCodeSkills!$K:$K, "Required")</f>
        <v>0</v>
      </c>
      <c r="N34" s="4">
        <f>COUNTIFS(EmployeeSkills!$A:$A, EmployeesTable[[#This Row],[User Name]],
          EmployeeSkills!$B:$B, EmployeesTable[[#This Row],[Succession Plan Job Code]],
          EmployeeSkills!$D:$D, "Competent")</f>
        <v>0</v>
      </c>
      <c r="O34" s="4" t="str">
        <f>IF(EmployeesTable[[#This Row],[Succession Skills Ready – Required Total]]=0,"",
   EmployeesTable[[#This Row],[Succession Skills Ready – Required Met]]/EmployeesTable[[#This Row],[Succession Skills Ready – Required Total]])</f>
        <v/>
      </c>
      <c r="P34" s="4" t="str" cm="1">
        <f t="array" ref="P34">_xlfn.IFS(EmployeesTable[[#This Row],[Succession Skills Readiness %]]="","",
     EmployeesTable[[#This Row],[Succession Skills Readiness %]]&lt;0.6,"Not Ready",
     EmployeesTable[[#This Row],[Succession Skills Readiness %]]&lt;0.8,"Developing",
     TRUE,"Ready")</f>
        <v/>
      </c>
      <c r="Q34" s="4" t="str" cm="1">
        <f t="array" ref="Q34">_xlfn.TEXTJOIN(", ",TRUE,
  _xlfn._xlws.FILTER(JobCodeSkills!$G:$G,
    (JobCodeSkills!$B:$B=EmployeesTable[[#This Row],[Job Code]])*
    (JobCodeSkills!$K:$K="Required")
  )
)</f>
        <v>Sustain budget and schedule performance over time, Maintain stable foreman and crew performance, Maintain stable foreman and crew performance, Maintain stable foreman and crew performance, Maintain stable foreman and crew performance, Maintain stable foreman and crew performance, Maintain stable foreman and crew performance, Sustain budget and schedule performance over time, Sustain budget and schedule performance over time, Maintain stable foreman and crew performance, Maintain stable foreman and crew performance, Maintain stable foreman and crew performance, Maintain stable foreman and crew performance, Maintain stable foreman and crew performance, Maintain stable foreman and crew performance, Maintain stable foreman and crew performance, Maintain stable foreman and crew performance, Maintain stable foreman and crew performance, Maintain stable foreman and crew performance, Maintain stable foreman and crew performance, Sustain budget and schedule performance over time, Sustain budget and schedule performance over time, Maintain stable foreman and crew performance, Sustain budget and schedule performance over time, Maintain stable foreman and crew performance, Maintain stable foreman and crew performance, Maintain stable foreman and crew performance, Maintain stable foreman and crew performance, Maintain stable foreman and crew performance, Sustain budget and schedule performance over time, Sustain budget and schedule performance over time, Sustain budget and schedule performance over time, Sustain budget and schedule performance over time, Maintain stable foreman and crew performance, Maintain stable foreman and crew performance, Sustain budget and schedule performance over time, Maintain stable foreman and crew performance, Sustain budget and schedule performance over time, Sustain budget and schedule performance over time, Maintain stable foreman and crew performance, Maintain stable foreman and crew performance, Maintain stable foreman and crew performance, Maintain stable foreman and crew performance, Maintain stable foreman and crew performance, Maintain stable foreman and crew performance, Maintain stable foreman and crew performance, Maintain stable foreman and crew performance, Maintain stable foreman and crew performance, Maintain stable foreman and crew performance, Maintain stable foreman and crew performance, Maintain stable foreman and crew performance, Maintain stable foreman and crew performance, Sustain budget and schedule performance over time, Sustain budget and schedule performance over time, Sustain budget and schedule performance over time, Maintain stable foreman and crew performance, Maintain stable foreman and crew performance, Sustain budget and schedule performance over time, Sustain budget and schedule performance over time, Sustain budget and schedule performance over time, Maintain stable foreman and crew performance, Maintain stable foreman and crew performance, Sustain budget and schedule performance over time, Sustain budget and schedule performance over time, Sustain budget and schedule performance over time, Maintain stable foreman and crew performance, Maintain stable foreman and crew performance, Maintain stable foreman and crew performance, Maintain stable foreman and crew performance, Maintain stable foreman and crew performance, Sustain budget and schedule performance over time, Sustain budget and schedule performance over time, Sustain budget and schedule performance over time, Maintain stable foreman and crew performance, Sustain budget and schedule performance over time, Maintain stable foreman and crew performance, Maintain stable foreman and crew performance, Maintain stable foreman and crew performance, Maintain stable foreman and crew performance, Maintain stable foreman and crew performance, Sustain budget and schedule performance over time, Sustain budget and schedule performance over time, Maintain stable foreman and crew performance, Sustain budget and schedule performance over time, Maintain stable foreman and crew performance, Maintain stable foreman and crew performance, Maintain stable foreman and crew performance, Maintain stable foreman and crew performance, Maintain stable foreman and crew performance, Maintain stable foreman and crew performance, Sustain budget and schedule performance over time, Maintain stable foreman and crew performance, Sustain budget and schedule performance over time, Maintain stable foreman and crew performance, Sustain budget and schedule performance over time, Sustain budget and schedule performance over time, Sustain budget and schedule performance over time, Sustain budget and schedule performance over time, Sustain budget and schedule performance over time, Maintain stable foreman and crew performance, Maintain stable foreman and crew performance, Sustain budget and schedule performance over time, Sustain budget and schedule performance over time, Sustain budget and schedule performance over time, Sustain budget and schedule performance over time, Sustain budget and schedule performance over time, Sustain budget and schedule performance over time, Sustain budget and schedule performance over time, Sustain budget and schedule performance over time, Sustain budget and schedule performance over time, Maintain stable foreman and crew performance, Maintain stable foreman and crew performance, Sustain budget and schedule performance over time, Sustain budget and schedule performance over time, Sustain budget and schedule performance over time, Maintain stable foreman and crew performance, Maintain stable foreman and crew performance, Sustain budget and schedule performance over time, Sustain budget and schedule performance over time</v>
      </c>
      <c r="R34" s="4"/>
      <c r="S34" s="4"/>
      <c r="T34" s="4"/>
      <c r="U34" s="4"/>
      <c r="V34" s="4" t="str" cm="1">
        <f t="array" ref="V34">IF(EmployeesTable[[#This Row],[Additional Executive Role]]="","",
  _xlfn.TEXTJOIN(", ",TRUE,
    _xlfn._xlws.FILTER(ExecRoleSkills!$B:$B,
      ExecRoleSkills!$A:$A=EmployeesTable[[#This Row],[Additional Executive Role]]
    )
  )
)</f>
        <v/>
      </c>
    </row>
    <row r="35" spans="1:22" ht="30" x14ac:dyDescent="0.25">
      <c r="A35" s="19" t="s">
        <v>158</v>
      </c>
      <c r="B35" s="9">
        <v>10812</v>
      </c>
      <c r="C35" s="3" t="s">
        <v>141</v>
      </c>
      <c r="D35" s="9"/>
      <c r="E35" s="15">
        <v>45225</v>
      </c>
      <c r="F35" s="3" t="s">
        <v>159</v>
      </c>
      <c r="G35" s="3" t="s">
        <v>129</v>
      </c>
      <c r="H35" s="3" t="s">
        <v>12</v>
      </c>
      <c r="I35" s="10" t="s">
        <v>712</v>
      </c>
      <c r="J35" s="4"/>
      <c r="K35" s="4"/>
      <c r="L35" s="4"/>
      <c r="M35" s="4">
        <f>COUNTIFS(JobCodeSkills!$B:$B, EmployeesTable[[#This Row],[Succession Plan Job Code]],
          JobCodeSkills!$K:$K, "Required")</f>
        <v>0</v>
      </c>
      <c r="N35" s="4">
        <f>COUNTIFS(EmployeeSkills!$A:$A, EmployeesTable[[#This Row],[User Name]],
          EmployeeSkills!$B:$B, EmployeesTable[[#This Row],[Succession Plan Job Code]],
          EmployeeSkills!$D:$D, "Competent")</f>
        <v>0</v>
      </c>
      <c r="O35" s="4" t="str">
        <f>IF(EmployeesTable[[#This Row],[Succession Skills Ready – Required Total]]=0,"",
   EmployeesTable[[#This Row],[Succession Skills Ready – Required Met]]/EmployeesTable[[#This Row],[Succession Skills Ready – Required Total]])</f>
        <v/>
      </c>
      <c r="P35" s="4" t="str" cm="1">
        <f t="array" ref="P35">_xlfn.IFS(EmployeesTable[[#This Row],[Succession Skills Readiness %]]="","",
     EmployeesTable[[#This Row],[Succession Skills Readiness %]]&lt;0.6,"Not Ready",
     EmployeesTable[[#This Row],[Succession Skills Readiness %]]&lt;0.8,"Developing",
     TRUE,"Ready")</f>
        <v/>
      </c>
      <c r="Q35" s="4" t="e" cm="1" vm="1">
        <f t="array" ref="Q35">_xlfn.TEXTJOIN(", ",TRUE,
  _xlfn._xlws.FILTER(JobCodeSkills!$G:$G,
    (JobCodeSkills!$B:$B=EmployeesTable[[#This Row],[Job Code]])*
    (JobCodeSkills!$K:$K="Required")
  )
)</f>
        <v>#VALUE!</v>
      </c>
      <c r="R35" s="4"/>
      <c r="S35" s="4"/>
      <c r="T35" s="4"/>
      <c r="U35" s="4"/>
      <c r="V35" s="4" t="str" cm="1">
        <f t="array" ref="V35">IF(EmployeesTable[[#This Row],[Additional Executive Role]]="","",
  _xlfn.TEXTJOIN(", ",TRUE,
    _xlfn._xlws.FILTER(ExecRoleSkills!$B:$B,
      ExecRoleSkills!$A:$A=EmployeesTable[[#This Row],[Additional Executive Role]]
    )
  )
)</f>
        <v/>
      </c>
    </row>
    <row r="36" spans="1:22" ht="30" x14ac:dyDescent="0.25">
      <c r="A36" s="19" t="s">
        <v>486</v>
      </c>
      <c r="B36" s="9">
        <v>10601</v>
      </c>
      <c r="C36" s="3" t="s">
        <v>219</v>
      </c>
      <c r="D36" s="9"/>
      <c r="E36" s="15">
        <v>43865</v>
      </c>
      <c r="F36" s="3" t="s">
        <v>487</v>
      </c>
      <c r="G36" s="3" t="s">
        <v>454</v>
      </c>
      <c r="H36" s="3" t="s">
        <v>12</v>
      </c>
      <c r="I36" s="9" t="s">
        <v>13</v>
      </c>
      <c r="J36" s="4"/>
      <c r="K36" s="4"/>
      <c r="L36" s="4"/>
      <c r="M36" s="4">
        <f>COUNTIFS(JobCodeSkills!$B:$B, EmployeesTable[[#This Row],[Succession Plan Job Code]],
          JobCodeSkills!$K:$K, "Required")</f>
        <v>0</v>
      </c>
      <c r="N36" s="4">
        <f>COUNTIFS(EmployeeSkills!$A:$A, EmployeesTable[[#This Row],[User Name]],
          EmployeeSkills!$B:$B, EmployeesTable[[#This Row],[Succession Plan Job Code]],
          EmployeeSkills!$D:$D, "Competent")</f>
        <v>0</v>
      </c>
      <c r="O36" s="4" t="str">
        <f>IF(EmployeesTable[[#This Row],[Succession Skills Ready – Required Total]]=0,"",
   EmployeesTable[[#This Row],[Succession Skills Ready – Required Met]]/EmployeesTable[[#This Row],[Succession Skills Ready – Required Total]])</f>
        <v/>
      </c>
      <c r="P36" s="4" t="str" cm="1">
        <f t="array" ref="P36">_xlfn.IFS(EmployeesTable[[#This Row],[Succession Skills Readiness %]]="","",
     EmployeesTable[[#This Row],[Succession Skills Readiness %]]&lt;0.6,"Not Ready",
     EmployeesTable[[#This Row],[Succession Skills Readiness %]]&lt;0.8,"Developing",
     TRUE,"Ready")</f>
        <v/>
      </c>
      <c r="Q36" s="4" t="e" cm="1" vm="1">
        <f t="array" ref="Q36">_xlfn.TEXTJOIN(", ",TRUE,
  _xlfn._xlws.FILTER(JobCodeSkills!$G:$G,
    (JobCodeSkills!$B:$B=EmployeesTable[[#This Row],[Job Code]])*
    (JobCodeSkills!$K:$K="Required")
  )
)</f>
        <v>#VALUE!</v>
      </c>
      <c r="R36" s="4"/>
      <c r="S36" s="4"/>
      <c r="T36" s="4"/>
      <c r="U36" s="4"/>
      <c r="V36" s="4" t="str" cm="1">
        <f t="array" ref="V36">IF(EmployeesTable[[#This Row],[Additional Executive Role]]="","",
  _xlfn.TEXTJOIN(", ",TRUE,
    _xlfn._xlws.FILTER(ExecRoleSkills!$B:$B,
      ExecRoleSkills!$A:$A=EmployeesTable[[#This Row],[Additional Executive Role]]
    )
  )
)</f>
        <v/>
      </c>
    </row>
    <row r="37" spans="1:22" ht="30" x14ac:dyDescent="0.25">
      <c r="A37" s="19" t="s">
        <v>160</v>
      </c>
      <c r="B37" s="9">
        <v>10802</v>
      </c>
      <c r="C37" s="3" t="s">
        <v>161</v>
      </c>
      <c r="D37" s="9"/>
      <c r="E37" s="15">
        <v>45440</v>
      </c>
      <c r="F37" s="3" t="s">
        <v>162</v>
      </c>
      <c r="G37" s="3" t="s">
        <v>129</v>
      </c>
      <c r="H37" s="3" t="s">
        <v>12</v>
      </c>
      <c r="I37" s="10" t="s">
        <v>712</v>
      </c>
      <c r="J37" s="4"/>
      <c r="K37" s="4"/>
      <c r="L37" s="4"/>
      <c r="M37" s="4">
        <f>COUNTIFS(JobCodeSkills!$B:$B, EmployeesTable[[#This Row],[Succession Plan Job Code]],
          JobCodeSkills!$K:$K, "Required")</f>
        <v>0</v>
      </c>
      <c r="N37" s="4">
        <f>COUNTIFS(EmployeeSkills!$A:$A, EmployeesTable[[#This Row],[User Name]],
          EmployeeSkills!$B:$B, EmployeesTable[[#This Row],[Succession Plan Job Code]],
          EmployeeSkills!$D:$D, "Competent")</f>
        <v>0</v>
      </c>
      <c r="O37" s="4" t="str">
        <f>IF(EmployeesTable[[#This Row],[Succession Skills Ready – Required Total]]=0,"",
   EmployeesTable[[#This Row],[Succession Skills Ready – Required Met]]/EmployeesTable[[#This Row],[Succession Skills Ready – Required Total]])</f>
        <v/>
      </c>
      <c r="P37" s="4" t="str" cm="1">
        <f t="array" ref="P37">_xlfn.IFS(EmployeesTable[[#This Row],[Succession Skills Readiness %]]="","",
     EmployeesTable[[#This Row],[Succession Skills Readiness %]]&lt;0.6,"Not Ready",
     EmployeesTable[[#This Row],[Succession Skills Readiness %]]&lt;0.8,"Developing",
     TRUE,"Ready")</f>
        <v/>
      </c>
      <c r="Q37" s="4" t="e" cm="1" vm="1">
        <f t="array" ref="Q37">_xlfn.TEXTJOIN(", ",TRUE,
  _xlfn._xlws.FILTER(JobCodeSkills!$G:$G,
    (JobCodeSkills!$B:$B=EmployeesTable[[#This Row],[Job Code]])*
    (JobCodeSkills!$K:$K="Required")
  )
)</f>
        <v>#VALUE!</v>
      </c>
      <c r="R37" s="4"/>
      <c r="S37" s="4"/>
      <c r="T37" s="4"/>
      <c r="U37" s="4"/>
      <c r="V37" s="4" t="str" cm="1">
        <f t="array" ref="V37">IF(EmployeesTable[[#This Row],[Additional Executive Role]]="","",
  _xlfn.TEXTJOIN(", ",TRUE,
    _xlfn._xlws.FILTER(ExecRoleSkills!$B:$B,
      ExecRoleSkills!$A:$A=EmployeesTable[[#This Row],[Additional Executive Role]]
    )
  )
)</f>
        <v/>
      </c>
    </row>
    <row r="38" spans="1:22" ht="30" x14ac:dyDescent="0.25">
      <c r="A38" s="19" t="s">
        <v>163</v>
      </c>
      <c r="B38" s="9">
        <v>10503</v>
      </c>
      <c r="C38" s="3" t="s">
        <v>164</v>
      </c>
      <c r="D38" s="9"/>
      <c r="E38" s="15">
        <v>45398</v>
      </c>
      <c r="F38" s="3" t="s">
        <v>165</v>
      </c>
      <c r="G38" s="3" t="s">
        <v>129</v>
      </c>
      <c r="H38" s="3" t="s">
        <v>12</v>
      </c>
      <c r="I38" s="10" t="s">
        <v>712</v>
      </c>
      <c r="J38" s="4"/>
      <c r="K38" s="4"/>
      <c r="L38" s="4"/>
      <c r="M38" s="4">
        <f>COUNTIFS(JobCodeSkills!$B:$B, EmployeesTable[[#This Row],[Succession Plan Job Code]],
          JobCodeSkills!$K:$K, "Required")</f>
        <v>0</v>
      </c>
      <c r="N38" s="4">
        <f>COUNTIFS(EmployeeSkills!$A:$A, EmployeesTable[[#This Row],[User Name]],
          EmployeeSkills!$B:$B, EmployeesTable[[#This Row],[Succession Plan Job Code]],
          EmployeeSkills!$D:$D, "Competent")</f>
        <v>0</v>
      </c>
      <c r="O38" s="4" t="str">
        <f>IF(EmployeesTable[[#This Row],[Succession Skills Ready – Required Total]]=0,"",
   EmployeesTable[[#This Row],[Succession Skills Ready – Required Met]]/EmployeesTable[[#This Row],[Succession Skills Ready – Required Total]])</f>
        <v/>
      </c>
      <c r="P38" s="4" t="str" cm="1">
        <f t="array" ref="P38">_xlfn.IFS(EmployeesTable[[#This Row],[Succession Skills Readiness %]]="","",
     EmployeesTable[[#This Row],[Succession Skills Readiness %]]&lt;0.6,"Not Ready",
     EmployeesTable[[#This Row],[Succession Skills Readiness %]]&lt;0.8,"Developing",
     TRUE,"Ready")</f>
        <v/>
      </c>
      <c r="Q38" s="4" t="e" cm="1" vm="1">
        <f t="array" ref="Q38">_xlfn.TEXTJOIN(", ",TRUE,
  _xlfn._xlws.FILTER(JobCodeSkills!$G:$G,
    (JobCodeSkills!$B:$B=EmployeesTable[[#This Row],[Job Code]])*
    (JobCodeSkills!$K:$K="Required")
  )
)</f>
        <v>#VALUE!</v>
      </c>
      <c r="R38" s="4"/>
      <c r="S38" s="4"/>
      <c r="T38" s="4"/>
      <c r="U38" s="4"/>
      <c r="V38" s="4" t="str" cm="1">
        <f t="array" ref="V38">IF(EmployeesTable[[#This Row],[Additional Executive Role]]="","",
  _xlfn.TEXTJOIN(", ",TRUE,
    _xlfn._xlws.FILTER(ExecRoleSkills!$B:$B,
      ExecRoleSkills!$A:$A=EmployeesTable[[#This Row],[Additional Executive Role]]
    )
  )
)</f>
        <v/>
      </c>
    </row>
    <row r="39" spans="1:22" ht="30" x14ac:dyDescent="0.25">
      <c r="A39" s="19" t="s">
        <v>166</v>
      </c>
      <c r="B39" s="9">
        <v>10804</v>
      </c>
      <c r="C39" s="3" t="s">
        <v>167</v>
      </c>
      <c r="D39" s="9"/>
      <c r="E39" s="15">
        <v>45155</v>
      </c>
      <c r="F39" s="3" t="s">
        <v>168</v>
      </c>
      <c r="G39" s="3" t="s">
        <v>129</v>
      </c>
      <c r="H39" s="3" t="s">
        <v>12</v>
      </c>
      <c r="I39" s="10" t="s">
        <v>712</v>
      </c>
      <c r="J39" s="4"/>
      <c r="K39" s="4"/>
      <c r="L39" s="4"/>
      <c r="M39" s="4">
        <f>COUNTIFS(JobCodeSkills!$B:$B, EmployeesTable[[#This Row],[Succession Plan Job Code]],
          JobCodeSkills!$K:$K, "Required")</f>
        <v>0</v>
      </c>
      <c r="N39" s="4">
        <f>COUNTIFS(EmployeeSkills!$A:$A, EmployeesTable[[#This Row],[User Name]],
          EmployeeSkills!$B:$B, EmployeesTable[[#This Row],[Succession Plan Job Code]],
          EmployeeSkills!$D:$D, "Competent")</f>
        <v>0</v>
      </c>
      <c r="O39" s="4" t="str">
        <f>IF(EmployeesTable[[#This Row],[Succession Skills Ready – Required Total]]=0,"",
   EmployeesTable[[#This Row],[Succession Skills Ready – Required Met]]/EmployeesTable[[#This Row],[Succession Skills Ready – Required Total]])</f>
        <v/>
      </c>
      <c r="P39" s="4" t="str" cm="1">
        <f t="array" ref="P39">_xlfn.IFS(EmployeesTable[[#This Row],[Succession Skills Readiness %]]="","",
     EmployeesTable[[#This Row],[Succession Skills Readiness %]]&lt;0.6,"Not Ready",
     EmployeesTable[[#This Row],[Succession Skills Readiness %]]&lt;0.8,"Developing",
     TRUE,"Ready")</f>
        <v/>
      </c>
      <c r="Q39" s="4" t="e" cm="1" vm="1">
        <f t="array" ref="Q39">_xlfn.TEXTJOIN(", ",TRUE,
  _xlfn._xlws.FILTER(JobCodeSkills!$G:$G,
    (JobCodeSkills!$B:$B=EmployeesTable[[#This Row],[Job Code]])*
    (JobCodeSkills!$K:$K="Required")
  )
)</f>
        <v>#VALUE!</v>
      </c>
      <c r="R39" s="4"/>
      <c r="S39" s="4"/>
      <c r="T39" s="4"/>
      <c r="U39" s="4"/>
      <c r="V39" s="4" t="str" cm="1">
        <f t="array" ref="V39">IF(EmployeesTable[[#This Row],[Additional Executive Role]]="","",
  _xlfn.TEXTJOIN(", ",TRUE,
    _xlfn._xlws.FILTER(ExecRoleSkills!$B:$B,
      ExecRoleSkills!$A:$A=EmployeesTable[[#This Row],[Additional Executive Role]]
    )
  )
)</f>
        <v/>
      </c>
    </row>
    <row r="40" spans="1:22" ht="30" x14ac:dyDescent="0.25">
      <c r="A40" s="19" t="s">
        <v>169</v>
      </c>
      <c r="B40" s="9">
        <v>10705</v>
      </c>
      <c r="C40" s="3" t="s">
        <v>127</v>
      </c>
      <c r="D40" s="9"/>
      <c r="E40" s="15">
        <v>44543</v>
      </c>
      <c r="F40" s="3" t="s">
        <v>170</v>
      </c>
      <c r="G40" s="3" t="s">
        <v>129</v>
      </c>
      <c r="H40" s="3" t="s">
        <v>12</v>
      </c>
      <c r="I40" s="10" t="s">
        <v>712</v>
      </c>
      <c r="J40" s="4"/>
      <c r="K40" s="4"/>
      <c r="L40" s="4"/>
      <c r="M40" s="4">
        <f>COUNTIFS(JobCodeSkills!$B:$B, EmployeesTable[[#This Row],[Succession Plan Job Code]],
          JobCodeSkills!$K:$K, "Required")</f>
        <v>0</v>
      </c>
      <c r="N40" s="4">
        <f>COUNTIFS(EmployeeSkills!$A:$A, EmployeesTable[[#This Row],[User Name]],
          EmployeeSkills!$B:$B, EmployeesTable[[#This Row],[Succession Plan Job Code]],
          EmployeeSkills!$D:$D, "Competent")</f>
        <v>0</v>
      </c>
      <c r="O40" s="4" t="str">
        <f>IF(EmployeesTable[[#This Row],[Succession Skills Ready – Required Total]]=0,"",
   EmployeesTable[[#This Row],[Succession Skills Ready – Required Met]]/EmployeesTable[[#This Row],[Succession Skills Ready – Required Total]])</f>
        <v/>
      </c>
      <c r="P40" s="4" t="str" cm="1">
        <f t="array" ref="P40">_xlfn.IFS(EmployeesTable[[#This Row],[Succession Skills Readiness %]]="","",
     EmployeesTable[[#This Row],[Succession Skills Readiness %]]&lt;0.6,"Not Ready",
     EmployeesTable[[#This Row],[Succession Skills Readiness %]]&lt;0.8,"Developing",
     TRUE,"Ready")</f>
        <v/>
      </c>
      <c r="Q40" s="4" t="e" cm="1" vm="1">
        <f t="array" ref="Q40">_xlfn.TEXTJOIN(", ",TRUE,
  _xlfn._xlws.FILTER(JobCodeSkills!$G:$G,
    (JobCodeSkills!$B:$B=EmployeesTable[[#This Row],[Job Code]])*
    (JobCodeSkills!$K:$K="Required")
  )
)</f>
        <v>#VALUE!</v>
      </c>
      <c r="R40" s="4"/>
      <c r="S40" s="4"/>
      <c r="T40" s="4"/>
      <c r="U40" s="4"/>
      <c r="V40" s="4" t="str" cm="1">
        <f t="array" ref="V40">IF(EmployeesTable[[#This Row],[Additional Executive Role]]="","",
  _xlfn.TEXTJOIN(", ",TRUE,
    _xlfn._xlws.FILTER(ExecRoleSkills!$B:$B,
      ExecRoleSkills!$A:$A=EmployeesTable[[#This Row],[Additional Executive Role]]
    )
  )
)</f>
        <v/>
      </c>
    </row>
    <row r="41" spans="1:22" ht="30" x14ac:dyDescent="0.25">
      <c r="A41" s="19" t="s">
        <v>488</v>
      </c>
      <c r="B41" s="9">
        <v>10814</v>
      </c>
      <c r="C41" s="3" t="s">
        <v>127</v>
      </c>
      <c r="D41" s="9"/>
      <c r="E41" s="15">
        <v>43384</v>
      </c>
      <c r="F41" s="3" t="s">
        <v>489</v>
      </c>
      <c r="G41" s="3" t="s">
        <v>454</v>
      </c>
      <c r="H41" s="3" t="s">
        <v>12</v>
      </c>
      <c r="I41" s="9" t="s">
        <v>13</v>
      </c>
      <c r="J41" s="4"/>
      <c r="K41" s="4"/>
      <c r="L41" s="4"/>
      <c r="M41" s="4">
        <f>COUNTIFS(JobCodeSkills!$B:$B, EmployeesTable[[#This Row],[Succession Plan Job Code]],
          JobCodeSkills!$K:$K, "Required")</f>
        <v>0</v>
      </c>
      <c r="N41" s="4">
        <f>COUNTIFS(EmployeeSkills!$A:$A, EmployeesTable[[#This Row],[User Name]],
          EmployeeSkills!$B:$B, EmployeesTable[[#This Row],[Succession Plan Job Code]],
          EmployeeSkills!$D:$D, "Competent")</f>
        <v>0</v>
      </c>
      <c r="O41" s="4" t="str">
        <f>IF(EmployeesTable[[#This Row],[Succession Skills Ready – Required Total]]=0,"",
   EmployeesTable[[#This Row],[Succession Skills Ready – Required Met]]/EmployeesTable[[#This Row],[Succession Skills Ready – Required Total]])</f>
        <v/>
      </c>
      <c r="P41" s="4" t="str" cm="1">
        <f t="array" ref="P41">_xlfn.IFS(EmployeesTable[[#This Row],[Succession Skills Readiness %]]="","",
     EmployeesTable[[#This Row],[Succession Skills Readiness %]]&lt;0.6,"Not Ready",
     EmployeesTable[[#This Row],[Succession Skills Readiness %]]&lt;0.8,"Developing",
     TRUE,"Ready")</f>
        <v/>
      </c>
      <c r="Q41" s="4" t="e" cm="1" vm="1">
        <f t="array" ref="Q41">_xlfn.TEXTJOIN(", ",TRUE,
  _xlfn._xlws.FILTER(JobCodeSkills!$G:$G,
    (JobCodeSkills!$B:$B=EmployeesTable[[#This Row],[Job Code]])*
    (JobCodeSkills!$K:$K="Required")
  )
)</f>
        <v>#VALUE!</v>
      </c>
      <c r="R41" s="4"/>
      <c r="S41" s="4"/>
      <c r="T41" s="4"/>
      <c r="U41" s="4"/>
      <c r="V41" s="4" t="str" cm="1">
        <f t="array" ref="V41">IF(EmployeesTable[[#This Row],[Additional Executive Role]]="","",
  _xlfn.TEXTJOIN(", ",TRUE,
    _xlfn._xlws.FILTER(ExecRoleSkills!$B:$B,
      ExecRoleSkills!$A:$A=EmployeesTable[[#This Row],[Additional Executive Role]]
    )
  )
)</f>
        <v/>
      </c>
    </row>
    <row r="42" spans="1:22" ht="30" x14ac:dyDescent="0.25">
      <c r="A42" s="19" t="s">
        <v>171</v>
      </c>
      <c r="B42" s="9">
        <v>10705</v>
      </c>
      <c r="C42" s="3" t="s">
        <v>136</v>
      </c>
      <c r="D42" s="9"/>
      <c r="E42" s="15">
        <v>45447</v>
      </c>
      <c r="F42" s="3" t="s">
        <v>172</v>
      </c>
      <c r="G42" s="3" t="s">
        <v>129</v>
      </c>
      <c r="H42" s="3" t="s">
        <v>12</v>
      </c>
      <c r="I42" s="10" t="s">
        <v>712</v>
      </c>
      <c r="J42" s="4"/>
      <c r="K42" s="4"/>
      <c r="L42" s="4"/>
      <c r="M42" s="4">
        <f>COUNTIFS(JobCodeSkills!$B:$B, EmployeesTable[[#This Row],[Succession Plan Job Code]],
          JobCodeSkills!$K:$K, "Required")</f>
        <v>0</v>
      </c>
      <c r="N42" s="4">
        <f>COUNTIFS(EmployeeSkills!$A:$A, EmployeesTable[[#This Row],[User Name]],
          EmployeeSkills!$B:$B, EmployeesTable[[#This Row],[Succession Plan Job Code]],
          EmployeeSkills!$D:$D, "Competent")</f>
        <v>0</v>
      </c>
      <c r="O42" s="4" t="str">
        <f>IF(EmployeesTable[[#This Row],[Succession Skills Ready – Required Total]]=0,"",
   EmployeesTable[[#This Row],[Succession Skills Ready – Required Met]]/EmployeesTable[[#This Row],[Succession Skills Ready – Required Total]])</f>
        <v/>
      </c>
      <c r="P42" s="4" t="str" cm="1">
        <f t="array" ref="P42">_xlfn.IFS(EmployeesTable[[#This Row],[Succession Skills Readiness %]]="","",
     EmployeesTable[[#This Row],[Succession Skills Readiness %]]&lt;0.6,"Not Ready",
     EmployeesTable[[#This Row],[Succession Skills Readiness %]]&lt;0.8,"Developing",
     TRUE,"Ready")</f>
        <v/>
      </c>
      <c r="Q42" s="4" t="e" cm="1" vm="1">
        <f t="array" ref="Q42">_xlfn.TEXTJOIN(", ",TRUE,
  _xlfn._xlws.FILTER(JobCodeSkills!$G:$G,
    (JobCodeSkills!$B:$B=EmployeesTable[[#This Row],[Job Code]])*
    (JobCodeSkills!$K:$K="Required")
  )
)</f>
        <v>#VALUE!</v>
      </c>
      <c r="R42" s="4"/>
      <c r="S42" s="4"/>
      <c r="T42" s="4"/>
      <c r="U42" s="4"/>
      <c r="V42" s="4" t="str" cm="1">
        <f t="array" ref="V42">IF(EmployeesTable[[#This Row],[Additional Executive Role]]="","",
  _xlfn.TEXTJOIN(", ",TRUE,
    _xlfn._xlws.FILTER(ExecRoleSkills!$B:$B,
      ExecRoleSkills!$A:$A=EmployeesTable[[#This Row],[Additional Executive Role]]
    )
  )
)</f>
        <v/>
      </c>
    </row>
    <row r="43" spans="1:22" ht="30" x14ac:dyDescent="0.25">
      <c r="A43" s="19" t="s">
        <v>173</v>
      </c>
      <c r="B43" s="9">
        <v>10812</v>
      </c>
      <c r="C43" s="3" t="s">
        <v>141</v>
      </c>
      <c r="D43" s="9"/>
      <c r="E43" s="15">
        <v>45321</v>
      </c>
      <c r="F43" s="3" t="s">
        <v>174</v>
      </c>
      <c r="G43" s="3" t="s">
        <v>129</v>
      </c>
      <c r="H43" s="3" t="s">
        <v>12</v>
      </c>
      <c r="I43" s="10" t="s">
        <v>712</v>
      </c>
      <c r="J43" s="4"/>
      <c r="K43" s="4"/>
      <c r="L43" s="4"/>
      <c r="M43" s="4">
        <f>COUNTIFS(JobCodeSkills!$B:$B, EmployeesTable[[#This Row],[Succession Plan Job Code]],
          JobCodeSkills!$K:$K, "Required")</f>
        <v>0</v>
      </c>
      <c r="N43" s="4">
        <f>COUNTIFS(EmployeeSkills!$A:$A, EmployeesTable[[#This Row],[User Name]],
          EmployeeSkills!$B:$B, EmployeesTable[[#This Row],[Succession Plan Job Code]],
          EmployeeSkills!$D:$D, "Competent")</f>
        <v>0</v>
      </c>
      <c r="O43" s="4" t="str">
        <f>IF(EmployeesTable[[#This Row],[Succession Skills Ready – Required Total]]=0,"",
   EmployeesTable[[#This Row],[Succession Skills Ready – Required Met]]/EmployeesTable[[#This Row],[Succession Skills Ready – Required Total]])</f>
        <v/>
      </c>
      <c r="P43" s="4" t="str" cm="1">
        <f t="array" ref="P43">_xlfn.IFS(EmployeesTable[[#This Row],[Succession Skills Readiness %]]="","",
     EmployeesTable[[#This Row],[Succession Skills Readiness %]]&lt;0.6,"Not Ready",
     EmployeesTable[[#This Row],[Succession Skills Readiness %]]&lt;0.8,"Developing",
     TRUE,"Ready")</f>
        <v/>
      </c>
      <c r="Q43" s="4" t="e" cm="1" vm="1">
        <f t="array" ref="Q43">_xlfn.TEXTJOIN(", ",TRUE,
  _xlfn._xlws.FILTER(JobCodeSkills!$G:$G,
    (JobCodeSkills!$B:$B=EmployeesTable[[#This Row],[Job Code]])*
    (JobCodeSkills!$K:$K="Required")
  )
)</f>
        <v>#VALUE!</v>
      </c>
      <c r="R43" s="4"/>
      <c r="S43" s="4"/>
      <c r="T43" s="4"/>
      <c r="U43" s="4"/>
      <c r="V43" s="4" t="str" cm="1">
        <f t="array" ref="V43">IF(EmployeesTable[[#This Row],[Additional Executive Role]]="","",
  _xlfn.TEXTJOIN(", ",TRUE,
    _xlfn._xlws.FILTER(ExecRoleSkills!$B:$B,
      ExecRoleSkills!$A:$A=EmployeesTable[[#This Row],[Additional Executive Role]]
    )
  )
)</f>
        <v/>
      </c>
    </row>
    <row r="44" spans="1:22" ht="30" x14ac:dyDescent="0.25">
      <c r="A44" s="19" t="s">
        <v>690</v>
      </c>
      <c r="B44" s="9">
        <v>11100</v>
      </c>
      <c r="C44" s="3" t="s">
        <v>691</v>
      </c>
      <c r="D44" s="9"/>
      <c r="E44" s="15">
        <v>41862</v>
      </c>
      <c r="F44" s="3" t="s">
        <v>692</v>
      </c>
      <c r="G44" s="3" t="s">
        <v>687</v>
      </c>
      <c r="H44" s="3" t="s">
        <v>12</v>
      </c>
      <c r="I44" s="9" t="s">
        <v>712</v>
      </c>
      <c r="J44" s="4"/>
      <c r="K44" s="4"/>
      <c r="L44" s="4"/>
      <c r="M44" s="4">
        <f>COUNTIFS(JobCodeSkills!$B:$B, EmployeesTable[[#This Row],[Succession Plan Job Code]],
          JobCodeSkills!$K:$K, "Required")</f>
        <v>0</v>
      </c>
      <c r="N44" s="4">
        <f>COUNTIFS(EmployeeSkills!$A:$A, EmployeesTable[[#This Row],[User Name]],
          EmployeeSkills!$B:$B, EmployeesTable[[#This Row],[Succession Plan Job Code]],
          EmployeeSkills!$D:$D, "Competent")</f>
        <v>0</v>
      </c>
      <c r="O44" s="4" t="str">
        <f>IF(EmployeesTable[[#This Row],[Succession Skills Ready – Required Total]]=0,"",
   EmployeesTable[[#This Row],[Succession Skills Ready – Required Met]]/EmployeesTable[[#This Row],[Succession Skills Ready – Required Total]])</f>
        <v/>
      </c>
      <c r="P44" s="4" t="str" cm="1">
        <f t="array" ref="P44">_xlfn.IFS(EmployeesTable[[#This Row],[Succession Skills Readiness %]]="","",
     EmployeesTable[[#This Row],[Succession Skills Readiness %]]&lt;0.6,"Not Ready",
     EmployeesTable[[#This Row],[Succession Skills Readiness %]]&lt;0.8,"Developing",
     TRUE,"Ready")</f>
        <v/>
      </c>
      <c r="Q44" s="4" t="e" cm="1" vm="1">
        <f t="array" ref="Q44">_xlfn.TEXTJOIN(", ",TRUE,
  _xlfn._xlws.FILTER(JobCodeSkills!$G:$G,
    (JobCodeSkills!$B:$B=EmployeesTable[[#This Row],[Job Code]])*
    (JobCodeSkills!$K:$K="Required")
  )
)</f>
        <v>#VALUE!</v>
      </c>
      <c r="R44" s="4"/>
      <c r="S44" s="4"/>
      <c r="T44" s="4"/>
      <c r="U44" s="4"/>
      <c r="V44" s="4" t="str" cm="1">
        <f t="array" ref="V44">IF(EmployeesTable[[#This Row],[Additional Executive Role]]="","",
  _xlfn.TEXTJOIN(", ",TRUE,
    _xlfn._xlws.FILTER(ExecRoleSkills!$B:$B,
      ExecRoleSkills!$A:$A=EmployeesTable[[#This Row],[Additional Executive Role]]
    )
  )
)</f>
        <v/>
      </c>
    </row>
    <row r="45" spans="1:22" ht="30" x14ac:dyDescent="0.25">
      <c r="A45" s="19" t="s">
        <v>438</v>
      </c>
      <c r="B45" s="9">
        <v>40102</v>
      </c>
      <c r="C45" s="3" t="s">
        <v>439</v>
      </c>
      <c r="D45" s="9"/>
      <c r="E45" s="15">
        <v>36825</v>
      </c>
      <c r="F45" s="3" t="s">
        <v>440</v>
      </c>
      <c r="G45" s="3" t="s">
        <v>441</v>
      </c>
      <c r="H45" s="3" t="s">
        <v>12</v>
      </c>
      <c r="I45" s="9" t="s">
        <v>13</v>
      </c>
      <c r="J45" s="4"/>
      <c r="K45" s="4"/>
      <c r="L45" s="4"/>
      <c r="M45" s="4">
        <f>COUNTIFS(JobCodeSkills!$B:$B, EmployeesTable[[#This Row],[Succession Plan Job Code]],
          JobCodeSkills!$K:$K, "Required")</f>
        <v>0</v>
      </c>
      <c r="N45" s="4">
        <f>COUNTIFS(EmployeeSkills!$A:$A, EmployeesTable[[#This Row],[User Name]],
          EmployeeSkills!$B:$B, EmployeesTable[[#This Row],[Succession Plan Job Code]],
          EmployeeSkills!$D:$D, "Competent")</f>
        <v>0</v>
      </c>
      <c r="O45" s="4" t="str">
        <f>IF(EmployeesTable[[#This Row],[Succession Skills Ready – Required Total]]=0,"",
   EmployeesTable[[#This Row],[Succession Skills Ready – Required Met]]/EmployeesTable[[#This Row],[Succession Skills Ready – Required Total]])</f>
        <v/>
      </c>
      <c r="P45" s="4" t="str" cm="1">
        <f t="array" ref="P45">_xlfn.IFS(EmployeesTable[[#This Row],[Succession Skills Readiness %]]="","",
     EmployeesTable[[#This Row],[Succession Skills Readiness %]]&lt;0.6,"Not Ready",
     EmployeesTable[[#This Row],[Succession Skills Readiness %]]&lt;0.8,"Developing",
     TRUE,"Ready")</f>
        <v/>
      </c>
      <c r="Q45" s="4" t="e" cm="1" vm="1">
        <f t="array" ref="Q45">_xlfn.TEXTJOIN(", ",TRUE,
  _xlfn._xlws.FILTER(JobCodeSkills!$G:$G,
    (JobCodeSkills!$B:$B=EmployeesTable[[#This Row],[Job Code]])*
    (JobCodeSkills!$K:$K="Required")
  )
)</f>
        <v>#VALUE!</v>
      </c>
      <c r="R45" s="4"/>
      <c r="S45" s="4"/>
      <c r="T45" s="4"/>
      <c r="U45" s="4"/>
      <c r="V45" s="4" t="str" cm="1">
        <f t="array" ref="V45">IF(EmployeesTable[[#This Row],[Additional Executive Role]]="","",
  _xlfn.TEXTJOIN(", ",TRUE,
    _xlfn._xlws.FILTER(ExecRoleSkills!$B:$B,
      ExecRoleSkills!$A:$A=EmployeesTable[[#This Row],[Additional Executive Role]]
    )
  )
)</f>
        <v/>
      </c>
    </row>
    <row r="46" spans="1:22" ht="30" x14ac:dyDescent="0.25">
      <c r="A46" s="19" t="s">
        <v>175</v>
      </c>
      <c r="B46" s="9">
        <v>10705</v>
      </c>
      <c r="C46" s="3" t="s">
        <v>136</v>
      </c>
      <c r="D46" s="9"/>
      <c r="E46" s="15">
        <v>45482</v>
      </c>
      <c r="F46" s="3" t="s">
        <v>176</v>
      </c>
      <c r="G46" s="3" t="s">
        <v>129</v>
      </c>
      <c r="H46" s="3" t="s">
        <v>12</v>
      </c>
      <c r="I46" s="10" t="s">
        <v>712</v>
      </c>
      <c r="J46" s="4"/>
      <c r="K46" s="4"/>
      <c r="L46" s="4"/>
      <c r="M46" s="4">
        <f>COUNTIFS(JobCodeSkills!$B:$B, EmployeesTable[[#This Row],[Succession Plan Job Code]],
          JobCodeSkills!$K:$K, "Required")</f>
        <v>0</v>
      </c>
      <c r="N46" s="4">
        <f>COUNTIFS(EmployeeSkills!$A:$A, EmployeesTable[[#This Row],[User Name]],
          EmployeeSkills!$B:$B, EmployeesTable[[#This Row],[Succession Plan Job Code]],
          EmployeeSkills!$D:$D, "Competent")</f>
        <v>0</v>
      </c>
      <c r="O46" s="4" t="str">
        <f>IF(EmployeesTable[[#This Row],[Succession Skills Ready – Required Total]]=0,"",
   EmployeesTable[[#This Row],[Succession Skills Ready – Required Met]]/EmployeesTable[[#This Row],[Succession Skills Ready – Required Total]])</f>
        <v/>
      </c>
      <c r="P46" s="4" t="str" cm="1">
        <f t="array" ref="P46">_xlfn.IFS(EmployeesTable[[#This Row],[Succession Skills Readiness %]]="","",
     EmployeesTable[[#This Row],[Succession Skills Readiness %]]&lt;0.6,"Not Ready",
     EmployeesTable[[#This Row],[Succession Skills Readiness %]]&lt;0.8,"Developing",
     TRUE,"Ready")</f>
        <v/>
      </c>
      <c r="Q46" s="4" t="e" cm="1" vm="1">
        <f t="array" ref="Q46">_xlfn.TEXTJOIN(", ",TRUE,
  _xlfn._xlws.FILTER(JobCodeSkills!$G:$G,
    (JobCodeSkills!$B:$B=EmployeesTable[[#This Row],[Job Code]])*
    (JobCodeSkills!$K:$K="Required")
  )
)</f>
        <v>#VALUE!</v>
      </c>
      <c r="R46" s="4"/>
      <c r="S46" s="4"/>
      <c r="T46" s="4"/>
      <c r="U46" s="4"/>
      <c r="V46" s="4" t="str" cm="1">
        <f t="array" ref="V46">IF(EmployeesTable[[#This Row],[Additional Executive Role]]="","",
  _xlfn.TEXTJOIN(", ",TRUE,
    _xlfn._xlws.FILTER(ExecRoleSkills!$B:$B,
      ExecRoleSkills!$A:$A=EmployeesTable[[#This Row],[Additional Executive Role]]
    )
  )
)</f>
        <v/>
      </c>
    </row>
    <row r="47" spans="1:22" ht="30" x14ac:dyDescent="0.25">
      <c r="A47" s="19" t="s">
        <v>402</v>
      </c>
      <c r="B47" s="9">
        <v>1100</v>
      </c>
      <c r="C47" s="3" t="s">
        <v>403</v>
      </c>
      <c r="D47" s="9" t="s">
        <v>718</v>
      </c>
      <c r="E47" s="15">
        <v>33526</v>
      </c>
      <c r="F47" s="3" t="s">
        <v>404</v>
      </c>
      <c r="G47" s="3" t="s">
        <v>405</v>
      </c>
      <c r="H47" s="3" t="s">
        <v>12</v>
      </c>
      <c r="I47" s="9" t="s">
        <v>711</v>
      </c>
      <c r="J47" s="4"/>
      <c r="K47" s="4"/>
      <c r="L47" s="4"/>
      <c r="M47" s="4">
        <f>COUNTIFS(JobCodeSkills!$B:$B, EmployeesTable[[#This Row],[Succession Plan Job Code]],
          JobCodeSkills!$K:$K, "Required")</f>
        <v>0</v>
      </c>
      <c r="N47" s="4">
        <f>COUNTIFS(EmployeeSkills!$A:$A, EmployeesTable[[#This Row],[User Name]],
          EmployeeSkills!$B:$B, EmployeesTable[[#This Row],[Succession Plan Job Code]],
          EmployeeSkills!$D:$D, "Competent")</f>
        <v>0</v>
      </c>
      <c r="O47" s="4" t="str">
        <f>IF(EmployeesTable[[#This Row],[Succession Skills Ready – Required Total]]=0,"",
   EmployeesTable[[#This Row],[Succession Skills Ready – Required Met]]/EmployeesTable[[#This Row],[Succession Skills Ready – Required Total]])</f>
        <v/>
      </c>
      <c r="P47" s="4" t="str" cm="1">
        <f t="array" ref="P47">_xlfn.IFS(EmployeesTable[[#This Row],[Succession Skills Readiness %]]="","",
     EmployeesTable[[#This Row],[Succession Skills Readiness %]]&lt;0.6,"Not Ready",
     EmployeesTable[[#This Row],[Succession Skills Readiness %]]&lt;0.8,"Developing",
     TRUE,"Ready")</f>
        <v/>
      </c>
      <c r="Q47" s="4" t="e" cm="1" vm="1">
        <f t="array" ref="Q47">_xlfn.TEXTJOIN(", ",TRUE,
  _xlfn._xlws.FILTER(JobCodeSkills!$G:$G,
    (JobCodeSkills!$B:$B=EmployeesTable[[#This Row],[Job Code]])*
    (JobCodeSkills!$K:$K="Required")
  )
)</f>
        <v>#VALUE!</v>
      </c>
      <c r="R47" s="4"/>
      <c r="S47" s="4"/>
      <c r="T47" s="4"/>
      <c r="U47" s="4"/>
      <c r="V47" s="4" t="e" cm="1" vm="1">
        <f t="array" ref="V47">IF(EmployeesTable[[#This Row],[Additional Executive Role]]="","",
  _xlfn.TEXTJOIN(", ",TRUE,
    _xlfn._xlws.FILTER(ExecRoleSkills!$B:$B,
      ExecRoleSkills!$A:$A=EmployeesTable[[#This Row],[Additional Executive Role]]
    )
  )
)</f>
        <v>#VALUE!</v>
      </c>
    </row>
    <row r="48" spans="1:22" ht="45" x14ac:dyDescent="0.25">
      <c r="A48" s="19" t="s">
        <v>24</v>
      </c>
      <c r="B48" s="9">
        <v>39100</v>
      </c>
      <c r="C48" s="3" t="s">
        <v>25</v>
      </c>
      <c r="D48" s="9" t="s">
        <v>719</v>
      </c>
      <c r="E48" s="15">
        <v>37480</v>
      </c>
      <c r="F48" s="3" t="s">
        <v>26</v>
      </c>
      <c r="G48" s="3" t="s">
        <v>20</v>
      </c>
      <c r="H48" s="3" t="s">
        <v>12</v>
      </c>
      <c r="I48" s="10" t="s">
        <v>13</v>
      </c>
      <c r="J48" s="4"/>
      <c r="K48" s="4"/>
      <c r="L48" s="4"/>
      <c r="M48" s="4">
        <f>COUNTIFS(JobCodeSkills!$B:$B, EmployeesTable[[#This Row],[Succession Plan Job Code]],
          JobCodeSkills!$K:$K, "Required")</f>
        <v>0</v>
      </c>
      <c r="N48" s="4">
        <f>COUNTIFS(EmployeeSkills!$A:$A, EmployeesTable[[#This Row],[User Name]],
          EmployeeSkills!$B:$B, EmployeesTable[[#This Row],[Succession Plan Job Code]],
          EmployeeSkills!$D:$D, "Competent")</f>
        <v>0</v>
      </c>
      <c r="O48" s="4" t="str">
        <f>IF(EmployeesTable[[#This Row],[Succession Skills Ready – Required Total]]=0,"",
   EmployeesTable[[#This Row],[Succession Skills Ready – Required Met]]/EmployeesTable[[#This Row],[Succession Skills Ready – Required Total]])</f>
        <v/>
      </c>
      <c r="P48" s="4" t="str" cm="1">
        <f t="array" ref="P48">_xlfn.IFS(EmployeesTable[[#This Row],[Succession Skills Readiness %]]="","",
     EmployeesTable[[#This Row],[Succession Skills Readiness %]]&lt;0.6,"Not Ready",
     EmployeesTable[[#This Row],[Succession Skills Readiness %]]&lt;0.8,"Developing",
     TRUE,"Ready")</f>
        <v/>
      </c>
      <c r="Q48" s="4" t="e" cm="1" vm="1">
        <f t="array" ref="Q48">_xlfn.TEXTJOIN(", ",TRUE,
  _xlfn._xlws.FILTER(JobCodeSkills!$G:$G,
    (JobCodeSkills!$B:$B=EmployeesTable[[#This Row],[Job Code]])*
    (JobCodeSkills!$K:$K="Required")
  )
)</f>
        <v>#VALUE!</v>
      </c>
      <c r="R48" s="4"/>
      <c r="S48" s="4"/>
      <c r="T48" s="4"/>
      <c r="U48" s="4"/>
      <c r="V48" s="4" t="e" cm="1" vm="1">
        <f t="array" ref="V48">IF(EmployeesTable[[#This Row],[Additional Executive Role]]="","",
  _xlfn.TEXTJOIN(", ",TRUE,
    _xlfn._xlws.FILTER(ExecRoleSkills!$B:$B,
      ExecRoleSkills!$A:$A=EmployeesTable[[#This Row],[Additional Executive Role]]
    )
  )
)</f>
        <v>#VALUE!</v>
      </c>
    </row>
    <row r="49" spans="1:22" ht="30" x14ac:dyDescent="0.25">
      <c r="A49" s="19" t="s">
        <v>177</v>
      </c>
      <c r="B49" s="9">
        <v>10812</v>
      </c>
      <c r="C49" s="3" t="s">
        <v>141</v>
      </c>
      <c r="D49" s="9"/>
      <c r="E49" s="15">
        <v>45348</v>
      </c>
      <c r="F49" s="3" t="s">
        <v>178</v>
      </c>
      <c r="G49" s="3" t="s">
        <v>129</v>
      </c>
      <c r="H49" s="3" t="s">
        <v>12</v>
      </c>
      <c r="I49" s="10" t="s">
        <v>712</v>
      </c>
      <c r="J49" s="4"/>
      <c r="K49" s="4"/>
      <c r="L49" s="4"/>
      <c r="M49" s="4">
        <f>COUNTIFS(JobCodeSkills!$B:$B, EmployeesTable[[#This Row],[Succession Plan Job Code]],
          JobCodeSkills!$K:$K, "Required")</f>
        <v>0</v>
      </c>
      <c r="N49" s="4">
        <f>COUNTIFS(EmployeeSkills!$A:$A, EmployeesTable[[#This Row],[User Name]],
          EmployeeSkills!$B:$B, EmployeesTable[[#This Row],[Succession Plan Job Code]],
          EmployeeSkills!$D:$D, "Competent")</f>
        <v>0</v>
      </c>
      <c r="O49" s="4" t="str">
        <f>IF(EmployeesTable[[#This Row],[Succession Skills Ready – Required Total]]=0,"",
   EmployeesTable[[#This Row],[Succession Skills Ready – Required Met]]/EmployeesTable[[#This Row],[Succession Skills Ready – Required Total]])</f>
        <v/>
      </c>
      <c r="P49" s="4" t="str" cm="1">
        <f t="array" ref="P49">_xlfn.IFS(EmployeesTable[[#This Row],[Succession Skills Readiness %]]="","",
     EmployeesTable[[#This Row],[Succession Skills Readiness %]]&lt;0.6,"Not Ready",
     EmployeesTable[[#This Row],[Succession Skills Readiness %]]&lt;0.8,"Developing",
     TRUE,"Ready")</f>
        <v/>
      </c>
      <c r="Q49" s="4" t="e" cm="1" vm="1">
        <f t="array" ref="Q49">_xlfn.TEXTJOIN(", ",TRUE,
  _xlfn._xlws.FILTER(JobCodeSkills!$G:$G,
    (JobCodeSkills!$B:$B=EmployeesTable[[#This Row],[Job Code]])*
    (JobCodeSkills!$K:$K="Required")
  )
)</f>
        <v>#VALUE!</v>
      </c>
      <c r="R49" s="4"/>
      <c r="S49" s="4"/>
      <c r="T49" s="4"/>
      <c r="U49" s="4"/>
      <c r="V49" s="4" t="str" cm="1">
        <f t="array" ref="V49">IF(EmployeesTable[[#This Row],[Additional Executive Role]]="","",
  _xlfn.TEXTJOIN(", ",TRUE,
    _xlfn._xlws.FILTER(ExecRoleSkills!$B:$B,
      ExecRoleSkills!$A:$A=EmployeesTable[[#This Row],[Additional Executive Role]]
    )
  )
)</f>
        <v/>
      </c>
    </row>
    <row r="50" spans="1:22" ht="30" x14ac:dyDescent="0.25">
      <c r="A50" s="19" t="s">
        <v>490</v>
      </c>
      <c r="B50" s="9">
        <v>10804</v>
      </c>
      <c r="C50" s="3" t="s">
        <v>167</v>
      </c>
      <c r="D50" s="9"/>
      <c r="E50" s="15">
        <v>44544</v>
      </c>
      <c r="F50" s="3" t="s">
        <v>491</v>
      </c>
      <c r="G50" s="3" t="s">
        <v>454</v>
      </c>
      <c r="H50" s="3" t="s">
        <v>12</v>
      </c>
      <c r="I50" s="9" t="s">
        <v>13</v>
      </c>
      <c r="J50" s="4"/>
      <c r="K50" s="4"/>
      <c r="L50" s="4"/>
      <c r="M50" s="4">
        <f>COUNTIFS(JobCodeSkills!$B:$B, EmployeesTable[[#This Row],[Succession Plan Job Code]],
          JobCodeSkills!$K:$K, "Required")</f>
        <v>0</v>
      </c>
      <c r="N50" s="4">
        <f>COUNTIFS(EmployeeSkills!$A:$A, EmployeesTable[[#This Row],[User Name]],
          EmployeeSkills!$B:$B, EmployeesTable[[#This Row],[Succession Plan Job Code]],
          EmployeeSkills!$D:$D, "Competent")</f>
        <v>0</v>
      </c>
      <c r="O50" s="4" t="str">
        <f>IF(EmployeesTable[[#This Row],[Succession Skills Ready – Required Total]]=0,"",
   EmployeesTable[[#This Row],[Succession Skills Ready – Required Met]]/EmployeesTable[[#This Row],[Succession Skills Ready – Required Total]])</f>
        <v/>
      </c>
      <c r="P50" s="4" t="str" cm="1">
        <f t="array" ref="P50">_xlfn.IFS(EmployeesTable[[#This Row],[Succession Skills Readiness %]]="","",
     EmployeesTable[[#This Row],[Succession Skills Readiness %]]&lt;0.6,"Not Ready",
     EmployeesTable[[#This Row],[Succession Skills Readiness %]]&lt;0.8,"Developing",
     TRUE,"Ready")</f>
        <v/>
      </c>
      <c r="Q50" s="4" t="e" cm="1" vm="1">
        <f t="array" ref="Q50">_xlfn.TEXTJOIN(", ",TRUE,
  _xlfn._xlws.FILTER(JobCodeSkills!$G:$G,
    (JobCodeSkills!$B:$B=EmployeesTable[[#This Row],[Job Code]])*
    (JobCodeSkills!$K:$K="Required")
  )
)</f>
        <v>#VALUE!</v>
      </c>
      <c r="R50" s="4"/>
      <c r="S50" s="4"/>
      <c r="T50" s="4"/>
      <c r="U50" s="4"/>
      <c r="V50" s="4" t="str" cm="1">
        <f t="array" ref="V50">IF(EmployeesTable[[#This Row],[Additional Executive Role]]="","",
  _xlfn.TEXTJOIN(", ",TRUE,
    _xlfn._xlws.FILTER(ExecRoleSkills!$B:$B,
      ExecRoleSkills!$A:$A=EmployeesTable[[#This Row],[Additional Executive Role]]
    )
  )
)</f>
        <v/>
      </c>
    </row>
    <row r="51" spans="1:22" ht="30" x14ac:dyDescent="0.25">
      <c r="A51" s="19" t="s">
        <v>179</v>
      </c>
      <c r="B51" s="9">
        <v>10705</v>
      </c>
      <c r="C51" s="3" t="s">
        <v>136</v>
      </c>
      <c r="D51" s="9"/>
      <c r="E51" s="15">
        <v>45358</v>
      </c>
      <c r="F51" s="3" t="s">
        <v>180</v>
      </c>
      <c r="G51" s="3" t="s">
        <v>129</v>
      </c>
      <c r="H51" s="3" t="s">
        <v>12</v>
      </c>
      <c r="I51" s="10" t="s">
        <v>712</v>
      </c>
      <c r="J51" s="4"/>
      <c r="K51" s="4"/>
      <c r="L51" s="4"/>
      <c r="M51" s="4">
        <f>COUNTIFS(JobCodeSkills!$B:$B, EmployeesTable[[#This Row],[Succession Plan Job Code]],
          JobCodeSkills!$K:$K, "Required")</f>
        <v>0</v>
      </c>
      <c r="N51" s="4">
        <f>COUNTIFS(EmployeeSkills!$A:$A, EmployeesTable[[#This Row],[User Name]],
          EmployeeSkills!$B:$B, EmployeesTable[[#This Row],[Succession Plan Job Code]],
          EmployeeSkills!$D:$D, "Competent")</f>
        <v>0</v>
      </c>
      <c r="O51" s="4" t="str">
        <f>IF(EmployeesTable[[#This Row],[Succession Skills Ready – Required Total]]=0,"",
   EmployeesTable[[#This Row],[Succession Skills Ready – Required Met]]/EmployeesTable[[#This Row],[Succession Skills Ready – Required Total]])</f>
        <v/>
      </c>
      <c r="P51" s="4" t="str" cm="1">
        <f t="array" ref="P51">_xlfn.IFS(EmployeesTable[[#This Row],[Succession Skills Readiness %]]="","",
     EmployeesTable[[#This Row],[Succession Skills Readiness %]]&lt;0.6,"Not Ready",
     EmployeesTable[[#This Row],[Succession Skills Readiness %]]&lt;0.8,"Developing",
     TRUE,"Ready")</f>
        <v/>
      </c>
      <c r="Q51" s="4" t="e" cm="1" vm="1">
        <f t="array" ref="Q51">_xlfn.TEXTJOIN(", ",TRUE,
  _xlfn._xlws.FILTER(JobCodeSkills!$G:$G,
    (JobCodeSkills!$B:$B=EmployeesTable[[#This Row],[Job Code]])*
    (JobCodeSkills!$K:$K="Required")
  )
)</f>
        <v>#VALUE!</v>
      </c>
      <c r="R51" s="4"/>
      <c r="S51" s="4"/>
      <c r="T51" s="4"/>
      <c r="U51" s="4"/>
      <c r="V51" s="4" t="str" cm="1">
        <f t="array" ref="V51">IF(EmployeesTable[[#This Row],[Additional Executive Role]]="","",
  _xlfn.TEXTJOIN(", ",TRUE,
    _xlfn._xlws.FILTER(ExecRoleSkills!$B:$B,
      ExecRoleSkills!$A:$A=EmployeesTable[[#This Row],[Additional Executive Role]]
    )
  )
)</f>
        <v/>
      </c>
    </row>
    <row r="52" spans="1:22" ht="30" x14ac:dyDescent="0.25">
      <c r="A52" s="19" t="s">
        <v>181</v>
      </c>
      <c r="B52" s="9">
        <v>10701</v>
      </c>
      <c r="C52" s="3" t="s">
        <v>153</v>
      </c>
      <c r="D52" s="9"/>
      <c r="E52" s="15">
        <v>45440</v>
      </c>
      <c r="F52" s="3" t="s">
        <v>182</v>
      </c>
      <c r="G52" s="3" t="s">
        <v>129</v>
      </c>
      <c r="H52" s="3" t="s">
        <v>12</v>
      </c>
      <c r="I52" s="10" t="s">
        <v>712</v>
      </c>
      <c r="J52" s="4"/>
      <c r="K52" s="4"/>
      <c r="L52" s="4"/>
      <c r="M52" s="4">
        <f>COUNTIFS(JobCodeSkills!$B:$B, EmployeesTable[[#This Row],[Succession Plan Job Code]],
          JobCodeSkills!$K:$K, "Required")</f>
        <v>0</v>
      </c>
      <c r="N52" s="4">
        <f>COUNTIFS(EmployeeSkills!$A:$A, EmployeesTable[[#This Row],[User Name]],
          EmployeeSkills!$B:$B, EmployeesTable[[#This Row],[Succession Plan Job Code]],
          EmployeeSkills!$D:$D, "Competent")</f>
        <v>0</v>
      </c>
      <c r="O52" s="4" t="str">
        <f>IF(EmployeesTable[[#This Row],[Succession Skills Ready – Required Total]]=0,"",
   EmployeesTable[[#This Row],[Succession Skills Ready – Required Met]]/EmployeesTable[[#This Row],[Succession Skills Ready – Required Total]])</f>
        <v/>
      </c>
      <c r="P52" s="4" t="str" cm="1">
        <f t="array" ref="P52">_xlfn.IFS(EmployeesTable[[#This Row],[Succession Skills Readiness %]]="","",
     EmployeesTable[[#This Row],[Succession Skills Readiness %]]&lt;0.6,"Not Ready",
     EmployeesTable[[#This Row],[Succession Skills Readiness %]]&lt;0.8,"Developing",
     TRUE,"Ready")</f>
        <v/>
      </c>
      <c r="Q52" s="4" t="e" cm="1" vm="1">
        <f t="array" ref="Q52">_xlfn.TEXTJOIN(", ",TRUE,
  _xlfn._xlws.FILTER(JobCodeSkills!$G:$G,
    (JobCodeSkills!$B:$B=EmployeesTable[[#This Row],[Job Code]])*
    (JobCodeSkills!$K:$K="Required")
  )
)</f>
        <v>#VALUE!</v>
      </c>
      <c r="R52" s="4"/>
      <c r="S52" s="4"/>
      <c r="T52" s="4"/>
      <c r="U52" s="4"/>
      <c r="V52" s="4" t="str" cm="1">
        <f t="array" ref="V52">IF(EmployeesTable[[#This Row],[Additional Executive Role]]="","",
  _xlfn.TEXTJOIN(", ",TRUE,
    _xlfn._xlws.FILTER(ExecRoleSkills!$B:$B,
      ExecRoleSkills!$A:$A=EmployeesTable[[#This Row],[Additional Executive Role]]
    )
  )
)</f>
        <v/>
      </c>
    </row>
    <row r="53" spans="1:22" ht="45" x14ac:dyDescent="0.25">
      <c r="A53" s="19" t="s">
        <v>693</v>
      </c>
      <c r="B53" s="9">
        <v>10203</v>
      </c>
      <c r="C53" s="3" t="s">
        <v>44</v>
      </c>
      <c r="D53" s="9" t="s">
        <v>720</v>
      </c>
      <c r="E53" s="15">
        <v>41022</v>
      </c>
      <c r="F53" s="3" t="s">
        <v>694</v>
      </c>
      <c r="G53" s="3" t="s">
        <v>687</v>
      </c>
      <c r="H53" s="3" t="s">
        <v>12</v>
      </c>
      <c r="I53" s="9" t="s">
        <v>712</v>
      </c>
      <c r="J53" s="4"/>
      <c r="K53" s="4"/>
      <c r="L53" s="4"/>
      <c r="M53" s="4">
        <f>COUNTIFS(JobCodeSkills!$B:$B, EmployeesTable[[#This Row],[Succession Plan Job Code]],
          JobCodeSkills!$K:$K, "Required")</f>
        <v>0</v>
      </c>
      <c r="N53" s="4">
        <f>COUNTIFS(EmployeeSkills!$A:$A, EmployeesTable[[#This Row],[User Name]],
          EmployeeSkills!$B:$B, EmployeesTable[[#This Row],[Succession Plan Job Code]],
          EmployeeSkills!$D:$D, "Competent")</f>
        <v>0</v>
      </c>
      <c r="O53" s="4" t="str">
        <f>IF(EmployeesTable[[#This Row],[Succession Skills Ready – Required Total]]=0,"",
   EmployeesTable[[#This Row],[Succession Skills Ready – Required Met]]/EmployeesTable[[#This Row],[Succession Skills Ready – Required Total]])</f>
        <v/>
      </c>
      <c r="P53" s="4" t="str" cm="1">
        <f t="array" ref="P53">_xlfn.IFS(EmployeesTable[[#This Row],[Succession Skills Readiness %]]="","",
     EmployeesTable[[#This Row],[Succession Skills Readiness %]]&lt;0.6,"Not Ready",
     EmployeesTable[[#This Row],[Succession Skills Readiness %]]&lt;0.8,"Developing",
     TRUE,"Ready")</f>
        <v/>
      </c>
      <c r="Q53" s="4" t="e" cm="1" vm="1">
        <f t="array" ref="Q53">_xlfn.TEXTJOIN(", ",TRUE,
  _xlfn._xlws.FILTER(JobCodeSkills!$G:$G,
    (JobCodeSkills!$B:$B=EmployeesTable[[#This Row],[Job Code]])*
    (JobCodeSkills!$K:$K="Required")
  )
)</f>
        <v>#VALUE!</v>
      </c>
      <c r="R53" s="4"/>
      <c r="S53" s="4"/>
      <c r="T53" s="4"/>
      <c r="U53" s="4"/>
      <c r="V53" s="4" t="e" cm="1" vm="1">
        <f t="array" ref="V53">IF(EmployeesTable[[#This Row],[Additional Executive Role]]="","",
  _xlfn.TEXTJOIN(", ",TRUE,
    _xlfn._xlws.FILTER(ExecRoleSkills!$B:$B,
      ExecRoleSkills!$A:$A=EmployeesTable[[#This Row],[Additional Executive Role]]
    )
  )
)</f>
        <v>#VALUE!</v>
      </c>
    </row>
    <row r="54" spans="1:22" ht="30" x14ac:dyDescent="0.25">
      <c r="A54" s="19" t="s">
        <v>183</v>
      </c>
      <c r="B54" s="9">
        <v>10401</v>
      </c>
      <c r="C54" s="3" t="s">
        <v>184</v>
      </c>
      <c r="D54" s="9"/>
      <c r="E54" s="15">
        <v>42535</v>
      </c>
      <c r="F54" s="3" t="s">
        <v>185</v>
      </c>
      <c r="G54" s="3" t="s">
        <v>129</v>
      </c>
      <c r="H54" s="3" t="s">
        <v>12</v>
      </c>
      <c r="I54" s="10" t="s">
        <v>712</v>
      </c>
      <c r="J54" s="4"/>
      <c r="K54" s="4"/>
      <c r="L54" s="4"/>
      <c r="M54" s="4">
        <f>COUNTIFS(JobCodeSkills!$B:$B, EmployeesTable[[#This Row],[Succession Plan Job Code]],
          JobCodeSkills!$K:$K, "Required")</f>
        <v>0</v>
      </c>
      <c r="N54" s="4">
        <f>COUNTIFS(EmployeeSkills!$A:$A, EmployeesTable[[#This Row],[User Name]],
          EmployeeSkills!$B:$B, EmployeesTable[[#This Row],[Succession Plan Job Code]],
          EmployeeSkills!$D:$D, "Competent")</f>
        <v>0</v>
      </c>
      <c r="O54" s="4" t="str">
        <f>IF(EmployeesTable[[#This Row],[Succession Skills Ready – Required Total]]=0,"",
   EmployeesTable[[#This Row],[Succession Skills Ready – Required Met]]/EmployeesTable[[#This Row],[Succession Skills Ready – Required Total]])</f>
        <v/>
      </c>
      <c r="P54" s="4" t="str" cm="1">
        <f t="array" ref="P54">_xlfn.IFS(EmployeesTable[[#This Row],[Succession Skills Readiness %]]="","",
     EmployeesTable[[#This Row],[Succession Skills Readiness %]]&lt;0.6,"Not Ready",
     EmployeesTable[[#This Row],[Succession Skills Readiness %]]&lt;0.8,"Developing",
     TRUE,"Ready")</f>
        <v/>
      </c>
      <c r="Q54" s="4" t="e" cm="1" vm="1">
        <f t="array" ref="Q54">_xlfn.TEXTJOIN(", ",TRUE,
  _xlfn._xlws.FILTER(JobCodeSkills!$G:$G,
    (JobCodeSkills!$B:$B=EmployeesTable[[#This Row],[Job Code]])*
    (JobCodeSkills!$K:$K="Required")
  )
)</f>
        <v>#VALUE!</v>
      </c>
      <c r="R54" s="4"/>
      <c r="S54" s="4"/>
      <c r="T54" s="4"/>
      <c r="U54" s="4"/>
      <c r="V54" s="4" t="str" cm="1">
        <f t="array" ref="V54">IF(EmployeesTable[[#This Row],[Additional Executive Role]]="","",
  _xlfn.TEXTJOIN(", ",TRUE,
    _xlfn._xlws.FILTER(ExecRoleSkills!$B:$B,
      ExecRoleSkills!$A:$A=EmployeesTable[[#This Row],[Additional Executive Role]]
    )
  )
)</f>
        <v/>
      </c>
    </row>
    <row r="55" spans="1:22" ht="30" x14ac:dyDescent="0.25">
      <c r="A55" s="19" t="s">
        <v>186</v>
      </c>
      <c r="B55" s="9">
        <v>10502</v>
      </c>
      <c r="C55" s="3" t="s">
        <v>187</v>
      </c>
      <c r="D55" s="9"/>
      <c r="E55" s="15">
        <v>45348</v>
      </c>
      <c r="F55" s="3" t="s">
        <v>188</v>
      </c>
      <c r="G55" s="3" t="s">
        <v>129</v>
      </c>
      <c r="H55" s="3" t="s">
        <v>12</v>
      </c>
      <c r="I55" s="10" t="s">
        <v>712</v>
      </c>
      <c r="J55" s="4"/>
      <c r="K55" s="4"/>
      <c r="L55" s="4"/>
      <c r="M55" s="4">
        <f>COUNTIFS(JobCodeSkills!$B:$B, EmployeesTable[[#This Row],[Succession Plan Job Code]],
          JobCodeSkills!$K:$K, "Required")</f>
        <v>0</v>
      </c>
      <c r="N55" s="4">
        <f>COUNTIFS(EmployeeSkills!$A:$A, EmployeesTable[[#This Row],[User Name]],
          EmployeeSkills!$B:$B, EmployeesTable[[#This Row],[Succession Plan Job Code]],
          EmployeeSkills!$D:$D, "Competent")</f>
        <v>0</v>
      </c>
      <c r="O55" s="4" t="str">
        <f>IF(EmployeesTable[[#This Row],[Succession Skills Ready – Required Total]]=0,"",
   EmployeesTable[[#This Row],[Succession Skills Ready – Required Met]]/EmployeesTable[[#This Row],[Succession Skills Ready – Required Total]])</f>
        <v/>
      </c>
      <c r="P55" s="4" t="str" cm="1">
        <f t="array" ref="P55">_xlfn.IFS(EmployeesTable[[#This Row],[Succession Skills Readiness %]]="","",
     EmployeesTable[[#This Row],[Succession Skills Readiness %]]&lt;0.6,"Not Ready",
     EmployeesTable[[#This Row],[Succession Skills Readiness %]]&lt;0.8,"Developing",
     TRUE,"Ready")</f>
        <v/>
      </c>
      <c r="Q55" s="4" t="e" cm="1" vm="1">
        <f t="array" ref="Q55">_xlfn.TEXTJOIN(", ",TRUE,
  _xlfn._xlws.FILTER(JobCodeSkills!$G:$G,
    (JobCodeSkills!$B:$B=EmployeesTable[[#This Row],[Job Code]])*
    (JobCodeSkills!$K:$K="Required")
  )
)</f>
        <v>#VALUE!</v>
      </c>
      <c r="R55" s="4"/>
      <c r="S55" s="4"/>
      <c r="T55" s="4"/>
      <c r="U55" s="4"/>
      <c r="V55" s="4" t="str" cm="1">
        <f t="array" ref="V55">IF(EmployeesTable[[#This Row],[Additional Executive Role]]="","",
  _xlfn.TEXTJOIN(", ",TRUE,
    _xlfn._xlws.FILTER(ExecRoleSkills!$B:$B,
      ExecRoleSkills!$A:$A=EmployeesTable[[#This Row],[Additional Executive Role]]
    )
  )
)</f>
        <v/>
      </c>
    </row>
    <row r="56" spans="1:22" ht="30" x14ac:dyDescent="0.25">
      <c r="A56" s="19" t="s">
        <v>189</v>
      </c>
      <c r="B56" s="9">
        <v>10802</v>
      </c>
      <c r="C56" s="3" t="s">
        <v>141</v>
      </c>
      <c r="D56" s="9"/>
      <c r="E56" s="15">
        <v>45468</v>
      </c>
      <c r="F56" s="3" t="s">
        <v>190</v>
      </c>
      <c r="G56" s="3" t="s">
        <v>129</v>
      </c>
      <c r="H56" s="3" t="s">
        <v>12</v>
      </c>
      <c r="I56" s="10" t="s">
        <v>712</v>
      </c>
      <c r="J56" s="4"/>
      <c r="K56" s="4"/>
      <c r="L56" s="4"/>
      <c r="M56" s="4">
        <f>COUNTIFS(JobCodeSkills!$B:$B, EmployeesTable[[#This Row],[Succession Plan Job Code]],
          JobCodeSkills!$K:$K, "Required")</f>
        <v>0</v>
      </c>
      <c r="N56" s="4">
        <f>COUNTIFS(EmployeeSkills!$A:$A, EmployeesTable[[#This Row],[User Name]],
          EmployeeSkills!$B:$B, EmployeesTable[[#This Row],[Succession Plan Job Code]],
          EmployeeSkills!$D:$D, "Competent")</f>
        <v>0</v>
      </c>
      <c r="O56" s="4" t="str">
        <f>IF(EmployeesTable[[#This Row],[Succession Skills Ready – Required Total]]=0,"",
   EmployeesTable[[#This Row],[Succession Skills Ready – Required Met]]/EmployeesTable[[#This Row],[Succession Skills Ready – Required Total]])</f>
        <v/>
      </c>
      <c r="P56" s="4" t="str" cm="1">
        <f t="array" ref="P56">_xlfn.IFS(EmployeesTable[[#This Row],[Succession Skills Readiness %]]="","",
     EmployeesTable[[#This Row],[Succession Skills Readiness %]]&lt;0.6,"Not Ready",
     EmployeesTable[[#This Row],[Succession Skills Readiness %]]&lt;0.8,"Developing",
     TRUE,"Ready")</f>
        <v/>
      </c>
      <c r="Q56" s="4" t="e" cm="1" vm="1">
        <f t="array" ref="Q56">_xlfn.TEXTJOIN(", ",TRUE,
  _xlfn._xlws.FILTER(JobCodeSkills!$G:$G,
    (JobCodeSkills!$B:$B=EmployeesTable[[#This Row],[Job Code]])*
    (JobCodeSkills!$K:$K="Required")
  )
)</f>
        <v>#VALUE!</v>
      </c>
      <c r="R56" s="4"/>
      <c r="S56" s="4"/>
      <c r="T56" s="4"/>
      <c r="U56" s="4"/>
      <c r="V56" s="4" t="str" cm="1">
        <f t="array" ref="V56">IF(EmployeesTable[[#This Row],[Additional Executive Role]]="","",
  _xlfn.TEXTJOIN(", ",TRUE,
    _xlfn._xlws.FILTER(ExecRoleSkills!$B:$B,
      ExecRoleSkills!$A:$A=EmployeesTable[[#This Row],[Additional Executive Role]]
    )
  )
)</f>
        <v/>
      </c>
    </row>
    <row r="57" spans="1:22" ht="30" x14ac:dyDescent="0.25">
      <c r="A57" s="19" t="s">
        <v>191</v>
      </c>
      <c r="B57" s="9">
        <v>10705</v>
      </c>
      <c r="C57" s="3" t="s">
        <v>127</v>
      </c>
      <c r="D57" s="9"/>
      <c r="E57" s="15">
        <v>44956</v>
      </c>
      <c r="F57" s="3" t="s">
        <v>192</v>
      </c>
      <c r="G57" s="3" t="s">
        <v>129</v>
      </c>
      <c r="H57" s="3" t="s">
        <v>12</v>
      </c>
      <c r="I57" s="10" t="s">
        <v>712</v>
      </c>
      <c r="J57" s="4"/>
      <c r="K57" s="4"/>
      <c r="L57" s="4"/>
      <c r="M57" s="4">
        <f>COUNTIFS(JobCodeSkills!$B:$B, EmployeesTable[[#This Row],[Succession Plan Job Code]],
          JobCodeSkills!$K:$K, "Required")</f>
        <v>0</v>
      </c>
      <c r="N57" s="4">
        <f>COUNTIFS(EmployeeSkills!$A:$A, EmployeesTable[[#This Row],[User Name]],
          EmployeeSkills!$B:$B, EmployeesTable[[#This Row],[Succession Plan Job Code]],
          EmployeeSkills!$D:$D, "Competent")</f>
        <v>0</v>
      </c>
      <c r="O57" s="4" t="str">
        <f>IF(EmployeesTable[[#This Row],[Succession Skills Ready – Required Total]]=0,"",
   EmployeesTable[[#This Row],[Succession Skills Ready – Required Met]]/EmployeesTable[[#This Row],[Succession Skills Ready – Required Total]])</f>
        <v/>
      </c>
      <c r="P57" s="4" t="str" cm="1">
        <f t="array" ref="P57">_xlfn.IFS(EmployeesTable[[#This Row],[Succession Skills Readiness %]]="","",
     EmployeesTable[[#This Row],[Succession Skills Readiness %]]&lt;0.6,"Not Ready",
     EmployeesTable[[#This Row],[Succession Skills Readiness %]]&lt;0.8,"Developing",
     TRUE,"Ready")</f>
        <v/>
      </c>
      <c r="Q57" s="4" t="e" cm="1" vm="1">
        <f t="array" ref="Q57">_xlfn.TEXTJOIN(", ",TRUE,
  _xlfn._xlws.FILTER(JobCodeSkills!$G:$G,
    (JobCodeSkills!$B:$B=EmployeesTable[[#This Row],[Job Code]])*
    (JobCodeSkills!$K:$K="Required")
  )
)</f>
        <v>#VALUE!</v>
      </c>
      <c r="R57" s="4"/>
      <c r="S57" s="4"/>
      <c r="T57" s="4"/>
      <c r="U57" s="4"/>
      <c r="V57" s="4" t="str" cm="1">
        <f t="array" ref="V57">IF(EmployeesTable[[#This Row],[Additional Executive Role]]="","",
  _xlfn.TEXTJOIN(", ",TRUE,
    _xlfn._xlws.FILTER(ExecRoleSkills!$B:$B,
      ExecRoleSkills!$A:$A=EmployeesTable[[#This Row],[Additional Executive Role]]
    )
  )
)</f>
        <v/>
      </c>
    </row>
    <row r="58" spans="1:22" ht="30" x14ac:dyDescent="0.25">
      <c r="A58" s="19" t="s">
        <v>27</v>
      </c>
      <c r="B58" s="9">
        <v>20100</v>
      </c>
      <c r="C58" s="3" t="s">
        <v>28</v>
      </c>
      <c r="D58" s="9" t="s">
        <v>720</v>
      </c>
      <c r="E58" s="15">
        <v>39330</v>
      </c>
      <c r="F58" s="3" t="s">
        <v>29</v>
      </c>
      <c r="G58" s="3" t="s">
        <v>20</v>
      </c>
      <c r="H58" s="3" t="s">
        <v>12</v>
      </c>
      <c r="I58" s="10" t="s">
        <v>13</v>
      </c>
      <c r="J58" s="4"/>
      <c r="K58" s="4"/>
      <c r="L58" s="4"/>
      <c r="M58" s="4">
        <f>COUNTIFS(JobCodeSkills!$B:$B, EmployeesTable[[#This Row],[Succession Plan Job Code]],
          JobCodeSkills!$K:$K, "Required")</f>
        <v>0</v>
      </c>
      <c r="N58" s="4">
        <f>COUNTIFS(EmployeeSkills!$A:$A, EmployeesTable[[#This Row],[User Name]],
          EmployeeSkills!$B:$B, EmployeesTable[[#This Row],[Succession Plan Job Code]],
          EmployeeSkills!$D:$D, "Competent")</f>
        <v>0</v>
      </c>
      <c r="O58" s="4" t="str">
        <f>IF(EmployeesTable[[#This Row],[Succession Skills Ready – Required Total]]=0,"",
   EmployeesTable[[#This Row],[Succession Skills Ready – Required Met]]/EmployeesTable[[#This Row],[Succession Skills Ready – Required Total]])</f>
        <v/>
      </c>
      <c r="P58" s="4" t="str" cm="1">
        <f t="array" ref="P58">_xlfn.IFS(EmployeesTable[[#This Row],[Succession Skills Readiness %]]="","",
     EmployeesTable[[#This Row],[Succession Skills Readiness %]]&lt;0.6,"Not Ready",
     EmployeesTable[[#This Row],[Succession Skills Readiness %]]&lt;0.8,"Developing",
     TRUE,"Ready")</f>
        <v/>
      </c>
      <c r="Q58" s="4" t="e" cm="1" vm="1">
        <f t="array" ref="Q58">_xlfn.TEXTJOIN(", ",TRUE,
  _xlfn._xlws.FILTER(JobCodeSkills!$G:$G,
    (JobCodeSkills!$B:$B=EmployeesTable[[#This Row],[Job Code]])*
    (JobCodeSkills!$K:$K="Required")
  )
)</f>
        <v>#VALUE!</v>
      </c>
      <c r="R58" s="4"/>
      <c r="S58" s="4"/>
      <c r="T58" s="4"/>
      <c r="U58" s="4"/>
      <c r="V58" s="4" t="e" cm="1" vm="1">
        <f t="array" ref="V58">IF(EmployeesTable[[#This Row],[Additional Executive Role]]="","",
  _xlfn.TEXTJOIN(", ",TRUE,
    _xlfn._xlws.FILTER(ExecRoleSkills!$B:$B,
      ExecRoleSkills!$A:$A=EmployeesTable[[#This Row],[Additional Executive Role]]
    )
  )
)</f>
        <v>#VALUE!</v>
      </c>
    </row>
    <row r="59" spans="1:22" ht="30" x14ac:dyDescent="0.25">
      <c r="A59" s="19" t="s">
        <v>193</v>
      </c>
      <c r="B59" s="9">
        <v>10705</v>
      </c>
      <c r="C59" s="3" t="s">
        <v>136</v>
      </c>
      <c r="D59" s="9"/>
      <c r="E59" s="15">
        <v>45391</v>
      </c>
      <c r="F59" s="3" t="s">
        <v>194</v>
      </c>
      <c r="G59" s="3" t="s">
        <v>129</v>
      </c>
      <c r="H59" s="3" t="s">
        <v>12</v>
      </c>
      <c r="I59" s="10" t="s">
        <v>712</v>
      </c>
      <c r="J59" s="4"/>
      <c r="K59" s="4"/>
      <c r="L59" s="4"/>
      <c r="M59" s="4">
        <f>COUNTIFS(JobCodeSkills!$B:$B, EmployeesTable[[#This Row],[Succession Plan Job Code]],
          JobCodeSkills!$K:$K, "Required")</f>
        <v>0</v>
      </c>
      <c r="N59" s="4">
        <f>COUNTIFS(EmployeeSkills!$A:$A, EmployeesTable[[#This Row],[User Name]],
          EmployeeSkills!$B:$B, EmployeesTable[[#This Row],[Succession Plan Job Code]],
          EmployeeSkills!$D:$D, "Competent")</f>
        <v>0</v>
      </c>
      <c r="O59" s="4" t="str">
        <f>IF(EmployeesTable[[#This Row],[Succession Skills Ready – Required Total]]=0,"",
   EmployeesTable[[#This Row],[Succession Skills Ready – Required Met]]/EmployeesTable[[#This Row],[Succession Skills Ready – Required Total]])</f>
        <v/>
      </c>
      <c r="P59" s="4" t="str" cm="1">
        <f t="array" ref="P59">_xlfn.IFS(EmployeesTable[[#This Row],[Succession Skills Readiness %]]="","",
     EmployeesTable[[#This Row],[Succession Skills Readiness %]]&lt;0.6,"Not Ready",
     EmployeesTable[[#This Row],[Succession Skills Readiness %]]&lt;0.8,"Developing",
     TRUE,"Ready")</f>
        <v/>
      </c>
      <c r="Q59" s="4" t="e" cm="1" vm="1">
        <f t="array" ref="Q59">_xlfn.TEXTJOIN(", ",TRUE,
  _xlfn._xlws.FILTER(JobCodeSkills!$G:$G,
    (JobCodeSkills!$B:$B=EmployeesTable[[#This Row],[Job Code]])*
    (JobCodeSkills!$K:$K="Required")
  )
)</f>
        <v>#VALUE!</v>
      </c>
      <c r="R59" s="4"/>
      <c r="S59" s="4"/>
      <c r="T59" s="4"/>
      <c r="U59" s="4"/>
      <c r="V59" s="4" t="str" cm="1">
        <f t="array" ref="V59">IF(EmployeesTable[[#This Row],[Additional Executive Role]]="","",
  _xlfn.TEXTJOIN(", ",TRUE,
    _xlfn._xlws.FILTER(ExecRoleSkills!$B:$B,
      ExecRoleSkills!$A:$A=EmployeesTable[[#This Row],[Additional Executive Role]]
    )
  )
)</f>
        <v/>
      </c>
    </row>
    <row r="60" spans="1:22" ht="30" x14ac:dyDescent="0.25">
      <c r="A60" s="19" t="s">
        <v>195</v>
      </c>
      <c r="B60" s="9">
        <v>10803</v>
      </c>
      <c r="C60" s="3" t="s">
        <v>133</v>
      </c>
      <c r="D60" s="9"/>
      <c r="E60" s="15">
        <v>45204</v>
      </c>
      <c r="F60" s="3" t="s">
        <v>196</v>
      </c>
      <c r="G60" s="3" t="s">
        <v>129</v>
      </c>
      <c r="H60" s="3" t="s">
        <v>12</v>
      </c>
      <c r="I60" s="10" t="s">
        <v>712</v>
      </c>
      <c r="J60" s="4"/>
      <c r="K60" s="4"/>
      <c r="L60" s="4"/>
      <c r="M60" s="4">
        <f>COUNTIFS(JobCodeSkills!$B:$B, EmployeesTable[[#This Row],[Succession Plan Job Code]],
          JobCodeSkills!$K:$K, "Required")</f>
        <v>0</v>
      </c>
      <c r="N60" s="4">
        <f>COUNTIFS(EmployeeSkills!$A:$A, EmployeesTable[[#This Row],[User Name]],
          EmployeeSkills!$B:$B, EmployeesTable[[#This Row],[Succession Plan Job Code]],
          EmployeeSkills!$D:$D, "Competent")</f>
        <v>0</v>
      </c>
      <c r="O60" s="4" t="str">
        <f>IF(EmployeesTable[[#This Row],[Succession Skills Ready – Required Total]]=0,"",
   EmployeesTable[[#This Row],[Succession Skills Ready – Required Met]]/EmployeesTable[[#This Row],[Succession Skills Ready – Required Total]])</f>
        <v/>
      </c>
      <c r="P60" s="4" t="str" cm="1">
        <f t="array" ref="P60">_xlfn.IFS(EmployeesTable[[#This Row],[Succession Skills Readiness %]]="","",
     EmployeesTable[[#This Row],[Succession Skills Readiness %]]&lt;0.6,"Not Ready",
     EmployeesTable[[#This Row],[Succession Skills Readiness %]]&lt;0.8,"Developing",
     TRUE,"Ready")</f>
        <v/>
      </c>
      <c r="Q60" s="4" t="e" cm="1" vm="1">
        <f t="array" ref="Q60">_xlfn.TEXTJOIN(", ",TRUE,
  _xlfn._xlws.FILTER(JobCodeSkills!$G:$G,
    (JobCodeSkills!$B:$B=EmployeesTable[[#This Row],[Job Code]])*
    (JobCodeSkills!$K:$K="Required")
  )
)</f>
        <v>#VALUE!</v>
      </c>
      <c r="R60" s="4"/>
      <c r="S60" s="4"/>
      <c r="T60" s="4"/>
      <c r="U60" s="4"/>
      <c r="V60" s="4" t="str" cm="1">
        <f t="array" ref="V60">IF(EmployeesTable[[#This Row],[Additional Executive Role]]="","",
  _xlfn.TEXTJOIN(", ",TRUE,
    _xlfn._xlws.FILTER(ExecRoleSkills!$B:$B,
      ExecRoleSkills!$A:$A=EmployeesTable[[#This Row],[Additional Executive Role]]
    )
  )
)</f>
        <v/>
      </c>
    </row>
    <row r="61" spans="1:22" ht="45" x14ac:dyDescent="0.25">
      <c r="A61" s="19" t="s">
        <v>30</v>
      </c>
      <c r="B61" s="9">
        <v>10202</v>
      </c>
      <c r="C61" s="3" t="s">
        <v>31</v>
      </c>
      <c r="D61" s="9"/>
      <c r="E61" s="15">
        <v>30392</v>
      </c>
      <c r="F61" s="3" t="s">
        <v>32</v>
      </c>
      <c r="G61" s="3" t="s">
        <v>20</v>
      </c>
      <c r="H61" s="3" t="s">
        <v>12</v>
      </c>
      <c r="I61" s="10" t="s">
        <v>13</v>
      </c>
      <c r="J61" s="4"/>
      <c r="K61" s="4"/>
      <c r="L61" s="4"/>
      <c r="M61" s="4">
        <f>COUNTIFS(JobCodeSkills!$B:$B, EmployeesTable[[#This Row],[Succession Plan Job Code]],
          JobCodeSkills!$K:$K, "Required")</f>
        <v>0</v>
      </c>
      <c r="N61" s="4">
        <f>COUNTIFS(EmployeeSkills!$A:$A, EmployeesTable[[#This Row],[User Name]],
          EmployeeSkills!$B:$B, EmployeesTable[[#This Row],[Succession Plan Job Code]],
          EmployeeSkills!$D:$D, "Competent")</f>
        <v>0</v>
      </c>
      <c r="O61" s="4" t="str">
        <f>IF(EmployeesTable[[#This Row],[Succession Skills Ready – Required Total]]=0,"",
   EmployeesTable[[#This Row],[Succession Skills Ready – Required Met]]/EmployeesTable[[#This Row],[Succession Skills Ready – Required Total]])</f>
        <v/>
      </c>
      <c r="P61" s="4" t="str" cm="1">
        <f t="array" ref="P61">_xlfn.IFS(EmployeesTable[[#This Row],[Succession Skills Readiness %]]="","",
     EmployeesTable[[#This Row],[Succession Skills Readiness %]]&lt;0.6,"Not Ready",
     EmployeesTable[[#This Row],[Succession Skills Readiness %]]&lt;0.8,"Developing",
     TRUE,"Ready")</f>
        <v/>
      </c>
      <c r="Q61" s="4" t="e" cm="1" vm="1">
        <f t="array" ref="Q61">_xlfn.TEXTJOIN(", ",TRUE,
  _xlfn._xlws.FILTER(JobCodeSkills!$G:$G,
    (JobCodeSkills!$B:$B=EmployeesTable[[#This Row],[Job Code]])*
    (JobCodeSkills!$K:$K="Required")
  )
)</f>
        <v>#VALUE!</v>
      </c>
      <c r="R61" s="4"/>
      <c r="S61" s="4"/>
      <c r="T61" s="4"/>
      <c r="U61" s="4"/>
      <c r="V61" s="4" t="str" cm="1">
        <f t="array" ref="V61">IF(EmployeesTable[[#This Row],[Additional Executive Role]]="","",
  _xlfn.TEXTJOIN(", ",TRUE,
    _xlfn._xlws.FILTER(ExecRoleSkills!$B:$B,
      ExecRoleSkills!$A:$A=EmployeesTable[[#This Row],[Additional Executive Role]]
    )
  )
)</f>
        <v/>
      </c>
    </row>
    <row r="62" spans="1:22" ht="30" x14ac:dyDescent="0.25">
      <c r="A62" s="19" t="s">
        <v>197</v>
      </c>
      <c r="B62" s="9">
        <v>10802</v>
      </c>
      <c r="C62" s="3" t="s">
        <v>161</v>
      </c>
      <c r="D62" s="9"/>
      <c r="E62" s="15">
        <v>45440</v>
      </c>
      <c r="F62" s="3" t="s">
        <v>198</v>
      </c>
      <c r="G62" s="3" t="s">
        <v>129</v>
      </c>
      <c r="H62" s="3" t="s">
        <v>12</v>
      </c>
      <c r="I62" s="10" t="s">
        <v>712</v>
      </c>
      <c r="J62" s="4"/>
      <c r="K62" s="4"/>
      <c r="L62" s="4"/>
      <c r="M62" s="4">
        <f>COUNTIFS(JobCodeSkills!$B:$B, EmployeesTable[[#This Row],[Succession Plan Job Code]],
          JobCodeSkills!$K:$K, "Required")</f>
        <v>0</v>
      </c>
      <c r="N62" s="4">
        <f>COUNTIFS(EmployeeSkills!$A:$A, EmployeesTable[[#This Row],[User Name]],
          EmployeeSkills!$B:$B, EmployeesTable[[#This Row],[Succession Plan Job Code]],
          EmployeeSkills!$D:$D, "Competent")</f>
        <v>0</v>
      </c>
      <c r="O62" s="4" t="str">
        <f>IF(EmployeesTable[[#This Row],[Succession Skills Ready – Required Total]]=0,"",
   EmployeesTable[[#This Row],[Succession Skills Ready – Required Met]]/EmployeesTable[[#This Row],[Succession Skills Ready – Required Total]])</f>
        <v/>
      </c>
      <c r="P62" s="4" t="str" cm="1">
        <f t="array" ref="P62">_xlfn.IFS(EmployeesTable[[#This Row],[Succession Skills Readiness %]]="","",
     EmployeesTable[[#This Row],[Succession Skills Readiness %]]&lt;0.6,"Not Ready",
     EmployeesTable[[#This Row],[Succession Skills Readiness %]]&lt;0.8,"Developing",
     TRUE,"Ready")</f>
        <v/>
      </c>
      <c r="Q62" s="4" t="e" cm="1" vm="1">
        <f t="array" ref="Q62">_xlfn.TEXTJOIN(", ",TRUE,
  _xlfn._xlws.FILTER(JobCodeSkills!$G:$G,
    (JobCodeSkills!$B:$B=EmployeesTable[[#This Row],[Job Code]])*
    (JobCodeSkills!$K:$K="Required")
  )
)</f>
        <v>#VALUE!</v>
      </c>
      <c r="R62" s="4"/>
      <c r="S62" s="4"/>
      <c r="T62" s="4"/>
      <c r="U62" s="4"/>
      <c r="V62" s="4" t="str" cm="1">
        <f t="array" ref="V62">IF(EmployeesTable[[#This Row],[Additional Executive Role]]="","",
  _xlfn.TEXTJOIN(", ",TRUE,
    _xlfn._xlws.FILTER(ExecRoleSkills!$B:$B,
      ExecRoleSkills!$A:$A=EmployeesTable[[#This Row],[Additional Executive Role]]
    )
  )
)</f>
        <v/>
      </c>
    </row>
    <row r="63" spans="1:22" ht="30" x14ac:dyDescent="0.25">
      <c r="A63" s="19" t="s">
        <v>199</v>
      </c>
      <c r="B63" s="9">
        <v>10303</v>
      </c>
      <c r="C63" s="3" t="s">
        <v>200</v>
      </c>
      <c r="D63" s="9"/>
      <c r="E63" s="15">
        <v>38023</v>
      </c>
      <c r="F63" s="3" t="s">
        <v>201</v>
      </c>
      <c r="G63" s="3" t="s">
        <v>129</v>
      </c>
      <c r="H63" s="3" t="s">
        <v>12</v>
      </c>
      <c r="I63" s="10" t="s">
        <v>712</v>
      </c>
      <c r="J63" s="4"/>
      <c r="K63" s="4"/>
      <c r="L63" s="4"/>
      <c r="M63" s="4">
        <f>COUNTIFS(JobCodeSkills!$B:$B, EmployeesTable[[#This Row],[Succession Plan Job Code]],
          JobCodeSkills!$K:$K, "Required")</f>
        <v>0</v>
      </c>
      <c r="N63" s="4">
        <f>COUNTIFS(EmployeeSkills!$A:$A, EmployeesTable[[#This Row],[User Name]],
          EmployeeSkills!$B:$B, EmployeesTable[[#This Row],[Succession Plan Job Code]],
          EmployeeSkills!$D:$D, "Competent")</f>
        <v>0</v>
      </c>
      <c r="O63" s="4" t="str">
        <f>IF(EmployeesTable[[#This Row],[Succession Skills Ready – Required Total]]=0,"",
   EmployeesTable[[#This Row],[Succession Skills Ready – Required Met]]/EmployeesTable[[#This Row],[Succession Skills Ready – Required Total]])</f>
        <v/>
      </c>
      <c r="P63" s="4" t="str" cm="1">
        <f t="array" ref="P63">_xlfn.IFS(EmployeesTable[[#This Row],[Succession Skills Readiness %]]="","",
     EmployeesTable[[#This Row],[Succession Skills Readiness %]]&lt;0.6,"Not Ready",
     EmployeesTable[[#This Row],[Succession Skills Readiness %]]&lt;0.8,"Developing",
     TRUE,"Ready")</f>
        <v/>
      </c>
      <c r="Q63" s="4" t="e" cm="1" vm="1">
        <f t="array" ref="Q63">_xlfn.TEXTJOIN(", ",TRUE,
  _xlfn._xlws.FILTER(JobCodeSkills!$G:$G,
    (JobCodeSkills!$B:$B=EmployeesTable[[#This Row],[Job Code]])*
    (JobCodeSkills!$K:$K="Required")
  )
)</f>
        <v>#VALUE!</v>
      </c>
      <c r="R63" s="4"/>
      <c r="S63" s="4"/>
      <c r="T63" s="4"/>
      <c r="U63" s="4"/>
      <c r="V63" s="4" t="str" cm="1">
        <f t="array" ref="V63">IF(EmployeesTable[[#This Row],[Additional Executive Role]]="","",
  _xlfn.TEXTJOIN(", ",TRUE,
    _xlfn._xlws.FILTER(ExecRoleSkills!$B:$B,
      ExecRoleSkills!$A:$A=EmployeesTable[[#This Row],[Additional Executive Role]]
    )
  )
)</f>
        <v/>
      </c>
    </row>
    <row r="64" spans="1:22" ht="30" x14ac:dyDescent="0.25">
      <c r="A64" s="19" t="s">
        <v>390</v>
      </c>
      <c r="B64" s="9">
        <v>5100</v>
      </c>
      <c r="C64" s="3" t="s">
        <v>391</v>
      </c>
      <c r="D64" s="9"/>
      <c r="E64" s="15">
        <v>39181</v>
      </c>
      <c r="F64" s="3" t="s">
        <v>392</v>
      </c>
      <c r="G64" s="3" t="s">
        <v>393</v>
      </c>
      <c r="H64" s="3" t="s">
        <v>12</v>
      </c>
      <c r="I64" s="9" t="s">
        <v>13</v>
      </c>
      <c r="J64" s="4"/>
      <c r="K64" s="4"/>
      <c r="L64" s="4"/>
      <c r="M64" s="4">
        <f>COUNTIFS(JobCodeSkills!$B:$B, EmployeesTable[[#This Row],[Succession Plan Job Code]],
          JobCodeSkills!$K:$K, "Required")</f>
        <v>0</v>
      </c>
      <c r="N64" s="4">
        <f>COUNTIFS(EmployeeSkills!$A:$A, EmployeesTable[[#This Row],[User Name]],
          EmployeeSkills!$B:$B, EmployeesTable[[#This Row],[Succession Plan Job Code]],
          EmployeeSkills!$D:$D, "Competent")</f>
        <v>0</v>
      </c>
      <c r="O64" s="4" t="str">
        <f>IF(EmployeesTable[[#This Row],[Succession Skills Ready – Required Total]]=0,"",
   EmployeesTable[[#This Row],[Succession Skills Ready – Required Met]]/EmployeesTable[[#This Row],[Succession Skills Ready – Required Total]])</f>
        <v/>
      </c>
      <c r="P64" s="4" t="str" cm="1">
        <f t="array" ref="P64">_xlfn.IFS(EmployeesTable[[#This Row],[Succession Skills Readiness %]]="","",
     EmployeesTable[[#This Row],[Succession Skills Readiness %]]&lt;0.6,"Not Ready",
     EmployeesTable[[#This Row],[Succession Skills Readiness %]]&lt;0.8,"Developing",
     TRUE,"Ready")</f>
        <v/>
      </c>
      <c r="Q64" s="4" t="e" cm="1" vm="1">
        <f t="array" ref="Q64">_xlfn.TEXTJOIN(", ",TRUE,
  _xlfn._xlws.FILTER(JobCodeSkills!$G:$G,
    (JobCodeSkills!$B:$B=EmployeesTable[[#This Row],[Job Code]])*
    (JobCodeSkills!$K:$K="Required")
  )
)</f>
        <v>#VALUE!</v>
      </c>
      <c r="R64" s="4"/>
      <c r="S64" s="4"/>
      <c r="T64" s="4"/>
      <c r="U64" s="4"/>
      <c r="V64" s="4" t="str" cm="1">
        <f t="array" ref="V64">IF(EmployeesTable[[#This Row],[Additional Executive Role]]="","",
  _xlfn.TEXTJOIN(", ",TRUE,
    _xlfn._xlws.FILTER(ExecRoleSkills!$B:$B,
      ExecRoleSkills!$A:$A=EmployeesTable[[#This Row],[Additional Executive Role]]
    )
  )
)</f>
        <v/>
      </c>
    </row>
    <row r="65" spans="1:22" ht="30" x14ac:dyDescent="0.25">
      <c r="A65" s="19" t="s">
        <v>492</v>
      </c>
      <c r="B65" s="9">
        <v>10813</v>
      </c>
      <c r="C65" s="3" t="s">
        <v>272</v>
      </c>
      <c r="D65" s="9"/>
      <c r="E65" s="15">
        <v>45573</v>
      </c>
      <c r="F65" s="3" t="s">
        <v>493</v>
      </c>
      <c r="G65" s="3" t="s">
        <v>454</v>
      </c>
      <c r="H65" s="3" t="s">
        <v>12</v>
      </c>
      <c r="I65" s="9" t="s">
        <v>13</v>
      </c>
      <c r="J65" s="4"/>
      <c r="K65" s="4"/>
      <c r="L65" s="4"/>
      <c r="M65" s="4">
        <f>COUNTIFS(JobCodeSkills!$B:$B, EmployeesTable[[#This Row],[Succession Plan Job Code]],
          JobCodeSkills!$K:$K, "Required")</f>
        <v>0</v>
      </c>
      <c r="N65" s="4">
        <f>COUNTIFS(EmployeeSkills!$A:$A, EmployeesTable[[#This Row],[User Name]],
          EmployeeSkills!$B:$B, EmployeesTable[[#This Row],[Succession Plan Job Code]],
          EmployeeSkills!$D:$D, "Competent")</f>
        <v>0</v>
      </c>
      <c r="O65" s="4" t="str">
        <f>IF(EmployeesTable[[#This Row],[Succession Skills Ready – Required Total]]=0,"",
   EmployeesTable[[#This Row],[Succession Skills Ready – Required Met]]/EmployeesTable[[#This Row],[Succession Skills Ready – Required Total]])</f>
        <v/>
      </c>
      <c r="P65" s="4" t="str" cm="1">
        <f t="array" ref="P65">_xlfn.IFS(EmployeesTable[[#This Row],[Succession Skills Readiness %]]="","",
     EmployeesTable[[#This Row],[Succession Skills Readiness %]]&lt;0.6,"Not Ready",
     EmployeesTable[[#This Row],[Succession Skills Readiness %]]&lt;0.8,"Developing",
     TRUE,"Ready")</f>
        <v/>
      </c>
      <c r="Q65" s="4" t="e" cm="1" vm="1">
        <f t="array" ref="Q65">_xlfn.TEXTJOIN(", ",TRUE,
  _xlfn._xlws.FILTER(JobCodeSkills!$G:$G,
    (JobCodeSkills!$B:$B=EmployeesTable[[#This Row],[Job Code]])*
    (JobCodeSkills!$K:$K="Required")
  )
)</f>
        <v>#VALUE!</v>
      </c>
      <c r="R65" s="4"/>
      <c r="S65" s="4"/>
      <c r="T65" s="4"/>
      <c r="U65" s="4"/>
      <c r="V65" s="4" t="str" cm="1">
        <f t="array" ref="V65">IF(EmployeesTable[[#This Row],[Additional Executive Role]]="","",
  _xlfn.TEXTJOIN(", ",TRUE,
    _xlfn._xlws.FILTER(ExecRoleSkills!$B:$B,
      ExecRoleSkills!$A:$A=EmployeesTable[[#This Row],[Additional Executive Role]]
    )
  )
)</f>
        <v/>
      </c>
    </row>
    <row r="66" spans="1:22" ht="30" x14ac:dyDescent="0.25">
      <c r="A66" s="19" t="s">
        <v>202</v>
      </c>
      <c r="B66" s="9">
        <v>10705</v>
      </c>
      <c r="C66" s="3" t="s">
        <v>136</v>
      </c>
      <c r="D66" s="9"/>
      <c r="E66" s="15">
        <v>44368</v>
      </c>
      <c r="F66" s="3" t="s">
        <v>203</v>
      </c>
      <c r="G66" s="3" t="s">
        <v>129</v>
      </c>
      <c r="H66" s="3" t="s">
        <v>12</v>
      </c>
      <c r="I66" s="10" t="s">
        <v>712</v>
      </c>
      <c r="J66" s="4"/>
      <c r="K66" s="4"/>
      <c r="L66" s="4"/>
      <c r="M66" s="4">
        <f>COUNTIFS(JobCodeSkills!$B:$B, EmployeesTable[[#This Row],[Succession Plan Job Code]],
          JobCodeSkills!$K:$K, "Required")</f>
        <v>0</v>
      </c>
      <c r="N66" s="4">
        <f>COUNTIFS(EmployeeSkills!$A:$A, EmployeesTable[[#This Row],[User Name]],
          EmployeeSkills!$B:$B, EmployeesTable[[#This Row],[Succession Plan Job Code]],
          EmployeeSkills!$D:$D, "Competent")</f>
        <v>0</v>
      </c>
      <c r="O66" s="4" t="str">
        <f>IF(EmployeesTable[[#This Row],[Succession Skills Ready – Required Total]]=0,"",
   EmployeesTable[[#This Row],[Succession Skills Ready – Required Met]]/EmployeesTable[[#This Row],[Succession Skills Ready – Required Total]])</f>
        <v/>
      </c>
      <c r="P66" s="4" t="str" cm="1">
        <f t="array" ref="P66">_xlfn.IFS(EmployeesTable[[#This Row],[Succession Skills Readiness %]]="","",
     EmployeesTable[[#This Row],[Succession Skills Readiness %]]&lt;0.6,"Not Ready",
     EmployeesTable[[#This Row],[Succession Skills Readiness %]]&lt;0.8,"Developing",
     TRUE,"Ready")</f>
        <v/>
      </c>
      <c r="Q66" s="4" t="e" cm="1" vm="1">
        <f t="array" ref="Q66">_xlfn.TEXTJOIN(", ",TRUE,
  _xlfn._xlws.FILTER(JobCodeSkills!$G:$G,
    (JobCodeSkills!$B:$B=EmployeesTable[[#This Row],[Job Code]])*
    (JobCodeSkills!$K:$K="Required")
  )
)</f>
        <v>#VALUE!</v>
      </c>
      <c r="R66" s="4"/>
      <c r="S66" s="4"/>
      <c r="T66" s="4"/>
      <c r="U66" s="4"/>
      <c r="V66" s="4" t="str" cm="1">
        <f t="array" ref="V66">IF(EmployeesTable[[#This Row],[Additional Executive Role]]="","",
  _xlfn.TEXTJOIN(", ",TRUE,
    _xlfn._xlws.FILTER(ExecRoleSkills!$B:$B,
      ExecRoleSkills!$A:$A=EmployeesTable[[#This Row],[Additional Executive Role]]
    )
  )
)</f>
        <v/>
      </c>
    </row>
    <row r="67" spans="1:22" ht="45" x14ac:dyDescent="0.25">
      <c r="A67" s="19" t="s">
        <v>406</v>
      </c>
      <c r="B67" s="9">
        <v>1101</v>
      </c>
      <c r="C67" s="3" t="s">
        <v>403</v>
      </c>
      <c r="D67" s="9" t="s">
        <v>719</v>
      </c>
      <c r="E67" s="15">
        <v>36003</v>
      </c>
      <c r="F67" s="3" t="s">
        <v>407</v>
      </c>
      <c r="G67" s="3" t="s">
        <v>405</v>
      </c>
      <c r="H67" s="3" t="s">
        <v>12</v>
      </c>
      <c r="I67" s="9" t="s">
        <v>711</v>
      </c>
      <c r="J67" s="4"/>
      <c r="K67" s="4"/>
      <c r="L67" s="4"/>
      <c r="M67" s="4">
        <f>COUNTIFS(JobCodeSkills!$B:$B, EmployeesTable[[#This Row],[Succession Plan Job Code]],
          JobCodeSkills!$K:$K, "Required")</f>
        <v>0</v>
      </c>
      <c r="N67" s="4">
        <f>COUNTIFS(EmployeeSkills!$A:$A, EmployeesTable[[#This Row],[User Name]],
          EmployeeSkills!$B:$B, EmployeesTable[[#This Row],[Succession Plan Job Code]],
          EmployeeSkills!$D:$D, "Competent")</f>
        <v>0</v>
      </c>
      <c r="O67" s="4" t="str">
        <f>IF(EmployeesTable[[#This Row],[Succession Skills Ready – Required Total]]=0,"",
   EmployeesTable[[#This Row],[Succession Skills Ready – Required Met]]/EmployeesTable[[#This Row],[Succession Skills Ready – Required Total]])</f>
        <v/>
      </c>
      <c r="P67" s="4" t="str" cm="1">
        <f t="array" ref="P67">_xlfn.IFS(EmployeesTable[[#This Row],[Succession Skills Readiness %]]="","",
     EmployeesTable[[#This Row],[Succession Skills Readiness %]]&lt;0.6,"Not Ready",
     EmployeesTable[[#This Row],[Succession Skills Readiness %]]&lt;0.8,"Developing",
     TRUE,"Ready")</f>
        <v/>
      </c>
      <c r="Q67" s="4" t="e" cm="1" vm="1">
        <f t="array" ref="Q67">_xlfn.TEXTJOIN(", ",TRUE,
  _xlfn._xlws.FILTER(JobCodeSkills!$G:$G,
    (JobCodeSkills!$B:$B=EmployeesTable[[#This Row],[Job Code]])*
    (JobCodeSkills!$K:$K="Required")
  )
)</f>
        <v>#VALUE!</v>
      </c>
      <c r="R67" s="4"/>
      <c r="S67" s="4"/>
      <c r="T67" s="4"/>
      <c r="U67" s="4"/>
      <c r="V67" s="4" t="e" cm="1" vm="1">
        <f t="array" ref="V67">IF(EmployeesTable[[#This Row],[Additional Executive Role]]="","",
  _xlfn.TEXTJOIN(", ",TRUE,
    _xlfn._xlws.FILTER(ExecRoleSkills!$B:$B,
      ExecRoleSkills!$A:$A=EmployeesTable[[#This Row],[Additional Executive Role]]
    )
  )
)</f>
        <v>#VALUE!</v>
      </c>
    </row>
    <row r="68" spans="1:22" ht="30" x14ac:dyDescent="0.25">
      <c r="A68" s="19" t="s">
        <v>494</v>
      </c>
      <c r="B68" s="9">
        <v>20203</v>
      </c>
      <c r="C68" s="3" t="s">
        <v>219</v>
      </c>
      <c r="D68" s="9"/>
      <c r="E68" s="15">
        <v>43700</v>
      </c>
      <c r="F68" s="3" t="s">
        <v>495</v>
      </c>
      <c r="G68" s="3" t="s">
        <v>454</v>
      </c>
      <c r="H68" s="3" t="s">
        <v>12</v>
      </c>
      <c r="I68" s="9" t="s">
        <v>13</v>
      </c>
      <c r="J68" s="4"/>
      <c r="K68" s="4"/>
      <c r="L68" s="4"/>
      <c r="M68" s="4">
        <f>COUNTIFS(JobCodeSkills!$B:$B, EmployeesTable[[#This Row],[Succession Plan Job Code]],
          JobCodeSkills!$K:$K, "Required")</f>
        <v>0</v>
      </c>
      <c r="N68" s="4">
        <f>COUNTIFS(EmployeeSkills!$A:$A, EmployeesTable[[#This Row],[User Name]],
          EmployeeSkills!$B:$B, EmployeesTable[[#This Row],[Succession Plan Job Code]],
          EmployeeSkills!$D:$D, "Competent")</f>
        <v>0</v>
      </c>
      <c r="O68" s="4" t="str">
        <f>IF(EmployeesTable[[#This Row],[Succession Skills Ready – Required Total]]=0,"",
   EmployeesTable[[#This Row],[Succession Skills Ready – Required Met]]/EmployeesTable[[#This Row],[Succession Skills Ready – Required Total]])</f>
        <v/>
      </c>
      <c r="P68" s="4" t="str" cm="1">
        <f t="array" ref="P68">_xlfn.IFS(EmployeesTable[[#This Row],[Succession Skills Readiness %]]="","",
     EmployeesTable[[#This Row],[Succession Skills Readiness %]]&lt;0.6,"Not Ready",
     EmployeesTable[[#This Row],[Succession Skills Readiness %]]&lt;0.8,"Developing",
     TRUE,"Ready")</f>
        <v/>
      </c>
      <c r="Q68" s="4" t="e" cm="1" vm="1">
        <f t="array" ref="Q68">_xlfn.TEXTJOIN(", ",TRUE,
  _xlfn._xlws.FILTER(JobCodeSkills!$G:$G,
    (JobCodeSkills!$B:$B=EmployeesTable[[#This Row],[Job Code]])*
    (JobCodeSkills!$K:$K="Required")
  )
)</f>
        <v>#VALUE!</v>
      </c>
      <c r="R68" s="4"/>
      <c r="S68" s="4"/>
      <c r="T68" s="4"/>
      <c r="U68" s="4"/>
      <c r="V68" s="4" t="str" cm="1">
        <f t="array" ref="V68">IF(EmployeesTable[[#This Row],[Additional Executive Role]]="","",
  _xlfn.TEXTJOIN(", ",TRUE,
    _xlfn._xlws.FILTER(ExecRoleSkills!$B:$B,
      ExecRoleSkills!$A:$A=EmployeesTable[[#This Row],[Additional Executive Role]]
    )
  )
)</f>
        <v/>
      </c>
    </row>
    <row r="69" spans="1:22" ht="30" x14ac:dyDescent="0.25">
      <c r="A69" s="19" t="s">
        <v>496</v>
      </c>
      <c r="B69" s="9">
        <v>10814</v>
      </c>
      <c r="C69" s="3" t="s">
        <v>167</v>
      </c>
      <c r="D69" s="9"/>
      <c r="E69" s="15">
        <v>44665</v>
      </c>
      <c r="F69" s="3" t="s">
        <v>497</v>
      </c>
      <c r="G69" s="3" t="s">
        <v>454</v>
      </c>
      <c r="H69" s="3" t="s">
        <v>12</v>
      </c>
      <c r="I69" s="9" t="s">
        <v>13</v>
      </c>
      <c r="J69" s="4"/>
      <c r="K69" s="4"/>
      <c r="L69" s="4"/>
      <c r="M69" s="4">
        <f>COUNTIFS(JobCodeSkills!$B:$B, EmployeesTable[[#This Row],[Succession Plan Job Code]],
          JobCodeSkills!$K:$K, "Required")</f>
        <v>0</v>
      </c>
      <c r="N69" s="4">
        <f>COUNTIFS(EmployeeSkills!$A:$A, EmployeesTable[[#This Row],[User Name]],
          EmployeeSkills!$B:$B, EmployeesTable[[#This Row],[Succession Plan Job Code]],
          EmployeeSkills!$D:$D, "Competent")</f>
        <v>0</v>
      </c>
      <c r="O69" s="4" t="str">
        <f>IF(EmployeesTable[[#This Row],[Succession Skills Ready – Required Total]]=0,"",
   EmployeesTable[[#This Row],[Succession Skills Ready – Required Met]]/EmployeesTable[[#This Row],[Succession Skills Ready – Required Total]])</f>
        <v/>
      </c>
      <c r="P69" s="4" t="str" cm="1">
        <f t="array" ref="P69">_xlfn.IFS(EmployeesTable[[#This Row],[Succession Skills Readiness %]]="","",
     EmployeesTable[[#This Row],[Succession Skills Readiness %]]&lt;0.6,"Not Ready",
     EmployeesTable[[#This Row],[Succession Skills Readiness %]]&lt;0.8,"Developing",
     TRUE,"Ready")</f>
        <v/>
      </c>
      <c r="Q69" s="4" t="e" cm="1" vm="1">
        <f t="array" ref="Q69">_xlfn.TEXTJOIN(", ",TRUE,
  _xlfn._xlws.FILTER(JobCodeSkills!$G:$G,
    (JobCodeSkills!$B:$B=EmployeesTable[[#This Row],[Job Code]])*
    (JobCodeSkills!$K:$K="Required")
  )
)</f>
        <v>#VALUE!</v>
      </c>
      <c r="R69" s="4"/>
      <c r="S69" s="4"/>
      <c r="T69" s="4"/>
      <c r="U69" s="4"/>
      <c r="V69" s="4" t="str" cm="1">
        <f t="array" ref="V69">IF(EmployeesTable[[#This Row],[Additional Executive Role]]="","",
  _xlfn.TEXTJOIN(", ",TRUE,
    _xlfn._xlws.FILTER(ExecRoleSkills!$B:$B,
      ExecRoleSkills!$A:$A=EmployeesTable[[#This Row],[Additional Executive Role]]
    )
  )
)</f>
        <v/>
      </c>
    </row>
    <row r="70" spans="1:22" ht="30" x14ac:dyDescent="0.25">
      <c r="A70" s="19" t="s">
        <v>204</v>
      </c>
      <c r="B70" s="9">
        <v>10705</v>
      </c>
      <c r="C70" s="3" t="s">
        <v>136</v>
      </c>
      <c r="D70" s="9"/>
      <c r="E70" s="15">
        <v>45461</v>
      </c>
      <c r="F70" s="3" t="s">
        <v>205</v>
      </c>
      <c r="G70" s="3" t="s">
        <v>129</v>
      </c>
      <c r="H70" s="3" t="s">
        <v>12</v>
      </c>
      <c r="I70" s="10" t="s">
        <v>712</v>
      </c>
      <c r="J70" s="4"/>
      <c r="K70" s="4"/>
      <c r="L70" s="4"/>
      <c r="M70" s="4">
        <f>COUNTIFS(JobCodeSkills!$B:$B, EmployeesTable[[#This Row],[Succession Plan Job Code]],
          JobCodeSkills!$K:$K, "Required")</f>
        <v>0</v>
      </c>
      <c r="N70" s="4">
        <f>COUNTIFS(EmployeeSkills!$A:$A, EmployeesTable[[#This Row],[User Name]],
          EmployeeSkills!$B:$B, EmployeesTable[[#This Row],[Succession Plan Job Code]],
          EmployeeSkills!$D:$D, "Competent")</f>
        <v>0</v>
      </c>
      <c r="O70" s="4" t="str">
        <f>IF(EmployeesTable[[#This Row],[Succession Skills Ready – Required Total]]=0,"",
   EmployeesTable[[#This Row],[Succession Skills Ready – Required Met]]/EmployeesTable[[#This Row],[Succession Skills Ready – Required Total]])</f>
        <v/>
      </c>
      <c r="P70" s="4" t="str" cm="1">
        <f t="array" ref="P70">_xlfn.IFS(EmployeesTable[[#This Row],[Succession Skills Readiness %]]="","",
     EmployeesTable[[#This Row],[Succession Skills Readiness %]]&lt;0.6,"Not Ready",
     EmployeesTable[[#This Row],[Succession Skills Readiness %]]&lt;0.8,"Developing",
     TRUE,"Ready")</f>
        <v/>
      </c>
      <c r="Q70" s="4" t="e" cm="1" vm="1">
        <f t="array" ref="Q70">_xlfn.TEXTJOIN(", ",TRUE,
  _xlfn._xlws.FILTER(JobCodeSkills!$G:$G,
    (JobCodeSkills!$B:$B=EmployeesTable[[#This Row],[Job Code]])*
    (JobCodeSkills!$K:$K="Required")
  )
)</f>
        <v>#VALUE!</v>
      </c>
      <c r="R70" s="4"/>
      <c r="S70" s="4"/>
      <c r="T70" s="4"/>
      <c r="U70" s="4"/>
      <c r="V70" s="4" t="str" cm="1">
        <f t="array" ref="V70">IF(EmployeesTable[[#This Row],[Additional Executive Role]]="","",
  _xlfn.TEXTJOIN(", ",TRUE,
    _xlfn._xlws.FILTER(ExecRoleSkills!$B:$B,
      ExecRoleSkills!$A:$A=EmployeesTable[[#This Row],[Additional Executive Role]]
    )
  )
)</f>
        <v/>
      </c>
    </row>
    <row r="71" spans="1:22" ht="30" x14ac:dyDescent="0.25">
      <c r="A71" s="19" t="s">
        <v>206</v>
      </c>
      <c r="B71" s="9">
        <v>10803</v>
      </c>
      <c r="C71" s="3" t="s">
        <v>133</v>
      </c>
      <c r="D71" s="9"/>
      <c r="E71" s="15">
        <v>45300</v>
      </c>
      <c r="F71" s="3" t="s">
        <v>207</v>
      </c>
      <c r="G71" s="3" t="s">
        <v>129</v>
      </c>
      <c r="H71" s="3" t="s">
        <v>12</v>
      </c>
      <c r="I71" s="10" t="s">
        <v>712</v>
      </c>
      <c r="J71" s="4"/>
      <c r="K71" s="4"/>
      <c r="L71" s="4"/>
      <c r="M71" s="4">
        <f>COUNTIFS(JobCodeSkills!$B:$B, EmployeesTable[[#This Row],[Succession Plan Job Code]],
          JobCodeSkills!$K:$K, "Required")</f>
        <v>0</v>
      </c>
      <c r="N71" s="4">
        <f>COUNTIFS(EmployeeSkills!$A:$A, EmployeesTable[[#This Row],[User Name]],
          EmployeeSkills!$B:$B, EmployeesTable[[#This Row],[Succession Plan Job Code]],
          EmployeeSkills!$D:$D, "Competent")</f>
        <v>0</v>
      </c>
      <c r="O71" s="4" t="str">
        <f>IF(EmployeesTable[[#This Row],[Succession Skills Ready – Required Total]]=0,"",
   EmployeesTable[[#This Row],[Succession Skills Ready – Required Met]]/EmployeesTable[[#This Row],[Succession Skills Ready – Required Total]])</f>
        <v/>
      </c>
      <c r="P71" s="4" t="str" cm="1">
        <f t="array" ref="P71">_xlfn.IFS(EmployeesTable[[#This Row],[Succession Skills Readiness %]]="","",
     EmployeesTable[[#This Row],[Succession Skills Readiness %]]&lt;0.6,"Not Ready",
     EmployeesTable[[#This Row],[Succession Skills Readiness %]]&lt;0.8,"Developing",
     TRUE,"Ready")</f>
        <v/>
      </c>
      <c r="Q71" s="4" t="e" cm="1" vm="1">
        <f t="array" ref="Q71">_xlfn.TEXTJOIN(", ",TRUE,
  _xlfn._xlws.FILTER(JobCodeSkills!$G:$G,
    (JobCodeSkills!$B:$B=EmployeesTable[[#This Row],[Job Code]])*
    (JobCodeSkills!$K:$K="Required")
  )
)</f>
        <v>#VALUE!</v>
      </c>
      <c r="R71" s="4"/>
      <c r="S71" s="4"/>
      <c r="T71" s="4"/>
      <c r="U71" s="4"/>
      <c r="V71" s="4" t="str" cm="1">
        <f t="array" ref="V71">IF(EmployeesTable[[#This Row],[Additional Executive Role]]="","",
  _xlfn.TEXTJOIN(", ",TRUE,
    _xlfn._xlws.FILTER(ExecRoleSkills!$B:$B,
      ExecRoleSkills!$A:$A=EmployeesTable[[#This Row],[Additional Executive Role]]
    )
  )
)</f>
        <v/>
      </c>
    </row>
    <row r="72" spans="1:22" ht="30" x14ac:dyDescent="0.25">
      <c r="A72" s="19" t="s">
        <v>100</v>
      </c>
      <c r="B72" s="9">
        <v>30503</v>
      </c>
      <c r="C72" s="3" t="s">
        <v>101</v>
      </c>
      <c r="D72" s="9"/>
      <c r="E72" s="15">
        <v>45377</v>
      </c>
      <c r="F72" s="3" t="s">
        <v>102</v>
      </c>
      <c r="G72" s="3" t="s">
        <v>103</v>
      </c>
      <c r="H72" s="3" t="s">
        <v>12</v>
      </c>
      <c r="I72" s="10" t="s">
        <v>712</v>
      </c>
      <c r="J72" s="4"/>
      <c r="K72" s="4"/>
      <c r="L72" s="4"/>
      <c r="M72" s="4">
        <f>COUNTIFS(JobCodeSkills!$B:$B, EmployeesTable[[#This Row],[Succession Plan Job Code]],
          JobCodeSkills!$K:$K, "Required")</f>
        <v>0</v>
      </c>
      <c r="N72" s="4">
        <f>COUNTIFS(EmployeeSkills!$A:$A, EmployeesTable[[#This Row],[User Name]],
          EmployeeSkills!$B:$B, EmployeesTable[[#This Row],[Succession Plan Job Code]],
          EmployeeSkills!$D:$D, "Competent")</f>
        <v>0</v>
      </c>
      <c r="O72" s="4" t="str">
        <f>IF(EmployeesTable[[#This Row],[Succession Skills Ready – Required Total]]=0,"",
   EmployeesTable[[#This Row],[Succession Skills Ready – Required Met]]/EmployeesTable[[#This Row],[Succession Skills Ready – Required Total]])</f>
        <v/>
      </c>
      <c r="P72" s="4" t="str" cm="1">
        <f t="array" ref="P72">_xlfn.IFS(EmployeesTable[[#This Row],[Succession Skills Readiness %]]="","",
     EmployeesTable[[#This Row],[Succession Skills Readiness %]]&lt;0.6,"Not Ready",
     EmployeesTable[[#This Row],[Succession Skills Readiness %]]&lt;0.8,"Developing",
     TRUE,"Ready")</f>
        <v/>
      </c>
      <c r="Q72" s="4" t="e" cm="1" vm="1">
        <f t="array" ref="Q72">_xlfn.TEXTJOIN(", ",TRUE,
  _xlfn._xlws.FILTER(JobCodeSkills!$G:$G,
    (JobCodeSkills!$B:$B=EmployeesTable[[#This Row],[Job Code]])*
    (JobCodeSkills!$K:$K="Required")
  )
)</f>
        <v>#VALUE!</v>
      </c>
      <c r="R72" s="4"/>
      <c r="S72" s="4"/>
      <c r="T72" s="4"/>
      <c r="U72" s="4"/>
      <c r="V72" s="4" t="str" cm="1">
        <f t="array" ref="V72">IF(EmployeesTable[[#This Row],[Additional Executive Role]]="","",
  _xlfn.TEXTJOIN(", ",TRUE,
    _xlfn._xlws.FILTER(ExecRoleSkills!$B:$B,
      ExecRoleSkills!$A:$A=EmployeesTable[[#This Row],[Additional Executive Role]]
    )
  )
)</f>
        <v/>
      </c>
    </row>
    <row r="73" spans="1:22" ht="30" x14ac:dyDescent="0.25">
      <c r="A73" s="19" t="s">
        <v>59</v>
      </c>
      <c r="B73" s="9">
        <v>10905</v>
      </c>
      <c r="C73" s="3" t="s">
        <v>60</v>
      </c>
      <c r="D73" s="9"/>
      <c r="E73" s="15">
        <v>44480</v>
      </c>
      <c r="F73" s="3" t="s">
        <v>61</v>
      </c>
      <c r="G73" s="3" t="s">
        <v>62</v>
      </c>
      <c r="H73" s="3" t="s">
        <v>12</v>
      </c>
      <c r="I73" s="10" t="s">
        <v>712</v>
      </c>
      <c r="J73" s="4"/>
      <c r="K73" s="4"/>
      <c r="L73" s="4"/>
      <c r="M73" s="4">
        <f>COUNTIFS(JobCodeSkills!$B:$B, EmployeesTable[[#This Row],[Succession Plan Job Code]],
          JobCodeSkills!$K:$K, "Required")</f>
        <v>0</v>
      </c>
      <c r="N73" s="4">
        <f>COUNTIFS(EmployeeSkills!$A:$A, EmployeesTable[[#This Row],[User Name]],
          EmployeeSkills!$B:$B, EmployeesTable[[#This Row],[Succession Plan Job Code]],
          EmployeeSkills!$D:$D, "Competent")</f>
        <v>0</v>
      </c>
      <c r="O73" s="4" t="str">
        <f>IF(EmployeesTable[[#This Row],[Succession Skills Ready – Required Total]]=0,"",
   EmployeesTable[[#This Row],[Succession Skills Ready – Required Met]]/EmployeesTable[[#This Row],[Succession Skills Ready – Required Total]])</f>
        <v/>
      </c>
      <c r="P73" s="4" t="str" cm="1">
        <f t="array" ref="P73">_xlfn.IFS(EmployeesTable[[#This Row],[Succession Skills Readiness %]]="","",
     EmployeesTable[[#This Row],[Succession Skills Readiness %]]&lt;0.6,"Not Ready",
     EmployeesTable[[#This Row],[Succession Skills Readiness %]]&lt;0.8,"Developing",
     TRUE,"Ready")</f>
        <v/>
      </c>
      <c r="Q73" s="4" t="e" cm="1" vm="1">
        <f t="array" ref="Q73">_xlfn.TEXTJOIN(", ",TRUE,
  _xlfn._xlws.FILTER(JobCodeSkills!$G:$G,
    (JobCodeSkills!$B:$B=EmployeesTable[[#This Row],[Job Code]])*
    (JobCodeSkills!$K:$K="Required")
  )
)</f>
        <v>#VALUE!</v>
      </c>
      <c r="R73" s="4"/>
      <c r="S73" s="4"/>
      <c r="T73" s="4"/>
      <c r="U73" s="4"/>
      <c r="V73" s="4" t="str" cm="1">
        <f t="array" ref="V73">IF(EmployeesTable[[#This Row],[Additional Executive Role]]="","",
  _xlfn.TEXTJOIN(", ",TRUE,
    _xlfn._xlws.FILTER(ExecRoleSkills!$B:$B,
      ExecRoleSkills!$A:$A=EmployeesTable[[#This Row],[Additional Executive Role]]
    )
  )
)</f>
        <v/>
      </c>
    </row>
    <row r="74" spans="1:22" ht="30" x14ac:dyDescent="0.25">
      <c r="A74" s="19" t="s">
        <v>208</v>
      </c>
      <c r="B74" s="9">
        <v>10705</v>
      </c>
      <c r="C74" s="3" t="s">
        <v>136</v>
      </c>
      <c r="D74" s="9"/>
      <c r="E74" s="15">
        <v>44956</v>
      </c>
      <c r="F74" s="3" t="s">
        <v>209</v>
      </c>
      <c r="G74" s="3" t="s">
        <v>129</v>
      </c>
      <c r="H74" s="3" t="s">
        <v>12</v>
      </c>
      <c r="I74" s="10" t="s">
        <v>712</v>
      </c>
      <c r="J74" s="4"/>
      <c r="K74" s="4"/>
      <c r="L74" s="4"/>
      <c r="M74" s="4">
        <f>COUNTIFS(JobCodeSkills!$B:$B, EmployeesTable[[#This Row],[Succession Plan Job Code]],
          JobCodeSkills!$K:$K, "Required")</f>
        <v>0</v>
      </c>
      <c r="N74" s="4">
        <f>COUNTIFS(EmployeeSkills!$A:$A, EmployeesTable[[#This Row],[User Name]],
          EmployeeSkills!$B:$B, EmployeesTable[[#This Row],[Succession Plan Job Code]],
          EmployeeSkills!$D:$D, "Competent")</f>
        <v>0</v>
      </c>
      <c r="O74" s="4" t="str">
        <f>IF(EmployeesTable[[#This Row],[Succession Skills Ready – Required Total]]=0,"",
   EmployeesTable[[#This Row],[Succession Skills Ready – Required Met]]/EmployeesTable[[#This Row],[Succession Skills Ready – Required Total]])</f>
        <v/>
      </c>
      <c r="P74" s="4" t="str" cm="1">
        <f t="array" ref="P74">_xlfn.IFS(EmployeesTable[[#This Row],[Succession Skills Readiness %]]="","",
     EmployeesTable[[#This Row],[Succession Skills Readiness %]]&lt;0.6,"Not Ready",
     EmployeesTable[[#This Row],[Succession Skills Readiness %]]&lt;0.8,"Developing",
     TRUE,"Ready")</f>
        <v/>
      </c>
      <c r="Q74" s="4" t="e" cm="1" vm="1">
        <f t="array" ref="Q74">_xlfn.TEXTJOIN(", ",TRUE,
  _xlfn._xlws.FILTER(JobCodeSkills!$G:$G,
    (JobCodeSkills!$B:$B=EmployeesTable[[#This Row],[Job Code]])*
    (JobCodeSkills!$K:$K="Required")
  )
)</f>
        <v>#VALUE!</v>
      </c>
      <c r="R74" s="4"/>
      <c r="S74" s="4"/>
      <c r="T74" s="4"/>
      <c r="U74" s="4"/>
      <c r="V74" s="4" t="str" cm="1">
        <f t="array" ref="V74">IF(EmployeesTable[[#This Row],[Additional Executive Role]]="","",
  _xlfn.TEXTJOIN(", ",TRUE,
    _xlfn._xlws.FILTER(ExecRoleSkills!$B:$B,
      ExecRoleSkills!$A:$A=EmployeesTable[[#This Row],[Additional Executive Role]]
    )
  )
)</f>
        <v/>
      </c>
    </row>
    <row r="75" spans="1:22" ht="30" x14ac:dyDescent="0.25">
      <c r="A75" s="19" t="s">
        <v>210</v>
      </c>
      <c r="B75" s="9">
        <v>10705</v>
      </c>
      <c r="C75" s="3" t="s">
        <v>136</v>
      </c>
      <c r="D75" s="9"/>
      <c r="E75" s="15">
        <v>45461</v>
      </c>
      <c r="F75" s="3" t="s">
        <v>211</v>
      </c>
      <c r="G75" s="3" t="s">
        <v>129</v>
      </c>
      <c r="H75" s="3" t="s">
        <v>12</v>
      </c>
      <c r="I75" s="10" t="s">
        <v>712</v>
      </c>
      <c r="J75" s="4"/>
      <c r="K75" s="4"/>
      <c r="L75" s="4"/>
      <c r="M75" s="4">
        <f>COUNTIFS(JobCodeSkills!$B:$B, EmployeesTable[[#This Row],[Succession Plan Job Code]],
          JobCodeSkills!$K:$K, "Required")</f>
        <v>0</v>
      </c>
      <c r="N75" s="4">
        <f>COUNTIFS(EmployeeSkills!$A:$A, EmployeesTable[[#This Row],[User Name]],
          EmployeeSkills!$B:$B, EmployeesTable[[#This Row],[Succession Plan Job Code]],
          EmployeeSkills!$D:$D, "Competent")</f>
        <v>0</v>
      </c>
      <c r="O75" s="4" t="str">
        <f>IF(EmployeesTable[[#This Row],[Succession Skills Ready – Required Total]]=0,"",
   EmployeesTable[[#This Row],[Succession Skills Ready – Required Met]]/EmployeesTable[[#This Row],[Succession Skills Ready – Required Total]])</f>
        <v/>
      </c>
      <c r="P75" s="4" t="str" cm="1">
        <f t="array" ref="P75">_xlfn.IFS(EmployeesTable[[#This Row],[Succession Skills Readiness %]]="","",
     EmployeesTable[[#This Row],[Succession Skills Readiness %]]&lt;0.6,"Not Ready",
     EmployeesTable[[#This Row],[Succession Skills Readiness %]]&lt;0.8,"Developing",
     TRUE,"Ready")</f>
        <v/>
      </c>
      <c r="Q75" s="4" t="e" cm="1" vm="1">
        <f t="array" ref="Q75">_xlfn.TEXTJOIN(", ",TRUE,
  _xlfn._xlws.FILTER(JobCodeSkills!$G:$G,
    (JobCodeSkills!$B:$B=EmployeesTable[[#This Row],[Job Code]])*
    (JobCodeSkills!$K:$K="Required")
  )
)</f>
        <v>#VALUE!</v>
      </c>
      <c r="R75" s="4"/>
      <c r="S75" s="4"/>
      <c r="T75" s="4"/>
      <c r="U75" s="4"/>
      <c r="V75" s="4" t="str" cm="1">
        <f t="array" ref="V75">IF(EmployeesTable[[#This Row],[Additional Executive Role]]="","",
  _xlfn.TEXTJOIN(", ",TRUE,
    _xlfn._xlws.FILTER(ExecRoleSkills!$B:$B,
      ExecRoleSkills!$A:$A=EmployeesTable[[#This Row],[Additional Executive Role]]
    )
  )
)</f>
        <v/>
      </c>
    </row>
    <row r="76" spans="1:22" ht="30" x14ac:dyDescent="0.25">
      <c r="A76" s="19" t="s">
        <v>498</v>
      </c>
      <c r="B76" s="9">
        <v>10401</v>
      </c>
      <c r="C76" s="3" t="s">
        <v>184</v>
      </c>
      <c r="D76" s="9"/>
      <c r="E76" s="15">
        <v>44670</v>
      </c>
      <c r="F76" s="3" t="s">
        <v>499</v>
      </c>
      <c r="G76" s="3" t="s">
        <v>454</v>
      </c>
      <c r="H76" s="3" t="s">
        <v>12</v>
      </c>
      <c r="I76" s="9" t="s">
        <v>13</v>
      </c>
      <c r="J76" s="4"/>
      <c r="K76" s="4"/>
      <c r="L76" s="4"/>
      <c r="M76" s="4">
        <f>COUNTIFS(JobCodeSkills!$B:$B, EmployeesTable[[#This Row],[Succession Plan Job Code]],
          JobCodeSkills!$K:$K, "Required")</f>
        <v>0</v>
      </c>
      <c r="N76" s="4">
        <f>COUNTIFS(EmployeeSkills!$A:$A, EmployeesTable[[#This Row],[User Name]],
          EmployeeSkills!$B:$B, EmployeesTable[[#This Row],[Succession Plan Job Code]],
          EmployeeSkills!$D:$D, "Competent")</f>
        <v>0</v>
      </c>
      <c r="O76" s="4" t="str">
        <f>IF(EmployeesTable[[#This Row],[Succession Skills Ready – Required Total]]=0,"",
   EmployeesTable[[#This Row],[Succession Skills Ready – Required Met]]/EmployeesTable[[#This Row],[Succession Skills Ready – Required Total]])</f>
        <v/>
      </c>
      <c r="P76" s="4" t="str" cm="1">
        <f t="array" ref="P76">_xlfn.IFS(EmployeesTable[[#This Row],[Succession Skills Readiness %]]="","",
     EmployeesTable[[#This Row],[Succession Skills Readiness %]]&lt;0.6,"Not Ready",
     EmployeesTable[[#This Row],[Succession Skills Readiness %]]&lt;0.8,"Developing",
     TRUE,"Ready")</f>
        <v/>
      </c>
      <c r="Q76" s="4" t="e" cm="1" vm="1">
        <f t="array" ref="Q76">_xlfn.TEXTJOIN(", ",TRUE,
  _xlfn._xlws.FILTER(JobCodeSkills!$G:$G,
    (JobCodeSkills!$B:$B=EmployeesTable[[#This Row],[Job Code]])*
    (JobCodeSkills!$K:$K="Required")
  )
)</f>
        <v>#VALUE!</v>
      </c>
      <c r="R76" s="4"/>
      <c r="S76" s="4"/>
      <c r="T76" s="4"/>
      <c r="U76" s="4"/>
      <c r="V76" s="4" t="str" cm="1">
        <f t="array" ref="V76">IF(EmployeesTable[[#This Row],[Additional Executive Role]]="","",
  _xlfn.TEXTJOIN(", ",TRUE,
    _xlfn._xlws.FILTER(ExecRoleSkills!$B:$B,
      ExecRoleSkills!$A:$A=EmployeesTable[[#This Row],[Additional Executive Role]]
    )
  )
)</f>
        <v/>
      </c>
    </row>
    <row r="77" spans="1:22" ht="30" x14ac:dyDescent="0.25">
      <c r="A77" s="19" t="s">
        <v>394</v>
      </c>
      <c r="B77" s="9">
        <v>1135</v>
      </c>
      <c r="C77" s="3" t="s">
        <v>395</v>
      </c>
      <c r="D77" s="9"/>
      <c r="E77" s="15">
        <v>44400</v>
      </c>
      <c r="F77" s="3" t="s">
        <v>396</v>
      </c>
      <c r="G77" s="3" t="s">
        <v>393</v>
      </c>
      <c r="H77" s="3" t="s">
        <v>12</v>
      </c>
      <c r="I77" s="9" t="s">
        <v>13</v>
      </c>
      <c r="J77" s="4"/>
      <c r="K77" s="4"/>
      <c r="L77" s="4"/>
      <c r="M77" s="4">
        <f>COUNTIFS(JobCodeSkills!$B:$B, EmployeesTable[[#This Row],[Succession Plan Job Code]],
          JobCodeSkills!$K:$K, "Required")</f>
        <v>0</v>
      </c>
      <c r="N77" s="4">
        <f>COUNTIFS(EmployeeSkills!$A:$A, EmployeesTable[[#This Row],[User Name]],
          EmployeeSkills!$B:$B, EmployeesTable[[#This Row],[Succession Plan Job Code]],
          EmployeeSkills!$D:$D, "Competent")</f>
        <v>0</v>
      </c>
      <c r="O77" s="4" t="str">
        <f>IF(EmployeesTable[[#This Row],[Succession Skills Ready – Required Total]]=0,"",
   EmployeesTable[[#This Row],[Succession Skills Ready – Required Met]]/EmployeesTable[[#This Row],[Succession Skills Ready – Required Total]])</f>
        <v/>
      </c>
      <c r="P77" s="4" t="str" cm="1">
        <f t="array" ref="P77">_xlfn.IFS(EmployeesTable[[#This Row],[Succession Skills Readiness %]]="","",
     EmployeesTable[[#This Row],[Succession Skills Readiness %]]&lt;0.6,"Not Ready",
     EmployeesTable[[#This Row],[Succession Skills Readiness %]]&lt;0.8,"Developing",
     TRUE,"Ready")</f>
        <v/>
      </c>
      <c r="Q77" s="4" t="e" cm="1" vm="1">
        <f t="array" ref="Q77">_xlfn.TEXTJOIN(", ",TRUE,
  _xlfn._xlws.FILTER(JobCodeSkills!$G:$G,
    (JobCodeSkills!$B:$B=EmployeesTable[[#This Row],[Job Code]])*
    (JobCodeSkills!$K:$K="Required")
  )
)</f>
        <v>#VALUE!</v>
      </c>
      <c r="R77" s="4"/>
      <c r="S77" s="4"/>
      <c r="T77" s="4"/>
      <c r="U77" s="4"/>
      <c r="V77" s="4" t="str" cm="1">
        <f t="array" ref="V77">IF(EmployeesTable[[#This Row],[Additional Executive Role]]="","",
  _xlfn.TEXTJOIN(", ",TRUE,
    _xlfn._xlws.FILTER(ExecRoleSkills!$B:$B,
      ExecRoleSkills!$A:$A=EmployeesTable[[#This Row],[Additional Executive Role]]
    )
  )
)</f>
        <v/>
      </c>
    </row>
    <row r="78" spans="1:22" ht="30" x14ac:dyDescent="0.25">
      <c r="A78" s="19" t="s">
        <v>442</v>
      </c>
      <c r="B78" s="9">
        <v>40101</v>
      </c>
      <c r="C78" s="3" t="s">
        <v>15</v>
      </c>
      <c r="D78" s="9"/>
      <c r="E78" s="15">
        <v>42426</v>
      </c>
      <c r="F78" s="3" t="s">
        <v>443</v>
      </c>
      <c r="G78" s="3" t="s">
        <v>441</v>
      </c>
      <c r="H78" s="3" t="s">
        <v>12</v>
      </c>
      <c r="I78" s="9" t="s">
        <v>13</v>
      </c>
      <c r="J78" s="4"/>
      <c r="K78" s="4"/>
      <c r="L78" s="4"/>
      <c r="M78" s="4">
        <f>COUNTIFS(JobCodeSkills!$B:$B, EmployeesTable[[#This Row],[Succession Plan Job Code]],
          JobCodeSkills!$K:$K, "Required")</f>
        <v>0</v>
      </c>
      <c r="N78" s="4">
        <f>COUNTIFS(EmployeeSkills!$A:$A, EmployeesTable[[#This Row],[User Name]],
          EmployeeSkills!$B:$B, EmployeesTable[[#This Row],[Succession Plan Job Code]],
          EmployeeSkills!$D:$D, "Competent")</f>
        <v>0</v>
      </c>
      <c r="O78" s="4" t="str">
        <f>IF(EmployeesTable[[#This Row],[Succession Skills Ready – Required Total]]=0,"",
   EmployeesTable[[#This Row],[Succession Skills Ready – Required Met]]/EmployeesTable[[#This Row],[Succession Skills Ready – Required Total]])</f>
        <v/>
      </c>
      <c r="P78" s="4" t="str" cm="1">
        <f t="array" ref="P78">_xlfn.IFS(EmployeesTable[[#This Row],[Succession Skills Readiness %]]="","",
     EmployeesTable[[#This Row],[Succession Skills Readiness %]]&lt;0.6,"Not Ready",
     EmployeesTable[[#This Row],[Succession Skills Readiness %]]&lt;0.8,"Developing",
     TRUE,"Ready")</f>
        <v/>
      </c>
      <c r="Q78" s="4" t="e" cm="1" vm="1">
        <f t="array" ref="Q78">_xlfn.TEXTJOIN(", ",TRUE,
  _xlfn._xlws.FILTER(JobCodeSkills!$G:$G,
    (JobCodeSkills!$B:$B=EmployeesTable[[#This Row],[Job Code]])*
    (JobCodeSkills!$K:$K="Required")
  )
)</f>
        <v>#VALUE!</v>
      </c>
      <c r="R78" s="4"/>
      <c r="S78" s="4"/>
      <c r="T78" s="4"/>
      <c r="U78" s="4"/>
      <c r="V78" s="4" t="str" cm="1">
        <f t="array" ref="V78">IF(EmployeesTable[[#This Row],[Additional Executive Role]]="","",
  _xlfn.TEXTJOIN(", ",TRUE,
    _xlfn._xlws.FILTER(ExecRoleSkills!$B:$B,
      ExecRoleSkills!$A:$A=EmployeesTable[[#This Row],[Additional Executive Role]]
    )
  )
)</f>
        <v/>
      </c>
    </row>
    <row r="79" spans="1:22" ht="30" x14ac:dyDescent="0.25">
      <c r="A79" s="19" t="s">
        <v>212</v>
      </c>
      <c r="B79" s="9">
        <v>10705</v>
      </c>
      <c r="C79" s="3" t="s">
        <v>136</v>
      </c>
      <c r="D79" s="9"/>
      <c r="E79" s="15">
        <v>45335</v>
      </c>
      <c r="F79" s="3" t="s">
        <v>213</v>
      </c>
      <c r="G79" s="3" t="s">
        <v>129</v>
      </c>
      <c r="H79" s="3" t="s">
        <v>12</v>
      </c>
      <c r="I79" s="10" t="s">
        <v>712</v>
      </c>
      <c r="J79" s="4"/>
      <c r="K79" s="4"/>
      <c r="L79" s="4"/>
      <c r="M79" s="4">
        <f>COUNTIFS(JobCodeSkills!$B:$B, EmployeesTable[[#This Row],[Succession Plan Job Code]],
          JobCodeSkills!$K:$K, "Required")</f>
        <v>0</v>
      </c>
      <c r="N79" s="4">
        <f>COUNTIFS(EmployeeSkills!$A:$A, EmployeesTable[[#This Row],[User Name]],
          EmployeeSkills!$B:$B, EmployeesTable[[#This Row],[Succession Plan Job Code]],
          EmployeeSkills!$D:$D, "Competent")</f>
        <v>0</v>
      </c>
      <c r="O79" s="4" t="str">
        <f>IF(EmployeesTable[[#This Row],[Succession Skills Ready – Required Total]]=0,"",
   EmployeesTable[[#This Row],[Succession Skills Ready – Required Met]]/EmployeesTable[[#This Row],[Succession Skills Ready – Required Total]])</f>
        <v/>
      </c>
      <c r="P79" s="4" t="str" cm="1">
        <f t="array" ref="P79">_xlfn.IFS(EmployeesTable[[#This Row],[Succession Skills Readiness %]]="","",
     EmployeesTable[[#This Row],[Succession Skills Readiness %]]&lt;0.6,"Not Ready",
     EmployeesTable[[#This Row],[Succession Skills Readiness %]]&lt;0.8,"Developing",
     TRUE,"Ready")</f>
        <v/>
      </c>
      <c r="Q79" s="4" t="e" cm="1" vm="1">
        <f t="array" ref="Q79">_xlfn.TEXTJOIN(", ",TRUE,
  _xlfn._xlws.FILTER(JobCodeSkills!$G:$G,
    (JobCodeSkills!$B:$B=EmployeesTable[[#This Row],[Job Code]])*
    (JobCodeSkills!$K:$K="Required")
  )
)</f>
        <v>#VALUE!</v>
      </c>
      <c r="R79" s="4"/>
      <c r="S79" s="4"/>
      <c r="T79" s="4"/>
      <c r="U79" s="4"/>
      <c r="V79" s="4" t="str" cm="1">
        <f t="array" ref="V79">IF(EmployeesTable[[#This Row],[Additional Executive Role]]="","",
  _xlfn.TEXTJOIN(", ",TRUE,
    _xlfn._xlws.FILTER(ExecRoleSkills!$B:$B,
      ExecRoleSkills!$A:$A=EmployeesTable[[#This Row],[Additional Executive Role]]
    )
  )
)</f>
        <v/>
      </c>
    </row>
    <row r="80" spans="1:22" ht="30" x14ac:dyDescent="0.25">
      <c r="A80" s="19" t="s">
        <v>500</v>
      </c>
      <c r="B80" s="9">
        <v>10401</v>
      </c>
      <c r="C80" s="3" t="s">
        <v>184</v>
      </c>
      <c r="D80" s="9"/>
      <c r="E80" s="15">
        <v>34897</v>
      </c>
      <c r="F80" s="3" t="s">
        <v>501</v>
      </c>
      <c r="G80" s="3" t="s">
        <v>454</v>
      </c>
      <c r="H80" s="3" t="s">
        <v>12</v>
      </c>
      <c r="I80" s="9" t="s">
        <v>13</v>
      </c>
      <c r="J80" s="4"/>
      <c r="K80" s="4"/>
      <c r="L80" s="4"/>
      <c r="M80" s="4">
        <f>COUNTIFS(JobCodeSkills!$B:$B, EmployeesTable[[#This Row],[Succession Plan Job Code]],
          JobCodeSkills!$K:$K, "Required")</f>
        <v>0</v>
      </c>
      <c r="N80" s="4">
        <f>COUNTIFS(EmployeeSkills!$A:$A, EmployeesTable[[#This Row],[User Name]],
          EmployeeSkills!$B:$B, EmployeesTable[[#This Row],[Succession Plan Job Code]],
          EmployeeSkills!$D:$D, "Competent")</f>
        <v>0</v>
      </c>
      <c r="O80" s="4" t="str">
        <f>IF(EmployeesTable[[#This Row],[Succession Skills Ready – Required Total]]=0,"",
   EmployeesTable[[#This Row],[Succession Skills Ready – Required Met]]/EmployeesTable[[#This Row],[Succession Skills Ready – Required Total]])</f>
        <v/>
      </c>
      <c r="P80" s="4" t="str" cm="1">
        <f t="array" ref="P80">_xlfn.IFS(EmployeesTable[[#This Row],[Succession Skills Readiness %]]="","",
     EmployeesTable[[#This Row],[Succession Skills Readiness %]]&lt;0.6,"Not Ready",
     EmployeesTable[[#This Row],[Succession Skills Readiness %]]&lt;0.8,"Developing",
     TRUE,"Ready")</f>
        <v/>
      </c>
      <c r="Q80" s="4" t="e" cm="1" vm="1">
        <f t="array" ref="Q80">_xlfn.TEXTJOIN(", ",TRUE,
  _xlfn._xlws.FILTER(JobCodeSkills!$G:$G,
    (JobCodeSkills!$B:$B=EmployeesTable[[#This Row],[Job Code]])*
    (JobCodeSkills!$K:$K="Required")
  )
)</f>
        <v>#VALUE!</v>
      </c>
      <c r="R80" s="4"/>
      <c r="S80" s="4"/>
      <c r="T80" s="4"/>
      <c r="U80" s="4"/>
      <c r="V80" s="4" t="str" cm="1">
        <f t="array" ref="V80">IF(EmployeesTable[[#This Row],[Additional Executive Role]]="","",
  _xlfn.TEXTJOIN(", ",TRUE,
    _xlfn._xlws.FILTER(ExecRoleSkills!$B:$B,
      ExecRoleSkills!$A:$A=EmployeesTable[[#This Row],[Additional Executive Role]]
    )
  )
)</f>
        <v/>
      </c>
    </row>
    <row r="81" spans="1:22" ht="30" x14ac:dyDescent="0.25">
      <c r="A81" s="19" t="s">
        <v>502</v>
      </c>
      <c r="B81" s="9">
        <v>10401</v>
      </c>
      <c r="C81" s="3" t="s">
        <v>184</v>
      </c>
      <c r="D81" s="9"/>
      <c r="E81" s="15">
        <v>39510</v>
      </c>
      <c r="F81" s="3" t="s">
        <v>503</v>
      </c>
      <c r="G81" s="3" t="s">
        <v>454</v>
      </c>
      <c r="H81" s="3" t="s">
        <v>12</v>
      </c>
      <c r="I81" s="9" t="s">
        <v>13</v>
      </c>
      <c r="J81" s="4"/>
      <c r="K81" s="4"/>
      <c r="L81" s="4"/>
      <c r="M81" s="4">
        <f>COUNTIFS(JobCodeSkills!$B:$B, EmployeesTable[[#This Row],[Succession Plan Job Code]],
          JobCodeSkills!$K:$K, "Required")</f>
        <v>0</v>
      </c>
      <c r="N81" s="4">
        <f>COUNTIFS(EmployeeSkills!$A:$A, EmployeesTable[[#This Row],[User Name]],
          EmployeeSkills!$B:$B, EmployeesTable[[#This Row],[Succession Plan Job Code]],
          EmployeeSkills!$D:$D, "Competent")</f>
        <v>0</v>
      </c>
      <c r="O81" s="4" t="str">
        <f>IF(EmployeesTable[[#This Row],[Succession Skills Ready – Required Total]]=0,"",
   EmployeesTable[[#This Row],[Succession Skills Ready – Required Met]]/EmployeesTable[[#This Row],[Succession Skills Ready – Required Total]])</f>
        <v/>
      </c>
      <c r="P81" s="4" t="str" cm="1">
        <f t="array" ref="P81">_xlfn.IFS(EmployeesTable[[#This Row],[Succession Skills Readiness %]]="","",
     EmployeesTable[[#This Row],[Succession Skills Readiness %]]&lt;0.6,"Not Ready",
     EmployeesTable[[#This Row],[Succession Skills Readiness %]]&lt;0.8,"Developing",
     TRUE,"Ready")</f>
        <v/>
      </c>
      <c r="Q81" s="4" t="e" cm="1" vm="1">
        <f t="array" ref="Q81">_xlfn.TEXTJOIN(", ",TRUE,
  _xlfn._xlws.FILTER(JobCodeSkills!$G:$G,
    (JobCodeSkills!$B:$B=EmployeesTable[[#This Row],[Job Code]])*
    (JobCodeSkills!$K:$K="Required")
  )
)</f>
        <v>#VALUE!</v>
      </c>
      <c r="R81" s="4"/>
      <c r="S81" s="4"/>
      <c r="T81" s="4"/>
      <c r="U81" s="4"/>
      <c r="V81" s="4" t="str" cm="1">
        <f t="array" ref="V81">IF(EmployeesTable[[#This Row],[Additional Executive Role]]="","",
  _xlfn.TEXTJOIN(", ",TRUE,
    _xlfn._xlws.FILTER(ExecRoleSkills!$B:$B,
      ExecRoleSkills!$A:$A=EmployeesTable[[#This Row],[Additional Executive Role]]
    )
  )
)</f>
        <v/>
      </c>
    </row>
    <row r="82" spans="1:22" ht="30" x14ac:dyDescent="0.25">
      <c r="A82" s="19" t="s">
        <v>214</v>
      </c>
      <c r="B82" s="9">
        <v>10814</v>
      </c>
      <c r="C82" s="3" t="s">
        <v>167</v>
      </c>
      <c r="D82" s="9"/>
      <c r="E82" s="15">
        <v>44446</v>
      </c>
      <c r="F82" s="3" t="s">
        <v>215</v>
      </c>
      <c r="G82" s="3" t="s">
        <v>129</v>
      </c>
      <c r="H82" s="3" t="s">
        <v>12</v>
      </c>
      <c r="I82" s="10" t="s">
        <v>712</v>
      </c>
      <c r="J82" s="4"/>
      <c r="K82" s="4"/>
      <c r="L82" s="4"/>
      <c r="M82" s="4">
        <f>COUNTIFS(JobCodeSkills!$B:$B, EmployeesTable[[#This Row],[Succession Plan Job Code]],
          JobCodeSkills!$K:$K, "Required")</f>
        <v>0</v>
      </c>
      <c r="N82" s="4">
        <f>COUNTIFS(EmployeeSkills!$A:$A, EmployeesTable[[#This Row],[User Name]],
          EmployeeSkills!$B:$B, EmployeesTable[[#This Row],[Succession Plan Job Code]],
          EmployeeSkills!$D:$D, "Competent")</f>
        <v>0</v>
      </c>
      <c r="O82" s="4" t="str">
        <f>IF(EmployeesTable[[#This Row],[Succession Skills Ready – Required Total]]=0,"",
   EmployeesTable[[#This Row],[Succession Skills Ready – Required Met]]/EmployeesTable[[#This Row],[Succession Skills Ready – Required Total]])</f>
        <v/>
      </c>
      <c r="P82" s="4" t="str" cm="1">
        <f t="array" ref="P82">_xlfn.IFS(EmployeesTable[[#This Row],[Succession Skills Readiness %]]="","",
     EmployeesTable[[#This Row],[Succession Skills Readiness %]]&lt;0.6,"Not Ready",
     EmployeesTable[[#This Row],[Succession Skills Readiness %]]&lt;0.8,"Developing",
     TRUE,"Ready")</f>
        <v/>
      </c>
      <c r="Q82" s="4" t="e" cm="1" vm="1">
        <f t="array" ref="Q82">_xlfn.TEXTJOIN(", ",TRUE,
  _xlfn._xlws.FILTER(JobCodeSkills!$G:$G,
    (JobCodeSkills!$B:$B=EmployeesTable[[#This Row],[Job Code]])*
    (JobCodeSkills!$K:$K="Required")
  )
)</f>
        <v>#VALUE!</v>
      </c>
      <c r="R82" s="4"/>
      <c r="S82" s="4"/>
      <c r="T82" s="4"/>
      <c r="U82" s="4"/>
      <c r="V82" s="4" t="str" cm="1">
        <f t="array" ref="V82">IF(EmployeesTable[[#This Row],[Additional Executive Role]]="","",
  _xlfn.TEXTJOIN(", ",TRUE,
    _xlfn._xlws.FILTER(ExecRoleSkills!$B:$B,
      ExecRoleSkills!$A:$A=EmployeesTable[[#This Row],[Additional Executive Role]]
    )
  )
)</f>
        <v/>
      </c>
    </row>
    <row r="83" spans="1:22" ht="30" x14ac:dyDescent="0.25">
      <c r="A83" s="19" t="s">
        <v>216</v>
      </c>
      <c r="B83" s="9">
        <v>10803</v>
      </c>
      <c r="C83" s="3" t="s">
        <v>133</v>
      </c>
      <c r="D83" s="9"/>
      <c r="E83" s="15">
        <v>45188</v>
      </c>
      <c r="F83" s="3" t="s">
        <v>217</v>
      </c>
      <c r="G83" s="3" t="s">
        <v>129</v>
      </c>
      <c r="H83" s="3" t="s">
        <v>12</v>
      </c>
      <c r="I83" s="10" t="s">
        <v>712</v>
      </c>
      <c r="J83" s="4"/>
      <c r="K83" s="4"/>
      <c r="L83" s="4"/>
      <c r="M83" s="4">
        <f>COUNTIFS(JobCodeSkills!$B:$B, EmployeesTable[[#This Row],[Succession Plan Job Code]],
          JobCodeSkills!$K:$K, "Required")</f>
        <v>0</v>
      </c>
      <c r="N83" s="4">
        <f>COUNTIFS(EmployeeSkills!$A:$A, EmployeesTable[[#This Row],[User Name]],
          EmployeeSkills!$B:$B, EmployeesTable[[#This Row],[Succession Plan Job Code]],
          EmployeeSkills!$D:$D, "Competent")</f>
        <v>0</v>
      </c>
      <c r="O83" s="4" t="str">
        <f>IF(EmployeesTable[[#This Row],[Succession Skills Ready – Required Total]]=0,"",
   EmployeesTable[[#This Row],[Succession Skills Ready – Required Met]]/EmployeesTable[[#This Row],[Succession Skills Ready – Required Total]])</f>
        <v/>
      </c>
      <c r="P83" s="4" t="str" cm="1">
        <f t="array" ref="P83">_xlfn.IFS(EmployeesTable[[#This Row],[Succession Skills Readiness %]]="","",
     EmployeesTable[[#This Row],[Succession Skills Readiness %]]&lt;0.6,"Not Ready",
     EmployeesTable[[#This Row],[Succession Skills Readiness %]]&lt;0.8,"Developing",
     TRUE,"Ready")</f>
        <v/>
      </c>
      <c r="Q83" s="4" t="e" cm="1" vm="1">
        <f t="array" ref="Q83">_xlfn.TEXTJOIN(", ",TRUE,
  _xlfn._xlws.FILTER(JobCodeSkills!$G:$G,
    (JobCodeSkills!$B:$B=EmployeesTable[[#This Row],[Job Code]])*
    (JobCodeSkills!$K:$K="Required")
  )
)</f>
        <v>#VALUE!</v>
      </c>
      <c r="R83" s="4"/>
      <c r="S83" s="4"/>
      <c r="T83" s="4"/>
      <c r="U83" s="4"/>
      <c r="V83" s="4" t="str" cm="1">
        <f t="array" ref="V83">IF(EmployeesTable[[#This Row],[Additional Executive Role]]="","",
  _xlfn.TEXTJOIN(", ",TRUE,
    _xlfn._xlws.FILTER(ExecRoleSkills!$B:$B,
      ExecRoleSkills!$A:$A=EmployeesTable[[#This Row],[Additional Executive Role]]
    )
  )
)</f>
        <v/>
      </c>
    </row>
    <row r="84" spans="1:22" ht="30" x14ac:dyDescent="0.25">
      <c r="A84" s="19" t="s">
        <v>671</v>
      </c>
      <c r="B84" s="9">
        <v>2110</v>
      </c>
      <c r="C84" s="3" t="s">
        <v>672</v>
      </c>
      <c r="D84" s="9"/>
      <c r="E84" s="15">
        <v>40994</v>
      </c>
      <c r="F84" s="3" t="s">
        <v>673</v>
      </c>
      <c r="G84" s="3" t="s">
        <v>674</v>
      </c>
      <c r="H84" s="3" t="s">
        <v>12</v>
      </c>
      <c r="I84" s="9" t="s">
        <v>711</v>
      </c>
      <c r="J84" s="4"/>
      <c r="K84" s="4"/>
      <c r="L84" s="4"/>
      <c r="M84" s="4">
        <f>COUNTIFS(JobCodeSkills!$B:$B, EmployeesTable[[#This Row],[Succession Plan Job Code]],
          JobCodeSkills!$K:$K, "Required")</f>
        <v>0</v>
      </c>
      <c r="N84" s="4">
        <f>COUNTIFS(EmployeeSkills!$A:$A, EmployeesTable[[#This Row],[User Name]],
          EmployeeSkills!$B:$B, EmployeesTable[[#This Row],[Succession Plan Job Code]],
          EmployeeSkills!$D:$D, "Competent")</f>
        <v>0</v>
      </c>
      <c r="O84" s="4" t="str">
        <f>IF(EmployeesTable[[#This Row],[Succession Skills Ready – Required Total]]=0,"",
   EmployeesTable[[#This Row],[Succession Skills Ready – Required Met]]/EmployeesTable[[#This Row],[Succession Skills Ready – Required Total]])</f>
        <v/>
      </c>
      <c r="P84" s="4" t="str" cm="1">
        <f t="array" ref="P84">_xlfn.IFS(EmployeesTable[[#This Row],[Succession Skills Readiness %]]="","",
     EmployeesTable[[#This Row],[Succession Skills Readiness %]]&lt;0.6,"Not Ready",
     EmployeesTable[[#This Row],[Succession Skills Readiness %]]&lt;0.8,"Developing",
     TRUE,"Ready")</f>
        <v/>
      </c>
      <c r="Q84" s="4" t="e" cm="1" vm="1">
        <f t="array" ref="Q84">_xlfn.TEXTJOIN(", ",TRUE,
  _xlfn._xlws.FILTER(JobCodeSkills!$G:$G,
    (JobCodeSkills!$B:$B=EmployeesTable[[#This Row],[Job Code]])*
    (JobCodeSkills!$K:$K="Required")
  )
)</f>
        <v>#VALUE!</v>
      </c>
      <c r="R84" s="4"/>
      <c r="S84" s="4"/>
      <c r="T84" s="4"/>
      <c r="U84" s="4"/>
      <c r="V84" s="4" t="str" cm="1">
        <f t="array" ref="V84">IF(EmployeesTable[[#This Row],[Additional Executive Role]]="","",
  _xlfn.TEXTJOIN(", ",TRUE,
    _xlfn._xlws.FILTER(ExecRoleSkills!$B:$B,
      ExecRoleSkills!$A:$A=EmployeesTable[[#This Row],[Additional Executive Role]]
    )
  )
)</f>
        <v/>
      </c>
    </row>
    <row r="85" spans="1:22" ht="30" x14ac:dyDescent="0.25">
      <c r="A85" s="19" t="s">
        <v>408</v>
      </c>
      <c r="B85" s="9">
        <v>1110</v>
      </c>
      <c r="C85" s="3" t="s">
        <v>409</v>
      </c>
      <c r="D85" s="9"/>
      <c r="E85" s="15">
        <v>36312</v>
      </c>
      <c r="F85" s="3" t="s">
        <v>410</v>
      </c>
      <c r="G85" s="5" t="s">
        <v>405</v>
      </c>
      <c r="H85" s="3" t="s">
        <v>12</v>
      </c>
      <c r="I85" s="9" t="s">
        <v>715</v>
      </c>
      <c r="J85" s="4"/>
      <c r="K85" s="4"/>
      <c r="L85" s="4"/>
      <c r="M85" s="4">
        <f>COUNTIFS(JobCodeSkills!$B:$B, EmployeesTable[[#This Row],[Succession Plan Job Code]],
          JobCodeSkills!$K:$K, "Required")</f>
        <v>0</v>
      </c>
      <c r="N85" s="4">
        <f>COUNTIFS(EmployeeSkills!$A:$A, EmployeesTable[[#This Row],[User Name]],
          EmployeeSkills!$B:$B, EmployeesTable[[#This Row],[Succession Plan Job Code]],
          EmployeeSkills!$D:$D, "Competent")</f>
        <v>0</v>
      </c>
      <c r="O85" s="4" t="str">
        <f>IF(EmployeesTable[[#This Row],[Succession Skills Ready – Required Total]]=0,"",
   EmployeesTable[[#This Row],[Succession Skills Ready – Required Met]]/EmployeesTable[[#This Row],[Succession Skills Ready – Required Total]])</f>
        <v/>
      </c>
      <c r="P85" s="4" t="str" cm="1">
        <f t="array" ref="P85">_xlfn.IFS(EmployeesTable[[#This Row],[Succession Skills Readiness %]]="","",
     EmployeesTable[[#This Row],[Succession Skills Readiness %]]&lt;0.6,"Not Ready",
     EmployeesTable[[#This Row],[Succession Skills Readiness %]]&lt;0.8,"Developing",
     TRUE,"Ready")</f>
        <v/>
      </c>
      <c r="Q85" s="4" t="e" cm="1" vm="1">
        <f t="array" ref="Q85">_xlfn.TEXTJOIN(", ",TRUE,
  _xlfn._xlws.FILTER(JobCodeSkills!$G:$G,
    (JobCodeSkills!$B:$B=EmployeesTable[[#This Row],[Job Code]])*
    (JobCodeSkills!$K:$K="Required")
  )
)</f>
        <v>#VALUE!</v>
      </c>
      <c r="R85" s="4"/>
      <c r="S85" s="4"/>
      <c r="T85" s="4"/>
      <c r="U85" s="4"/>
      <c r="V85" s="4" t="str" cm="1">
        <f t="array" ref="V85">IF(EmployeesTable[[#This Row],[Additional Executive Role]]="","",
  _xlfn.TEXTJOIN(", ",TRUE,
    _xlfn._xlws.FILTER(ExecRoleSkills!$B:$B,
      ExecRoleSkills!$A:$A=EmployeesTable[[#This Row],[Additional Executive Role]]
    )
  )
)</f>
        <v/>
      </c>
    </row>
    <row r="86" spans="1:22" ht="30" x14ac:dyDescent="0.25">
      <c r="A86" s="19" t="s">
        <v>411</v>
      </c>
      <c r="B86" s="9">
        <v>2100</v>
      </c>
      <c r="C86" s="3" t="s">
        <v>716</v>
      </c>
      <c r="D86" s="9"/>
      <c r="E86" s="15">
        <v>32727</v>
      </c>
      <c r="F86" s="3" t="s">
        <v>412</v>
      </c>
      <c r="G86" s="3" t="s">
        <v>405</v>
      </c>
      <c r="H86" s="3" t="s">
        <v>12</v>
      </c>
      <c r="I86" s="9" t="s">
        <v>711</v>
      </c>
      <c r="J86" s="4"/>
      <c r="K86" s="4"/>
      <c r="L86" s="4"/>
      <c r="M86" s="4">
        <f>COUNTIFS(JobCodeSkills!$B:$B, EmployeesTable[[#This Row],[Succession Plan Job Code]],
          JobCodeSkills!$K:$K, "Required")</f>
        <v>0</v>
      </c>
      <c r="N86" s="4">
        <f>COUNTIFS(EmployeeSkills!$A:$A, EmployeesTable[[#This Row],[User Name]],
          EmployeeSkills!$B:$B, EmployeesTable[[#This Row],[Succession Plan Job Code]],
          EmployeeSkills!$D:$D, "Competent")</f>
        <v>0</v>
      </c>
      <c r="O86" s="4" t="str">
        <f>IF(EmployeesTable[[#This Row],[Succession Skills Ready – Required Total]]=0,"",
   EmployeesTable[[#This Row],[Succession Skills Ready – Required Met]]/EmployeesTable[[#This Row],[Succession Skills Ready – Required Total]])</f>
        <v/>
      </c>
      <c r="P86" s="4" t="str" cm="1">
        <f t="array" ref="P86">_xlfn.IFS(EmployeesTable[[#This Row],[Succession Skills Readiness %]]="","",
     EmployeesTable[[#This Row],[Succession Skills Readiness %]]&lt;0.6,"Not Ready",
     EmployeesTable[[#This Row],[Succession Skills Readiness %]]&lt;0.8,"Developing",
     TRUE,"Ready")</f>
        <v/>
      </c>
      <c r="Q86" s="4" t="e" cm="1" vm="1">
        <f t="array" ref="Q86">_xlfn.TEXTJOIN(", ",TRUE,
  _xlfn._xlws.FILTER(JobCodeSkills!$G:$G,
    (JobCodeSkills!$B:$B=EmployeesTable[[#This Row],[Job Code]])*
    (JobCodeSkills!$K:$K="Required")
  )
)</f>
        <v>#VALUE!</v>
      </c>
      <c r="R86" s="4"/>
      <c r="S86" s="4"/>
      <c r="T86" s="4"/>
      <c r="U86" s="4"/>
      <c r="V86" s="4" t="str" cm="1">
        <f t="array" ref="V86">IF(EmployeesTable[[#This Row],[Additional Executive Role]]="","",
  _xlfn.TEXTJOIN(", ",TRUE,
    _xlfn._xlws.FILTER(ExecRoleSkills!$B:$B,
      ExecRoleSkills!$A:$A=EmployeesTable[[#This Row],[Additional Executive Role]]
    )
  )
)</f>
        <v/>
      </c>
    </row>
    <row r="87" spans="1:22" ht="30" x14ac:dyDescent="0.25">
      <c r="A87" s="19" t="s">
        <v>431</v>
      </c>
      <c r="B87" s="9">
        <v>30601</v>
      </c>
      <c r="C87" s="3" t="s">
        <v>432</v>
      </c>
      <c r="D87" s="9"/>
      <c r="E87" s="15">
        <v>45484</v>
      </c>
      <c r="F87" s="3" t="s">
        <v>433</v>
      </c>
      <c r="G87" s="3" t="s">
        <v>434</v>
      </c>
      <c r="H87" s="3" t="s">
        <v>12</v>
      </c>
      <c r="I87" s="9" t="s">
        <v>13</v>
      </c>
      <c r="J87" s="4"/>
      <c r="K87" s="4"/>
      <c r="L87" s="4"/>
      <c r="M87" s="4">
        <f>COUNTIFS(JobCodeSkills!$B:$B, EmployeesTable[[#This Row],[Succession Plan Job Code]],
          JobCodeSkills!$K:$K, "Required")</f>
        <v>0</v>
      </c>
      <c r="N87" s="4">
        <f>COUNTIFS(EmployeeSkills!$A:$A, EmployeesTable[[#This Row],[User Name]],
          EmployeeSkills!$B:$B, EmployeesTable[[#This Row],[Succession Plan Job Code]],
          EmployeeSkills!$D:$D, "Competent")</f>
        <v>0</v>
      </c>
      <c r="O87" s="4" t="str">
        <f>IF(EmployeesTable[[#This Row],[Succession Skills Ready – Required Total]]=0,"",
   EmployeesTable[[#This Row],[Succession Skills Ready – Required Met]]/EmployeesTable[[#This Row],[Succession Skills Ready – Required Total]])</f>
        <v/>
      </c>
      <c r="P87" s="4" t="str" cm="1">
        <f t="array" ref="P87">_xlfn.IFS(EmployeesTable[[#This Row],[Succession Skills Readiness %]]="","",
     EmployeesTable[[#This Row],[Succession Skills Readiness %]]&lt;0.6,"Not Ready",
     EmployeesTable[[#This Row],[Succession Skills Readiness %]]&lt;0.8,"Developing",
     TRUE,"Ready")</f>
        <v/>
      </c>
      <c r="Q87" s="4" t="e" cm="1" vm="1">
        <f t="array" ref="Q87">_xlfn.TEXTJOIN(", ",TRUE,
  _xlfn._xlws.FILTER(JobCodeSkills!$G:$G,
    (JobCodeSkills!$B:$B=EmployeesTable[[#This Row],[Job Code]])*
    (JobCodeSkills!$K:$K="Required")
  )
)</f>
        <v>#VALUE!</v>
      </c>
      <c r="R87" s="4"/>
      <c r="S87" s="4"/>
      <c r="T87" s="4"/>
      <c r="U87" s="4"/>
      <c r="V87" s="4" t="str" cm="1">
        <f t="array" ref="V87">IF(EmployeesTable[[#This Row],[Additional Executive Role]]="","",
  _xlfn.TEXTJOIN(", ",TRUE,
    _xlfn._xlws.FILTER(ExecRoleSkills!$B:$B,
      ExecRoleSkills!$A:$A=EmployeesTable[[#This Row],[Additional Executive Role]]
    )
  )
)</f>
        <v/>
      </c>
    </row>
    <row r="88" spans="1:22" ht="30" x14ac:dyDescent="0.25">
      <c r="A88" s="19" t="s">
        <v>504</v>
      </c>
      <c r="B88" s="9">
        <v>10803</v>
      </c>
      <c r="C88" s="3" t="s">
        <v>272</v>
      </c>
      <c r="D88" s="9"/>
      <c r="E88" s="15">
        <v>45244</v>
      </c>
      <c r="F88" s="3" t="s">
        <v>505</v>
      </c>
      <c r="G88" s="3" t="s">
        <v>454</v>
      </c>
      <c r="H88" s="3" t="s">
        <v>12</v>
      </c>
      <c r="I88" s="9" t="s">
        <v>13</v>
      </c>
      <c r="J88" s="4"/>
      <c r="K88" s="4"/>
      <c r="L88" s="4"/>
      <c r="M88" s="4">
        <f>COUNTIFS(JobCodeSkills!$B:$B, EmployeesTable[[#This Row],[Succession Plan Job Code]],
          JobCodeSkills!$K:$K, "Required")</f>
        <v>0</v>
      </c>
      <c r="N88" s="4">
        <f>COUNTIFS(EmployeeSkills!$A:$A, EmployeesTable[[#This Row],[User Name]],
          EmployeeSkills!$B:$B, EmployeesTable[[#This Row],[Succession Plan Job Code]],
          EmployeeSkills!$D:$D, "Competent")</f>
        <v>0</v>
      </c>
      <c r="O88" s="4" t="str">
        <f>IF(EmployeesTable[[#This Row],[Succession Skills Ready – Required Total]]=0,"",
   EmployeesTable[[#This Row],[Succession Skills Ready – Required Met]]/EmployeesTable[[#This Row],[Succession Skills Ready – Required Total]])</f>
        <v/>
      </c>
      <c r="P88" s="4" t="str" cm="1">
        <f t="array" ref="P88">_xlfn.IFS(EmployeesTable[[#This Row],[Succession Skills Readiness %]]="","",
     EmployeesTable[[#This Row],[Succession Skills Readiness %]]&lt;0.6,"Not Ready",
     EmployeesTable[[#This Row],[Succession Skills Readiness %]]&lt;0.8,"Developing",
     TRUE,"Ready")</f>
        <v/>
      </c>
      <c r="Q88" s="4" t="e" cm="1" vm="1">
        <f t="array" ref="Q88">_xlfn.TEXTJOIN(", ",TRUE,
  _xlfn._xlws.FILTER(JobCodeSkills!$G:$G,
    (JobCodeSkills!$B:$B=EmployeesTable[[#This Row],[Job Code]])*
    (JobCodeSkills!$K:$K="Required")
  )
)</f>
        <v>#VALUE!</v>
      </c>
      <c r="R88" s="4"/>
      <c r="S88" s="4"/>
      <c r="T88" s="4"/>
      <c r="U88" s="4"/>
      <c r="V88" s="4" t="str" cm="1">
        <f t="array" ref="V88">IF(EmployeesTable[[#This Row],[Additional Executive Role]]="","",
  _xlfn.TEXTJOIN(", ",TRUE,
    _xlfn._xlws.FILTER(ExecRoleSkills!$B:$B,
      ExecRoleSkills!$A:$A=EmployeesTable[[#This Row],[Additional Executive Role]]
    )
  )
)</f>
        <v/>
      </c>
    </row>
    <row r="89" spans="1:22" ht="30" x14ac:dyDescent="0.25">
      <c r="A89" s="19" t="s">
        <v>218</v>
      </c>
      <c r="B89" s="9">
        <v>10601</v>
      </c>
      <c r="C89" s="3" t="s">
        <v>219</v>
      </c>
      <c r="D89" s="9"/>
      <c r="E89" s="15">
        <v>45426</v>
      </c>
      <c r="F89" s="3" t="s">
        <v>220</v>
      </c>
      <c r="G89" s="3" t="s">
        <v>129</v>
      </c>
      <c r="H89" s="3" t="s">
        <v>12</v>
      </c>
      <c r="I89" s="10" t="s">
        <v>712</v>
      </c>
      <c r="J89" s="4"/>
      <c r="K89" s="4"/>
      <c r="L89" s="4"/>
      <c r="M89" s="4">
        <f>COUNTIFS(JobCodeSkills!$B:$B, EmployeesTable[[#This Row],[Succession Plan Job Code]],
          JobCodeSkills!$K:$K, "Required")</f>
        <v>0</v>
      </c>
      <c r="N89" s="4">
        <f>COUNTIFS(EmployeeSkills!$A:$A, EmployeesTable[[#This Row],[User Name]],
          EmployeeSkills!$B:$B, EmployeesTable[[#This Row],[Succession Plan Job Code]],
          EmployeeSkills!$D:$D, "Competent")</f>
        <v>0</v>
      </c>
      <c r="O89" s="4" t="str">
        <f>IF(EmployeesTable[[#This Row],[Succession Skills Ready – Required Total]]=0,"",
   EmployeesTable[[#This Row],[Succession Skills Ready – Required Met]]/EmployeesTable[[#This Row],[Succession Skills Ready – Required Total]])</f>
        <v/>
      </c>
      <c r="P89" s="4" t="str" cm="1">
        <f t="array" ref="P89">_xlfn.IFS(EmployeesTable[[#This Row],[Succession Skills Readiness %]]="","",
     EmployeesTable[[#This Row],[Succession Skills Readiness %]]&lt;0.6,"Not Ready",
     EmployeesTable[[#This Row],[Succession Skills Readiness %]]&lt;0.8,"Developing",
     TRUE,"Ready")</f>
        <v/>
      </c>
      <c r="Q89" s="4" t="e" cm="1" vm="1">
        <f t="array" ref="Q89">_xlfn.TEXTJOIN(", ",TRUE,
  _xlfn._xlws.FILTER(JobCodeSkills!$G:$G,
    (JobCodeSkills!$B:$B=EmployeesTable[[#This Row],[Job Code]])*
    (JobCodeSkills!$K:$K="Required")
  )
)</f>
        <v>#VALUE!</v>
      </c>
      <c r="R89" s="4"/>
      <c r="S89" s="4"/>
      <c r="T89" s="4"/>
      <c r="U89" s="4"/>
      <c r="V89" s="4" t="str" cm="1">
        <f t="array" ref="V89">IF(EmployeesTable[[#This Row],[Additional Executive Role]]="","",
  _xlfn.TEXTJOIN(", ",TRUE,
    _xlfn._xlws.FILTER(ExecRoleSkills!$B:$B,
      ExecRoleSkills!$A:$A=EmployeesTable[[#This Row],[Additional Executive Role]]
    )
  )
)</f>
        <v/>
      </c>
    </row>
    <row r="90" spans="1:22" ht="30" x14ac:dyDescent="0.25">
      <c r="A90" s="19" t="s">
        <v>221</v>
      </c>
      <c r="B90" s="9">
        <v>10301</v>
      </c>
      <c r="C90" s="3" t="s">
        <v>222</v>
      </c>
      <c r="D90" s="9"/>
      <c r="E90" s="15">
        <v>41071</v>
      </c>
      <c r="F90" s="3" t="s">
        <v>223</v>
      </c>
      <c r="G90" s="3" t="s">
        <v>129</v>
      </c>
      <c r="H90" s="3" t="s">
        <v>12</v>
      </c>
      <c r="I90" s="10" t="s">
        <v>712</v>
      </c>
      <c r="J90" s="4"/>
      <c r="K90" s="4"/>
      <c r="L90" s="4"/>
      <c r="M90" s="4">
        <f>COUNTIFS(JobCodeSkills!$B:$B, EmployeesTable[[#This Row],[Succession Plan Job Code]],
          JobCodeSkills!$K:$K, "Required")</f>
        <v>0</v>
      </c>
      <c r="N90" s="4">
        <f>COUNTIFS(EmployeeSkills!$A:$A, EmployeesTable[[#This Row],[User Name]],
          EmployeeSkills!$B:$B, EmployeesTable[[#This Row],[Succession Plan Job Code]],
          EmployeeSkills!$D:$D, "Competent")</f>
        <v>0</v>
      </c>
      <c r="O90" s="4" t="str">
        <f>IF(EmployeesTable[[#This Row],[Succession Skills Ready – Required Total]]=0,"",
   EmployeesTable[[#This Row],[Succession Skills Ready – Required Met]]/EmployeesTable[[#This Row],[Succession Skills Ready – Required Total]])</f>
        <v/>
      </c>
      <c r="P90" s="4" t="str" cm="1">
        <f t="array" ref="P90">_xlfn.IFS(EmployeesTable[[#This Row],[Succession Skills Readiness %]]="","",
     EmployeesTable[[#This Row],[Succession Skills Readiness %]]&lt;0.6,"Not Ready",
     EmployeesTable[[#This Row],[Succession Skills Readiness %]]&lt;0.8,"Developing",
     TRUE,"Ready")</f>
        <v/>
      </c>
      <c r="Q90" s="4" t="e" cm="1" vm="1">
        <f t="array" ref="Q90">_xlfn.TEXTJOIN(", ",TRUE,
  _xlfn._xlws.FILTER(JobCodeSkills!$G:$G,
    (JobCodeSkills!$B:$B=EmployeesTable[[#This Row],[Job Code]])*
    (JobCodeSkills!$K:$K="Required")
  )
)</f>
        <v>#VALUE!</v>
      </c>
      <c r="R90" s="4"/>
      <c r="S90" s="4"/>
      <c r="T90" s="4"/>
      <c r="U90" s="4"/>
      <c r="V90" s="4" t="str" cm="1">
        <f t="array" ref="V90">IF(EmployeesTable[[#This Row],[Additional Executive Role]]="","",
  _xlfn.TEXTJOIN(", ",TRUE,
    _xlfn._xlws.FILTER(ExecRoleSkills!$B:$B,
      ExecRoleSkills!$A:$A=EmployeesTable[[#This Row],[Additional Executive Role]]
    )
  )
)</f>
        <v/>
      </c>
    </row>
    <row r="91" spans="1:22" ht="30" x14ac:dyDescent="0.25">
      <c r="A91" s="19" t="s">
        <v>226</v>
      </c>
      <c r="B91" s="9">
        <v>10705</v>
      </c>
      <c r="C91" s="3" t="s">
        <v>136</v>
      </c>
      <c r="D91" s="9"/>
      <c r="E91" s="15">
        <v>45412</v>
      </c>
      <c r="F91" s="3" t="s">
        <v>227</v>
      </c>
      <c r="G91" s="3" t="s">
        <v>129</v>
      </c>
      <c r="H91" s="3" t="s">
        <v>228</v>
      </c>
      <c r="I91" s="10" t="s">
        <v>712</v>
      </c>
      <c r="J91" s="4"/>
      <c r="K91" s="4"/>
      <c r="L91" s="4"/>
      <c r="M91" s="4">
        <f>COUNTIFS(JobCodeSkills!$B:$B, EmployeesTable[[#This Row],[Succession Plan Job Code]],
          JobCodeSkills!$K:$K, "Required")</f>
        <v>0</v>
      </c>
      <c r="N91" s="4">
        <f>COUNTIFS(EmployeeSkills!$A:$A, EmployeesTable[[#This Row],[User Name]],
          EmployeeSkills!$B:$B, EmployeesTable[[#This Row],[Succession Plan Job Code]],
          EmployeeSkills!$D:$D, "Competent")</f>
        <v>0</v>
      </c>
      <c r="O91" s="4" t="str">
        <f>IF(EmployeesTable[[#This Row],[Succession Skills Ready – Required Total]]=0,"",
   EmployeesTable[[#This Row],[Succession Skills Ready – Required Met]]/EmployeesTable[[#This Row],[Succession Skills Ready – Required Total]])</f>
        <v/>
      </c>
      <c r="P91" s="4" t="str" cm="1">
        <f t="array" ref="P91">_xlfn.IFS(EmployeesTable[[#This Row],[Succession Skills Readiness %]]="","",
     EmployeesTable[[#This Row],[Succession Skills Readiness %]]&lt;0.6,"Not Ready",
     EmployeesTable[[#This Row],[Succession Skills Readiness %]]&lt;0.8,"Developing",
     TRUE,"Ready")</f>
        <v/>
      </c>
      <c r="Q91" s="4" t="e" cm="1" vm="1">
        <f t="array" ref="Q91">_xlfn.TEXTJOIN(", ",TRUE,
  _xlfn._xlws.FILTER(JobCodeSkills!$G:$G,
    (JobCodeSkills!$B:$B=EmployeesTable[[#This Row],[Job Code]])*
    (JobCodeSkills!$K:$K="Required")
  )
)</f>
        <v>#VALUE!</v>
      </c>
      <c r="R91" s="4"/>
      <c r="S91" s="4"/>
      <c r="T91" s="4"/>
      <c r="U91" s="4"/>
      <c r="V91" s="4" t="str" cm="1">
        <f t="array" ref="V91">IF(EmployeesTable[[#This Row],[Additional Executive Role]]="","",
  _xlfn.TEXTJOIN(", ",TRUE,
    _xlfn._xlws.FILTER(ExecRoleSkills!$B:$B,
      ExecRoleSkills!$A:$A=EmployeesTable[[#This Row],[Additional Executive Role]]
    )
  )
)</f>
        <v/>
      </c>
    </row>
    <row r="92" spans="1:22" ht="30" x14ac:dyDescent="0.25">
      <c r="A92" s="19" t="s">
        <v>224</v>
      </c>
      <c r="B92" s="9">
        <v>10503</v>
      </c>
      <c r="C92" s="3" t="s">
        <v>164</v>
      </c>
      <c r="D92" s="9"/>
      <c r="E92" s="15">
        <v>45342</v>
      </c>
      <c r="F92" s="3" t="s">
        <v>225</v>
      </c>
      <c r="G92" s="3" t="s">
        <v>129</v>
      </c>
      <c r="H92" s="3" t="s">
        <v>12</v>
      </c>
      <c r="I92" s="10" t="s">
        <v>712</v>
      </c>
      <c r="J92" s="4"/>
      <c r="K92" s="4"/>
      <c r="L92" s="4"/>
      <c r="M92" s="4">
        <f>COUNTIFS(JobCodeSkills!$B:$B, EmployeesTable[[#This Row],[Succession Plan Job Code]],
          JobCodeSkills!$K:$K, "Required")</f>
        <v>0</v>
      </c>
      <c r="N92" s="4">
        <f>COUNTIFS(EmployeeSkills!$A:$A, EmployeesTable[[#This Row],[User Name]],
          EmployeeSkills!$B:$B, EmployeesTable[[#This Row],[Succession Plan Job Code]],
          EmployeeSkills!$D:$D, "Competent")</f>
        <v>0</v>
      </c>
      <c r="O92" s="4" t="str">
        <f>IF(EmployeesTable[[#This Row],[Succession Skills Ready – Required Total]]=0,"",
   EmployeesTable[[#This Row],[Succession Skills Ready – Required Met]]/EmployeesTable[[#This Row],[Succession Skills Ready – Required Total]])</f>
        <v/>
      </c>
      <c r="P92" s="4" t="str" cm="1">
        <f t="array" ref="P92">_xlfn.IFS(EmployeesTable[[#This Row],[Succession Skills Readiness %]]="","",
     EmployeesTable[[#This Row],[Succession Skills Readiness %]]&lt;0.6,"Not Ready",
     EmployeesTable[[#This Row],[Succession Skills Readiness %]]&lt;0.8,"Developing",
     TRUE,"Ready")</f>
        <v/>
      </c>
      <c r="Q92" s="4" t="e" cm="1" vm="1">
        <f t="array" ref="Q92">_xlfn.TEXTJOIN(", ",TRUE,
  _xlfn._xlws.FILTER(JobCodeSkills!$G:$G,
    (JobCodeSkills!$B:$B=EmployeesTable[[#This Row],[Job Code]])*
    (JobCodeSkills!$K:$K="Required")
  )
)</f>
        <v>#VALUE!</v>
      </c>
      <c r="R92" s="4"/>
      <c r="S92" s="4"/>
      <c r="T92" s="4"/>
      <c r="U92" s="4"/>
      <c r="V92" s="4" t="str" cm="1">
        <f t="array" ref="V92">IF(EmployeesTable[[#This Row],[Additional Executive Role]]="","",
  _xlfn.TEXTJOIN(", ",TRUE,
    _xlfn._xlws.FILTER(ExecRoleSkills!$B:$B,
      ExecRoleSkills!$A:$A=EmployeesTable[[#This Row],[Additional Executive Role]]
    )
  )
)</f>
        <v/>
      </c>
    </row>
    <row r="93" spans="1:22" ht="30" x14ac:dyDescent="0.25">
      <c r="A93" s="19" t="s">
        <v>506</v>
      </c>
      <c r="B93" s="9">
        <v>10812</v>
      </c>
      <c r="C93" s="3" t="s">
        <v>133</v>
      </c>
      <c r="D93" s="9"/>
      <c r="E93" s="15">
        <v>44596</v>
      </c>
      <c r="F93" s="3" t="s">
        <v>507</v>
      </c>
      <c r="G93" s="3" t="s">
        <v>454</v>
      </c>
      <c r="H93" s="3" t="s">
        <v>12</v>
      </c>
      <c r="I93" s="9" t="s">
        <v>13</v>
      </c>
      <c r="J93" s="4"/>
      <c r="K93" s="4"/>
      <c r="L93" s="4"/>
      <c r="M93" s="4">
        <f>COUNTIFS(JobCodeSkills!$B:$B, EmployeesTable[[#This Row],[Succession Plan Job Code]],
          JobCodeSkills!$K:$K, "Required")</f>
        <v>0</v>
      </c>
      <c r="N93" s="4">
        <f>COUNTIFS(EmployeeSkills!$A:$A, EmployeesTable[[#This Row],[User Name]],
          EmployeeSkills!$B:$B, EmployeesTable[[#This Row],[Succession Plan Job Code]],
          EmployeeSkills!$D:$D, "Competent")</f>
        <v>0</v>
      </c>
      <c r="O93" s="4" t="str">
        <f>IF(EmployeesTable[[#This Row],[Succession Skills Ready – Required Total]]=0,"",
   EmployeesTable[[#This Row],[Succession Skills Ready – Required Met]]/EmployeesTable[[#This Row],[Succession Skills Ready – Required Total]])</f>
        <v/>
      </c>
      <c r="P93" s="4" t="str" cm="1">
        <f t="array" ref="P93">_xlfn.IFS(EmployeesTable[[#This Row],[Succession Skills Readiness %]]="","",
     EmployeesTable[[#This Row],[Succession Skills Readiness %]]&lt;0.6,"Not Ready",
     EmployeesTable[[#This Row],[Succession Skills Readiness %]]&lt;0.8,"Developing",
     TRUE,"Ready")</f>
        <v/>
      </c>
      <c r="Q93" s="4" t="e" cm="1" vm="1">
        <f t="array" ref="Q93">_xlfn.TEXTJOIN(", ",TRUE,
  _xlfn._xlws.FILTER(JobCodeSkills!$G:$G,
    (JobCodeSkills!$B:$B=EmployeesTable[[#This Row],[Job Code]])*
    (JobCodeSkills!$K:$K="Required")
  )
)</f>
        <v>#VALUE!</v>
      </c>
      <c r="R93" s="4"/>
      <c r="S93" s="4"/>
      <c r="T93" s="4"/>
      <c r="U93" s="4"/>
      <c r="V93" s="4" t="str" cm="1">
        <f t="array" ref="V93">IF(EmployeesTable[[#This Row],[Additional Executive Role]]="","",
  _xlfn.TEXTJOIN(", ",TRUE,
    _xlfn._xlws.FILTER(ExecRoleSkills!$B:$B,
      ExecRoleSkills!$A:$A=EmployeesTable[[#This Row],[Additional Executive Role]]
    )
  )
)</f>
        <v/>
      </c>
    </row>
    <row r="94" spans="1:22" ht="30" x14ac:dyDescent="0.25">
      <c r="A94" s="19" t="s">
        <v>229</v>
      </c>
      <c r="B94" s="9">
        <v>10705</v>
      </c>
      <c r="C94" s="3" t="s">
        <v>127</v>
      </c>
      <c r="D94" s="9"/>
      <c r="E94" s="15">
        <v>44302</v>
      </c>
      <c r="F94" s="3" t="s">
        <v>230</v>
      </c>
      <c r="G94" s="3" t="s">
        <v>129</v>
      </c>
      <c r="H94" s="3" t="s">
        <v>12</v>
      </c>
      <c r="I94" s="10" t="s">
        <v>712</v>
      </c>
      <c r="J94" s="4"/>
      <c r="K94" s="4"/>
      <c r="L94" s="4"/>
      <c r="M94" s="4">
        <f>COUNTIFS(JobCodeSkills!$B:$B, EmployeesTable[[#This Row],[Succession Plan Job Code]],
          JobCodeSkills!$K:$K, "Required")</f>
        <v>0</v>
      </c>
      <c r="N94" s="4">
        <f>COUNTIFS(EmployeeSkills!$A:$A, EmployeesTable[[#This Row],[User Name]],
          EmployeeSkills!$B:$B, EmployeesTable[[#This Row],[Succession Plan Job Code]],
          EmployeeSkills!$D:$D, "Competent")</f>
        <v>0</v>
      </c>
      <c r="O94" s="4" t="str">
        <f>IF(EmployeesTable[[#This Row],[Succession Skills Ready – Required Total]]=0,"",
   EmployeesTable[[#This Row],[Succession Skills Ready – Required Met]]/EmployeesTable[[#This Row],[Succession Skills Ready – Required Total]])</f>
        <v/>
      </c>
      <c r="P94" s="4" t="str" cm="1">
        <f t="array" ref="P94">_xlfn.IFS(EmployeesTable[[#This Row],[Succession Skills Readiness %]]="","",
     EmployeesTable[[#This Row],[Succession Skills Readiness %]]&lt;0.6,"Not Ready",
     EmployeesTable[[#This Row],[Succession Skills Readiness %]]&lt;0.8,"Developing",
     TRUE,"Ready")</f>
        <v/>
      </c>
      <c r="Q94" s="4" t="e" cm="1" vm="1">
        <f t="array" ref="Q94">_xlfn.TEXTJOIN(", ",TRUE,
  _xlfn._xlws.FILTER(JobCodeSkills!$G:$G,
    (JobCodeSkills!$B:$B=EmployeesTable[[#This Row],[Job Code]])*
    (JobCodeSkills!$K:$K="Required")
  )
)</f>
        <v>#VALUE!</v>
      </c>
      <c r="R94" s="4"/>
      <c r="S94" s="4"/>
      <c r="T94" s="4"/>
      <c r="U94" s="4"/>
      <c r="V94" s="4" t="str" cm="1">
        <f t="array" ref="V94">IF(EmployeesTable[[#This Row],[Additional Executive Role]]="","",
  _xlfn.TEXTJOIN(", ",TRUE,
    _xlfn._xlws.FILTER(ExecRoleSkills!$B:$B,
      ExecRoleSkills!$A:$A=EmployeesTable[[#This Row],[Additional Executive Role]]
    )
  )
)</f>
        <v/>
      </c>
    </row>
    <row r="95" spans="1:22" ht="30" x14ac:dyDescent="0.25">
      <c r="A95" s="19" t="s">
        <v>508</v>
      </c>
      <c r="B95" s="9">
        <v>10804</v>
      </c>
      <c r="C95" s="3" t="s">
        <v>167</v>
      </c>
      <c r="D95" s="9"/>
      <c r="E95" s="15">
        <v>44732</v>
      </c>
      <c r="F95" s="3" t="s">
        <v>509</v>
      </c>
      <c r="G95" s="3" t="s">
        <v>454</v>
      </c>
      <c r="H95" s="3" t="s">
        <v>12</v>
      </c>
      <c r="I95" s="9" t="s">
        <v>13</v>
      </c>
      <c r="J95" s="4"/>
      <c r="K95" s="4"/>
      <c r="L95" s="4"/>
      <c r="M95" s="4">
        <f>COUNTIFS(JobCodeSkills!$B:$B, EmployeesTable[[#This Row],[Succession Plan Job Code]],
          JobCodeSkills!$K:$K, "Required")</f>
        <v>0</v>
      </c>
      <c r="N95" s="4">
        <f>COUNTIFS(EmployeeSkills!$A:$A, EmployeesTable[[#This Row],[User Name]],
          EmployeeSkills!$B:$B, EmployeesTable[[#This Row],[Succession Plan Job Code]],
          EmployeeSkills!$D:$D, "Competent")</f>
        <v>0</v>
      </c>
      <c r="O95" s="4" t="str">
        <f>IF(EmployeesTable[[#This Row],[Succession Skills Ready – Required Total]]=0,"",
   EmployeesTable[[#This Row],[Succession Skills Ready – Required Met]]/EmployeesTable[[#This Row],[Succession Skills Ready – Required Total]])</f>
        <v/>
      </c>
      <c r="P95" s="4" t="str" cm="1">
        <f t="array" ref="P95">_xlfn.IFS(EmployeesTable[[#This Row],[Succession Skills Readiness %]]="","",
     EmployeesTable[[#This Row],[Succession Skills Readiness %]]&lt;0.6,"Not Ready",
     EmployeesTable[[#This Row],[Succession Skills Readiness %]]&lt;0.8,"Developing",
     TRUE,"Ready")</f>
        <v/>
      </c>
      <c r="Q95" s="4" t="e" cm="1" vm="1">
        <f t="array" ref="Q95">_xlfn.TEXTJOIN(", ",TRUE,
  _xlfn._xlws.FILTER(JobCodeSkills!$G:$G,
    (JobCodeSkills!$B:$B=EmployeesTable[[#This Row],[Job Code]])*
    (JobCodeSkills!$K:$K="Required")
  )
)</f>
        <v>#VALUE!</v>
      </c>
      <c r="R95" s="4"/>
      <c r="S95" s="4"/>
      <c r="T95" s="4"/>
      <c r="U95" s="4"/>
      <c r="V95" s="4" t="str" cm="1">
        <f t="array" ref="V95">IF(EmployeesTable[[#This Row],[Additional Executive Role]]="","",
  _xlfn.TEXTJOIN(", ",TRUE,
    _xlfn._xlws.FILTER(ExecRoleSkills!$B:$B,
      ExecRoleSkills!$A:$A=EmployeesTable[[#This Row],[Additional Executive Role]]
    )
  )
)</f>
        <v/>
      </c>
    </row>
    <row r="96" spans="1:22" ht="30" x14ac:dyDescent="0.25">
      <c r="A96" s="19" t="s">
        <v>510</v>
      </c>
      <c r="B96" s="9">
        <v>10501</v>
      </c>
      <c r="C96" s="3" t="s">
        <v>156</v>
      </c>
      <c r="D96" s="9"/>
      <c r="E96" s="15">
        <v>43130</v>
      </c>
      <c r="F96" s="3" t="s">
        <v>511</v>
      </c>
      <c r="G96" s="3" t="s">
        <v>454</v>
      </c>
      <c r="H96" s="3" t="s">
        <v>12</v>
      </c>
      <c r="I96" s="9" t="s">
        <v>13</v>
      </c>
      <c r="J96" s="4"/>
      <c r="K96" s="4"/>
      <c r="L96" s="4"/>
      <c r="M96" s="4">
        <f>COUNTIFS(JobCodeSkills!$B:$B, EmployeesTable[[#This Row],[Succession Plan Job Code]],
          JobCodeSkills!$K:$K, "Required")</f>
        <v>0</v>
      </c>
      <c r="N96" s="4">
        <f>COUNTIFS(EmployeeSkills!$A:$A, EmployeesTable[[#This Row],[User Name]],
          EmployeeSkills!$B:$B, EmployeesTable[[#This Row],[Succession Plan Job Code]],
          EmployeeSkills!$D:$D, "Competent")</f>
        <v>0</v>
      </c>
      <c r="O96" s="4" t="str">
        <f>IF(EmployeesTable[[#This Row],[Succession Skills Ready – Required Total]]=0,"",
   EmployeesTable[[#This Row],[Succession Skills Ready – Required Met]]/EmployeesTable[[#This Row],[Succession Skills Ready – Required Total]])</f>
        <v/>
      </c>
      <c r="P96" s="4" t="str" cm="1">
        <f t="array" ref="P96">_xlfn.IFS(EmployeesTable[[#This Row],[Succession Skills Readiness %]]="","",
     EmployeesTable[[#This Row],[Succession Skills Readiness %]]&lt;0.6,"Not Ready",
     EmployeesTable[[#This Row],[Succession Skills Readiness %]]&lt;0.8,"Developing",
     TRUE,"Ready")</f>
        <v/>
      </c>
      <c r="Q96" s="4" t="e" cm="1" vm="1">
        <f t="array" ref="Q96">_xlfn.TEXTJOIN(", ",TRUE,
  _xlfn._xlws.FILTER(JobCodeSkills!$G:$G,
    (JobCodeSkills!$B:$B=EmployeesTable[[#This Row],[Job Code]])*
    (JobCodeSkills!$K:$K="Required")
  )
)</f>
        <v>#VALUE!</v>
      </c>
      <c r="R96" s="4"/>
      <c r="S96" s="4"/>
      <c r="T96" s="4"/>
      <c r="U96" s="4"/>
      <c r="V96" s="4" t="str" cm="1">
        <f t="array" ref="V96">IF(EmployeesTable[[#This Row],[Additional Executive Role]]="","",
  _xlfn.TEXTJOIN(", ",TRUE,
    _xlfn._xlws.FILTER(ExecRoleSkills!$B:$B,
      ExecRoleSkills!$A:$A=EmployeesTable[[#This Row],[Additional Executive Role]]
    )
  )
)</f>
        <v/>
      </c>
    </row>
    <row r="97" spans="1:22" ht="30" x14ac:dyDescent="0.25">
      <c r="A97" s="19" t="s">
        <v>123</v>
      </c>
      <c r="B97" s="9">
        <v>11401</v>
      </c>
      <c r="C97" s="3" t="s">
        <v>113</v>
      </c>
      <c r="D97" s="9"/>
      <c r="E97" s="15">
        <v>45237</v>
      </c>
      <c r="F97" s="3" t="s">
        <v>124</v>
      </c>
      <c r="G97" s="3" t="s">
        <v>125</v>
      </c>
      <c r="H97" s="3" t="s">
        <v>12</v>
      </c>
      <c r="I97" s="10" t="s">
        <v>712</v>
      </c>
      <c r="J97" s="4"/>
      <c r="K97" s="4"/>
      <c r="L97" s="4"/>
      <c r="M97" s="4">
        <f>COUNTIFS(JobCodeSkills!$B:$B, EmployeesTable[[#This Row],[Succession Plan Job Code]],
          JobCodeSkills!$K:$K, "Required")</f>
        <v>0</v>
      </c>
      <c r="N97" s="4">
        <f>COUNTIFS(EmployeeSkills!$A:$A, EmployeesTable[[#This Row],[User Name]],
          EmployeeSkills!$B:$B, EmployeesTable[[#This Row],[Succession Plan Job Code]],
          EmployeeSkills!$D:$D, "Competent")</f>
        <v>0</v>
      </c>
      <c r="O97" s="4" t="str">
        <f>IF(EmployeesTable[[#This Row],[Succession Skills Ready – Required Total]]=0,"",
   EmployeesTable[[#This Row],[Succession Skills Ready – Required Met]]/EmployeesTable[[#This Row],[Succession Skills Ready – Required Total]])</f>
        <v/>
      </c>
      <c r="P97" s="4" t="str" cm="1">
        <f t="array" ref="P97">_xlfn.IFS(EmployeesTable[[#This Row],[Succession Skills Readiness %]]="","",
     EmployeesTable[[#This Row],[Succession Skills Readiness %]]&lt;0.6,"Not Ready",
     EmployeesTable[[#This Row],[Succession Skills Readiness %]]&lt;0.8,"Developing",
     TRUE,"Ready")</f>
        <v/>
      </c>
      <c r="Q97" s="4" t="e" cm="1" vm="1">
        <f t="array" ref="Q97">_xlfn.TEXTJOIN(", ",TRUE,
  _xlfn._xlws.FILTER(JobCodeSkills!$G:$G,
    (JobCodeSkills!$B:$B=EmployeesTable[[#This Row],[Job Code]])*
    (JobCodeSkills!$K:$K="Required")
  )
)</f>
        <v>#VALUE!</v>
      </c>
      <c r="R97" s="4"/>
      <c r="S97" s="4"/>
      <c r="T97" s="4"/>
      <c r="U97" s="4"/>
      <c r="V97" s="4" t="str" cm="1">
        <f t="array" ref="V97">IF(EmployeesTable[[#This Row],[Additional Executive Role]]="","",
  _xlfn.TEXTJOIN(", ",TRUE,
    _xlfn._xlws.FILTER(ExecRoleSkills!$B:$B,
      ExecRoleSkills!$A:$A=EmployeesTable[[#This Row],[Additional Executive Role]]
    )
  )
)</f>
        <v/>
      </c>
    </row>
    <row r="98" spans="1:22" ht="30" x14ac:dyDescent="0.25">
      <c r="A98" s="19" t="s">
        <v>235</v>
      </c>
      <c r="B98" s="9">
        <v>10803</v>
      </c>
      <c r="C98" s="3" t="s">
        <v>133</v>
      </c>
      <c r="D98" s="9"/>
      <c r="E98" s="15">
        <v>45202</v>
      </c>
      <c r="F98" s="3" t="s">
        <v>236</v>
      </c>
      <c r="G98" s="3" t="s">
        <v>129</v>
      </c>
      <c r="H98" s="3" t="s">
        <v>12</v>
      </c>
      <c r="I98" s="10" t="s">
        <v>712</v>
      </c>
      <c r="J98" s="4"/>
      <c r="K98" s="4"/>
      <c r="L98" s="4"/>
      <c r="M98" s="4">
        <f>COUNTIFS(JobCodeSkills!$B:$B, EmployeesTable[[#This Row],[Succession Plan Job Code]],
          JobCodeSkills!$K:$K, "Required")</f>
        <v>0</v>
      </c>
      <c r="N98" s="4">
        <f>COUNTIFS(EmployeeSkills!$A:$A, EmployeesTable[[#This Row],[User Name]],
          EmployeeSkills!$B:$B, EmployeesTable[[#This Row],[Succession Plan Job Code]],
          EmployeeSkills!$D:$D, "Competent")</f>
        <v>0</v>
      </c>
      <c r="O98" s="4" t="str">
        <f>IF(EmployeesTable[[#This Row],[Succession Skills Ready – Required Total]]=0,"",
   EmployeesTable[[#This Row],[Succession Skills Ready – Required Met]]/EmployeesTable[[#This Row],[Succession Skills Ready – Required Total]])</f>
        <v/>
      </c>
      <c r="P98" s="4" t="str" cm="1">
        <f t="array" ref="P98">_xlfn.IFS(EmployeesTable[[#This Row],[Succession Skills Readiness %]]="","",
     EmployeesTable[[#This Row],[Succession Skills Readiness %]]&lt;0.6,"Not Ready",
     EmployeesTable[[#This Row],[Succession Skills Readiness %]]&lt;0.8,"Developing",
     TRUE,"Ready")</f>
        <v/>
      </c>
      <c r="Q98" s="4" t="e" cm="1" vm="1">
        <f t="array" ref="Q98">_xlfn.TEXTJOIN(", ",TRUE,
  _xlfn._xlws.FILTER(JobCodeSkills!$G:$G,
    (JobCodeSkills!$B:$B=EmployeesTable[[#This Row],[Job Code]])*
    (JobCodeSkills!$K:$K="Required")
  )
)</f>
        <v>#VALUE!</v>
      </c>
      <c r="R98" s="4"/>
      <c r="S98" s="4"/>
      <c r="T98" s="4"/>
      <c r="U98" s="4"/>
      <c r="V98" s="4" t="str" cm="1">
        <f t="array" ref="V98">IF(EmployeesTable[[#This Row],[Additional Executive Role]]="","",
  _xlfn.TEXTJOIN(", ",TRUE,
    _xlfn._xlws.FILTER(ExecRoleSkills!$B:$B,
      ExecRoleSkills!$A:$A=EmployeesTable[[#This Row],[Additional Executive Role]]
    )
  )
)</f>
        <v/>
      </c>
    </row>
    <row r="99" spans="1:22" ht="30" x14ac:dyDescent="0.25">
      <c r="A99" s="19" t="s">
        <v>231</v>
      </c>
      <c r="B99" s="9">
        <v>10705</v>
      </c>
      <c r="C99" s="3" t="s">
        <v>136</v>
      </c>
      <c r="D99" s="9"/>
      <c r="E99" s="15">
        <v>45405</v>
      </c>
      <c r="F99" s="3" t="s">
        <v>232</v>
      </c>
      <c r="G99" s="3" t="s">
        <v>129</v>
      </c>
      <c r="H99" s="3" t="s">
        <v>12</v>
      </c>
      <c r="I99" s="10" t="s">
        <v>712</v>
      </c>
      <c r="J99" s="4"/>
      <c r="K99" s="4"/>
      <c r="L99" s="4"/>
      <c r="M99" s="4">
        <f>COUNTIFS(JobCodeSkills!$B:$B, EmployeesTable[[#This Row],[Succession Plan Job Code]],
          JobCodeSkills!$K:$K, "Required")</f>
        <v>0</v>
      </c>
      <c r="N99" s="4">
        <f>COUNTIFS(EmployeeSkills!$A:$A, EmployeesTable[[#This Row],[User Name]],
          EmployeeSkills!$B:$B, EmployeesTable[[#This Row],[Succession Plan Job Code]],
          EmployeeSkills!$D:$D, "Competent")</f>
        <v>0</v>
      </c>
      <c r="O99" s="4" t="str">
        <f>IF(EmployeesTable[[#This Row],[Succession Skills Ready – Required Total]]=0,"",
   EmployeesTable[[#This Row],[Succession Skills Ready – Required Met]]/EmployeesTable[[#This Row],[Succession Skills Ready – Required Total]])</f>
        <v/>
      </c>
      <c r="P99" s="4" t="str" cm="1">
        <f t="array" ref="P99">_xlfn.IFS(EmployeesTable[[#This Row],[Succession Skills Readiness %]]="","",
     EmployeesTable[[#This Row],[Succession Skills Readiness %]]&lt;0.6,"Not Ready",
     EmployeesTable[[#This Row],[Succession Skills Readiness %]]&lt;0.8,"Developing",
     TRUE,"Ready")</f>
        <v/>
      </c>
      <c r="Q99" s="4" t="e" cm="1" vm="1">
        <f t="array" ref="Q99">_xlfn.TEXTJOIN(", ",TRUE,
  _xlfn._xlws.FILTER(JobCodeSkills!$G:$G,
    (JobCodeSkills!$B:$B=EmployeesTable[[#This Row],[Job Code]])*
    (JobCodeSkills!$K:$K="Required")
  )
)</f>
        <v>#VALUE!</v>
      </c>
      <c r="R99" s="4"/>
      <c r="S99" s="4"/>
      <c r="T99" s="4"/>
      <c r="U99" s="4"/>
      <c r="V99" s="4" t="str" cm="1">
        <f t="array" ref="V99">IF(EmployeesTable[[#This Row],[Additional Executive Role]]="","",
  _xlfn.TEXTJOIN(", ",TRUE,
    _xlfn._xlws.FILTER(ExecRoleSkills!$B:$B,
      ExecRoleSkills!$A:$A=EmployeesTable[[#This Row],[Additional Executive Role]]
    )
  )
)</f>
        <v/>
      </c>
    </row>
    <row r="100" spans="1:22" ht="30" x14ac:dyDescent="0.25">
      <c r="A100" s="19" t="s">
        <v>233</v>
      </c>
      <c r="B100" s="9">
        <v>10705</v>
      </c>
      <c r="C100" s="3" t="s">
        <v>136</v>
      </c>
      <c r="D100" s="9"/>
      <c r="E100" s="15">
        <v>45377</v>
      </c>
      <c r="F100" s="3" t="s">
        <v>234</v>
      </c>
      <c r="G100" s="3" t="s">
        <v>129</v>
      </c>
      <c r="H100" s="3" t="s">
        <v>12</v>
      </c>
      <c r="I100" s="10" t="s">
        <v>712</v>
      </c>
      <c r="J100" s="4"/>
      <c r="K100" s="4"/>
      <c r="L100" s="4"/>
      <c r="M100" s="4">
        <f>COUNTIFS(JobCodeSkills!$B:$B, EmployeesTable[[#This Row],[Succession Plan Job Code]],
          JobCodeSkills!$K:$K, "Required")</f>
        <v>0</v>
      </c>
      <c r="N100" s="4">
        <f>COUNTIFS(EmployeeSkills!$A:$A, EmployeesTable[[#This Row],[User Name]],
          EmployeeSkills!$B:$B, EmployeesTable[[#This Row],[Succession Plan Job Code]],
          EmployeeSkills!$D:$D, "Competent")</f>
        <v>0</v>
      </c>
      <c r="O100" s="4" t="str">
        <f>IF(EmployeesTable[[#This Row],[Succession Skills Ready – Required Total]]=0,"",
   EmployeesTable[[#This Row],[Succession Skills Ready – Required Met]]/EmployeesTable[[#This Row],[Succession Skills Ready – Required Total]])</f>
        <v/>
      </c>
      <c r="P100" s="4" t="str" cm="1">
        <f t="array" ref="P100">_xlfn.IFS(EmployeesTable[[#This Row],[Succession Skills Readiness %]]="","",
     EmployeesTable[[#This Row],[Succession Skills Readiness %]]&lt;0.6,"Not Ready",
     EmployeesTable[[#This Row],[Succession Skills Readiness %]]&lt;0.8,"Developing",
     TRUE,"Ready")</f>
        <v/>
      </c>
      <c r="Q100" s="4" t="e" cm="1" vm="1">
        <f t="array" ref="Q100">_xlfn.TEXTJOIN(", ",TRUE,
  _xlfn._xlws.FILTER(JobCodeSkills!$G:$G,
    (JobCodeSkills!$B:$B=EmployeesTable[[#This Row],[Job Code]])*
    (JobCodeSkills!$K:$K="Required")
  )
)</f>
        <v>#VALUE!</v>
      </c>
      <c r="R100" s="4"/>
      <c r="S100" s="4"/>
      <c r="T100" s="4"/>
      <c r="U100" s="4"/>
      <c r="V100" s="4" t="str" cm="1">
        <f t="array" ref="V100">IF(EmployeesTable[[#This Row],[Additional Executive Role]]="","",
  _xlfn.TEXTJOIN(", ",TRUE,
    _xlfn._xlws.FILTER(ExecRoleSkills!$B:$B,
      ExecRoleSkills!$A:$A=EmployeesTable[[#This Row],[Additional Executive Role]]
    )
  )
)</f>
        <v/>
      </c>
    </row>
    <row r="101" spans="1:22" ht="30" x14ac:dyDescent="0.25">
      <c r="A101" s="19" t="s">
        <v>512</v>
      </c>
      <c r="B101" s="9">
        <v>10804</v>
      </c>
      <c r="C101" s="3" t="s">
        <v>167</v>
      </c>
      <c r="D101" s="9"/>
      <c r="E101" s="15">
        <v>43727</v>
      </c>
      <c r="F101" s="3" t="s">
        <v>513</v>
      </c>
      <c r="G101" s="3" t="s">
        <v>454</v>
      </c>
      <c r="H101" s="3" t="s">
        <v>12</v>
      </c>
      <c r="I101" s="9" t="s">
        <v>13</v>
      </c>
      <c r="J101" s="4"/>
      <c r="K101" s="4"/>
      <c r="L101" s="4"/>
      <c r="M101" s="4">
        <f>COUNTIFS(JobCodeSkills!$B:$B, EmployeesTable[[#This Row],[Succession Plan Job Code]],
          JobCodeSkills!$K:$K, "Required")</f>
        <v>0</v>
      </c>
      <c r="N101" s="4">
        <f>COUNTIFS(EmployeeSkills!$A:$A, EmployeesTable[[#This Row],[User Name]],
          EmployeeSkills!$B:$B, EmployeesTable[[#This Row],[Succession Plan Job Code]],
          EmployeeSkills!$D:$D, "Competent")</f>
        <v>0</v>
      </c>
      <c r="O101" s="4" t="str">
        <f>IF(EmployeesTable[[#This Row],[Succession Skills Ready – Required Total]]=0,"",
   EmployeesTable[[#This Row],[Succession Skills Ready – Required Met]]/EmployeesTable[[#This Row],[Succession Skills Ready – Required Total]])</f>
        <v/>
      </c>
      <c r="P101" s="4" t="str" cm="1">
        <f t="array" ref="P101">_xlfn.IFS(EmployeesTable[[#This Row],[Succession Skills Readiness %]]="","",
     EmployeesTable[[#This Row],[Succession Skills Readiness %]]&lt;0.6,"Not Ready",
     EmployeesTable[[#This Row],[Succession Skills Readiness %]]&lt;0.8,"Developing",
     TRUE,"Ready")</f>
        <v/>
      </c>
      <c r="Q101" s="4" t="e" cm="1" vm="1">
        <f t="array" ref="Q101">_xlfn.TEXTJOIN(", ",TRUE,
  _xlfn._xlws.FILTER(JobCodeSkills!$G:$G,
    (JobCodeSkills!$B:$B=EmployeesTable[[#This Row],[Job Code]])*
    (JobCodeSkills!$K:$K="Required")
  )
)</f>
        <v>#VALUE!</v>
      </c>
      <c r="R101" s="4"/>
      <c r="S101" s="4"/>
      <c r="T101" s="4"/>
      <c r="U101" s="4"/>
      <c r="V101" s="4" t="str" cm="1">
        <f t="array" ref="V101">IF(EmployeesTable[[#This Row],[Additional Executive Role]]="","",
  _xlfn.TEXTJOIN(", ",TRUE,
    _xlfn._xlws.FILTER(ExecRoleSkills!$B:$B,
      ExecRoleSkills!$A:$A=EmployeesTable[[#This Row],[Additional Executive Role]]
    )
  )
)</f>
        <v/>
      </c>
    </row>
    <row r="102" spans="1:22" ht="30" x14ac:dyDescent="0.25">
      <c r="A102" s="19" t="s">
        <v>514</v>
      </c>
      <c r="B102" s="9">
        <v>30501</v>
      </c>
      <c r="C102" s="3" t="s">
        <v>515</v>
      </c>
      <c r="D102" s="9"/>
      <c r="E102" s="15">
        <v>44763</v>
      </c>
      <c r="F102" s="3" t="s">
        <v>516</v>
      </c>
      <c r="G102" s="3" t="s">
        <v>454</v>
      </c>
      <c r="H102" s="3" t="s">
        <v>12</v>
      </c>
      <c r="I102" s="9" t="s">
        <v>13</v>
      </c>
      <c r="J102" s="4"/>
      <c r="K102" s="4"/>
      <c r="L102" s="4"/>
      <c r="M102" s="4">
        <f>COUNTIFS(JobCodeSkills!$B:$B, EmployeesTable[[#This Row],[Succession Plan Job Code]],
          JobCodeSkills!$K:$K, "Required")</f>
        <v>0</v>
      </c>
      <c r="N102" s="4">
        <f>COUNTIFS(EmployeeSkills!$A:$A, EmployeesTable[[#This Row],[User Name]],
          EmployeeSkills!$B:$B, EmployeesTable[[#This Row],[Succession Plan Job Code]],
          EmployeeSkills!$D:$D, "Competent")</f>
        <v>0</v>
      </c>
      <c r="O102" s="4" t="str">
        <f>IF(EmployeesTable[[#This Row],[Succession Skills Ready – Required Total]]=0,"",
   EmployeesTable[[#This Row],[Succession Skills Ready – Required Met]]/EmployeesTable[[#This Row],[Succession Skills Ready – Required Total]])</f>
        <v/>
      </c>
      <c r="P102" s="4" t="str" cm="1">
        <f t="array" ref="P102">_xlfn.IFS(EmployeesTable[[#This Row],[Succession Skills Readiness %]]="","",
     EmployeesTable[[#This Row],[Succession Skills Readiness %]]&lt;0.6,"Not Ready",
     EmployeesTable[[#This Row],[Succession Skills Readiness %]]&lt;0.8,"Developing",
     TRUE,"Ready")</f>
        <v/>
      </c>
      <c r="Q102" s="4" t="e" cm="1" vm="1">
        <f t="array" ref="Q102">_xlfn.TEXTJOIN(", ",TRUE,
  _xlfn._xlws.FILTER(JobCodeSkills!$G:$G,
    (JobCodeSkills!$B:$B=EmployeesTable[[#This Row],[Job Code]])*
    (JobCodeSkills!$K:$K="Required")
  )
)</f>
        <v>#VALUE!</v>
      </c>
      <c r="R102" s="4"/>
      <c r="S102" s="4"/>
      <c r="T102" s="4"/>
      <c r="U102" s="4"/>
      <c r="V102" s="4" t="str" cm="1">
        <f t="array" ref="V102">IF(EmployeesTable[[#This Row],[Additional Executive Role]]="","",
  _xlfn.TEXTJOIN(", ",TRUE,
    _xlfn._xlws.FILTER(ExecRoleSkills!$B:$B,
      ExecRoleSkills!$A:$A=EmployeesTable[[#This Row],[Additional Executive Role]]
    )
  )
)</f>
        <v/>
      </c>
    </row>
    <row r="103" spans="1:22" ht="30" x14ac:dyDescent="0.25">
      <c r="A103" s="19" t="s">
        <v>237</v>
      </c>
      <c r="B103" s="9">
        <v>10303</v>
      </c>
      <c r="C103" s="3" t="s">
        <v>200</v>
      </c>
      <c r="D103" s="9"/>
      <c r="E103" s="15">
        <v>40833</v>
      </c>
      <c r="F103" s="3" t="s">
        <v>238</v>
      </c>
      <c r="G103" s="3" t="s">
        <v>129</v>
      </c>
      <c r="H103" s="3" t="s">
        <v>12</v>
      </c>
      <c r="I103" s="10" t="s">
        <v>712</v>
      </c>
      <c r="J103" s="4"/>
      <c r="K103" s="4"/>
      <c r="L103" s="4"/>
      <c r="M103" s="4">
        <f>COUNTIFS(JobCodeSkills!$B:$B, EmployeesTable[[#This Row],[Succession Plan Job Code]],
          JobCodeSkills!$K:$K, "Required")</f>
        <v>0</v>
      </c>
      <c r="N103" s="4">
        <f>COUNTIFS(EmployeeSkills!$A:$A, EmployeesTable[[#This Row],[User Name]],
          EmployeeSkills!$B:$B, EmployeesTable[[#This Row],[Succession Plan Job Code]],
          EmployeeSkills!$D:$D, "Competent")</f>
        <v>0</v>
      </c>
      <c r="O103" s="4" t="str">
        <f>IF(EmployeesTable[[#This Row],[Succession Skills Ready – Required Total]]=0,"",
   EmployeesTable[[#This Row],[Succession Skills Ready – Required Met]]/EmployeesTable[[#This Row],[Succession Skills Ready – Required Total]])</f>
        <v/>
      </c>
      <c r="P103" s="4" t="str" cm="1">
        <f t="array" ref="P103">_xlfn.IFS(EmployeesTable[[#This Row],[Succession Skills Readiness %]]="","",
     EmployeesTable[[#This Row],[Succession Skills Readiness %]]&lt;0.6,"Not Ready",
     EmployeesTable[[#This Row],[Succession Skills Readiness %]]&lt;0.8,"Developing",
     TRUE,"Ready")</f>
        <v/>
      </c>
      <c r="Q103" s="4" t="e" cm="1" vm="1">
        <f t="array" ref="Q103">_xlfn.TEXTJOIN(", ",TRUE,
  _xlfn._xlws.FILTER(JobCodeSkills!$G:$G,
    (JobCodeSkills!$B:$B=EmployeesTable[[#This Row],[Job Code]])*
    (JobCodeSkills!$K:$K="Required")
  )
)</f>
        <v>#VALUE!</v>
      </c>
      <c r="R103" s="4"/>
      <c r="S103" s="4"/>
      <c r="T103" s="4"/>
      <c r="U103" s="4"/>
      <c r="V103" s="4" t="str" cm="1">
        <f t="array" ref="V103">IF(EmployeesTable[[#This Row],[Additional Executive Role]]="","",
  _xlfn.TEXTJOIN(", ",TRUE,
    _xlfn._xlws.FILTER(ExecRoleSkills!$B:$B,
      ExecRoleSkills!$A:$A=EmployeesTable[[#This Row],[Additional Executive Role]]
    )
  )
)</f>
        <v/>
      </c>
    </row>
    <row r="104" spans="1:22" ht="30" x14ac:dyDescent="0.25">
      <c r="A104" s="19" t="s">
        <v>239</v>
      </c>
      <c r="B104" s="9">
        <v>10302</v>
      </c>
      <c r="C104" s="3" t="s">
        <v>240</v>
      </c>
      <c r="D104" s="9"/>
      <c r="E104" s="15">
        <v>40759</v>
      </c>
      <c r="F104" s="3" t="s">
        <v>241</v>
      </c>
      <c r="G104" s="3" t="s">
        <v>129</v>
      </c>
      <c r="H104" s="3" t="s">
        <v>12</v>
      </c>
      <c r="I104" s="10" t="s">
        <v>712</v>
      </c>
      <c r="J104" s="4"/>
      <c r="K104" s="4"/>
      <c r="L104" s="4"/>
      <c r="M104" s="4">
        <f>COUNTIFS(JobCodeSkills!$B:$B, EmployeesTable[[#This Row],[Succession Plan Job Code]],
          JobCodeSkills!$K:$K, "Required")</f>
        <v>0</v>
      </c>
      <c r="N104" s="4">
        <f>COUNTIFS(EmployeeSkills!$A:$A, EmployeesTable[[#This Row],[User Name]],
          EmployeeSkills!$B:$B, EmployeesTable[[#This Row],[Succession Plan Job Code]],
          EmployeeSkills!$D:$D, "Competent")</f>
        <v>0</v>
      </c>
      <c r="O104" s="4" t="str">
        <f>IF(EmployeesTable[[#This Row],[Succession Skills Ready – Required Total]]=0,"",
   EmployeesTable[[#This Row],[Succession Skills Ready – Required Met]]/EmployeesTable[[#This Row],[Succession Skills Ready – Required Total]])</f>
        <v/>
      </c>
      <c r="P104" s="4" t="str" cm="1">
        <f t="array" ref="P104">_xlfn.IFS(EmployeesTable[[#This Row],[Succession Skills Readiness %]]="","",
     EmployeesTable[[#This Row],[Succession Skills Readiness %]]&lt;0.6,"Not Ready",
     EmployeesTable[[#This Row],[Succession Skills Readiness %]]&lt;0.8,"Developing",
     TRUE,"Ready")</f>
        <v/>
      </c>
      <c r="Q104" s="4" t="str" cm="1">
        <f t="array" ref="Q104">_xlfn.TEXTJOIN(", ",TRUE,
  _xlfn._xlws.FILTER(JobCodeSkills!$G:$G,
    (JobCodeSkills!$B:$B=EmployeesTable[[#This Row],[Job Code]])*
    (JobCodeSkills!$K:$K="Required")
  )
)</f>
        <v>Sustain budget and schedule performance over time, Maintain stable foreman and crew performance, Maintain stable foreman and crew performance, Maintain stable foreman and crew performance, Maintain stable foreman and crew performance, Maintain stable foreman and crew performance, Maintain stable foreman and crew performance, Sustain budget and schedule performance over time, Sustain budget and schedule performance over time, Maintain stable foreman and crew performance, Maintain stable foreman and crew performance, Maintain stable foreman and crew performance, Maintain stable foreman and crew performance, Maintain stable foreman and crew performance, Maintain stable foreman and crew performance, Maintain stable foreman and crew performance, Maintain stable foreman and crew performance, Maintain stable foreman and crew performance, Maintain stable foreman and crew performance, Maintain stable foreman and crew performance, Sustain budget and schedule performance over time, Sustain budget and schedule performance over time, Maintain stable foreman and crew performance, Sustain budget and schedule performance over time, Maintain stable foreman and crew performance, Maintain stable foreman and crew performance, Maintain stable foreman and crew performance, Maintain stable foreman and crew performance, Maintain stable foreman and crew performance, Sustain budget and schedule performance over time, Sustain budget and schedule performance over time, Sustain budget and schedule performance over time, Sustain budget and schedule performance over time, Maintain stable foreman and crew performance, Maintain stable foreman and crew performance, Sustain budget and schedule performance over time, Maintain stable foreman and crew performance, Sustain budget and schedule performance over time, Sustain budget and schedule performance over time, Maintain stable foreman and crew performance, Maintain stable foreman and crew performance, Maintain stable foreman and crew performance, Maintain stable foreman and crew performance, Maintain stable foreman and crew performance, Maintain stable foreman and crew performance, Maintain stable foreman and crew performance, Maintain stable foreman and crew performance, Maintain stable foreman and crew performance, Maintain stable foreman and crew performance, Maintain stable foreman and crew performance, Maintain stable foreman and crew performance, Maintain stable foreman and crew performance, Sustain budget and schedule performance over time, Sustain budget and schedule performance over time, Sustain budget and schedule performance over time, Maintain stable foreman and crew performance, Maintain stable foreman and crew performance, Sustain budget and schedule performance over time, Sustain budget and schedule performance over time, Sustain budget and schedule performance over time, Maintain stable foreman and crew performance, Maintain stable foreman and crew performance, Sustain budget and schedule performance over time, Sustain budget and schedule performance over time, Sustain budget and schedule performance over time, Maintain stable foreman and crew performance, Maintain stable foreman and crew performance, Maintain stable foreman and crew performance, Maintain stable foreman and crew performance, Maintain stable foreman and crew performance, Sustain budget and schedule performance over time, Sustain budget and schedule performance over time, Sustain budget and schedule performance over time, Maintain stable foreman and crew performance, Sustain budget and schedule performance over time, Maintain stable foreman and crew performance, Maintain stable foreman and crew performance, Maintain stable foreman and crew performance, Maintain stable foreman and crew performance, Maintain stable foreman and crew performance, Sustain budget and schedule performance over time, Sustain budget and schedule performance over time, Maintain stable foreman and crew performance, Sustain budget and schedule performance over time, Maintain stable foreman and crew performance, Maintain stable foreman and crew performance, Maintain stable foreman and crew performance, Maintain stable foreman and crew performance, Maintain stable foreman and crew performance, Maintain stable foreman and crew performance, Sustain budget and schedule performance over time, Maintain stable foreman and crew performance, Sustain budget and schedule performance over time, Maintain stable foreman and crew performance, Sustain budget and schedule performance over time, Sustain budget and schedule performance over time, Sustain budget and schedule performance over time, Sustain budget and schedule performance over time, Sustain budget and schedule performance over time, Maintain stable foreman and crew performance, Maintain stable foreman and crew performance, Sustain budget and schedule performance over time, Sustain budget and schedule performance over time, Sustain budget and schedule performance over time, Sustain budget and schedule performance over time, Sustain budget and schedule performance over time, Sustain budget and schedule performance over time, Sustain budget and schedule performance over time, Sustain budget and schedule performance over time, Sustain budget and schedule performance over time, Maintain stable foreman and crew performance, Maintain stable foreman and crew performance, Sustain budget and schedule performance over time, Sustain budget and schedule performance over time, Sustain budget and schedule performance over time, Maintain stable foreman and crew performance, Maintain stable foreman and crew performance, Sustain budget and schedule performance over time, Sustain budget and schedule performance over time</v>
      </c>
      <c r="R104" s="4"/>
      <c r="S104" s="4"/>
      <c r="T104" s="4"/>
      <c r="U104" s="4"/>
      <c r="V104" s="4" t="str" cm="1">
        <f t="array" ref="V104">IF(EmployeesTable[[#This Row],[Additional Executive Role]]="","",
  _xlfn.TEXTJOIN(", ",TRUE,
    _xlfn._xlws.FILTER(ExecRoleSkills!$B:$B,
      ExecRoleSkills!$A:$A=EmployeesTable[[#This Row],[Additional Executive Role]]
    )
  )
)</f>
        <v/>
      </c>
    </row>
    <row r="105" spans="1:22" ht="30" x14ac:dyDescent="0.25">
      <c r="A105" s="19" t="s">
        <v>517</v>
      </c>
      <c r="B105" s="9">
        <v>10804</v>
      </c>
      <c r="C105" s="3" t="s">
        <v>167</v>
      </c>
      <c r="D105" s="9"/>
      <c r="E105" s="15">
        <v>43250</v>
      </c>
      <c r="F105" s="3" t="s">
        <v>518</v>
      </c>
      <c r="G105" s="3" t="s">
        <v>454</v>
      </c>
      <c r="H105" s="3" t="s">
        <v>12</v>
      </c>
      <c r="I105" s="9" t="s">
        <v>13</v>
      </c>
      <c r="J105" s="4"/>
      <c r="K105" s="4"/>
      <c r="L105" s="4"/>
      <c r="M105" s="4">
        <f>COUNTIFS(JobCodeSkills!$B:$B, EmployeesTable[[#This Row],[Succession Plan Job Code]],
          JobCodeSkills!$K:$K, "Required")</f>
        <v>0</v>
      </c>
      <c r="N105" s="4">
        <f>COUNTIFS(EmployeeSkills!$A:$A, EmployeesTable[[#This Row],[User Name]],
          EmployeeSkills!$B:$B, EmployeesTable[[#This Row],[Succession Plan Job Code]],
          EmployeeSkills!$D:$D, "Competent")</f>
        <v>0</v>
      </c>
      <c r="O105" s="4" t="str">
        <f>IF(EmployeesTable[[#This Row],[Succession Skills Ready – Required Total]]=0,"",
   EmployeesTable[[#This Row],[Succession Skills Ready – Required Met]]/EmployeesTable[[#This Row],[Succession Skills Ready – Required Total]])</f>
        <v/>
      </c>
      <c r="P105" s="4" t="str" cm="1">
        <f t="array" ref="P105">_xlfn.IFS(EmployeesTable[[#This Row],[Succession Skills Readiness %]]="","",
     EmployeesTable[[#This Row],[Succession Skills Readiness %]]&lt;0.6,"Not Ready",
     EmployeesTable[[#This Row],[Succession Skills Readiness %]]&lt;0.8,"Developing",
     TRUE,"Ready")</f>
        <v/>
      </c>
      <c r="Q105" s="4" t="e" cm="1" vm="1">
        <f t="array" ref="Q105">_xlfn.TEXTJOIN(", ",TRUE,
  _xlfn._xlws.FILTER(JobCodeSkills!$G:$G,
    (JobCodeSkills!$B:$B=EmployeesTable[[#This Row],[Job Code]])*
    (JobCodeSkills!$K:$K="Required")
  )
)</f>
        <v>#VALUE!</v>
      </c>
      <c r="R105" s="4"/>
      <c r="S105" s="4"/>
      <c r="T105" s="4"/>
      <c r="U105" s="4"/>
      <c r="V105" s="4" t="str" cm="1">
        <f t="array" ref="V105">IF(EmployeesTable[[#This Row],[Additional Executive Role]]="","",
  _xlfn.TEXTJOIN(", ",TRUE,
    _xlfn._xlws.FILTER(ExecRoleSkills!$B:$B,
      ExecRoleSkills!$A:$A=EmployeesTable[[#This Row],[Additional Executive Role]]
    )
  )
)</f>
        <v/>
      </c>
    </row>
    <row r="106" spans="1:22" ht="30" x14ac:dyDescent="0.25">
      <c r="A106" s="19" t="s">
        <v>242</v>
      </c>
      <c r="B106" s="9">
        <v>10401</v>
      </c>
      <c r="C106" s="3" t="s">
        <v>184</v>
      </c>
      <c r="D106" s="9"/>
      <c r="E106" s="15">
        <v>45412</v>
      </c>
      <c r="F106" s="3" t="s">
        <v>243</v>
      </c>
      <c r="G106" s="3" t="s">
        <v>129</v>
      </c>
      <c r="H106" s="3" t="s">
        <v>12</v>
      </c>
      <c r="I106" s="10" t="s">
        <v>712</v>
      </c>
      <c r="J106" s="4"/>
      <c r="K106" s="4"/>
      <c r="L106" s="4"/>
      <c r="M106" s="4">
        <f>COUNTIFS(JobCodeSkills!$B:$B, EmployeesTable[[#This Row],[Succession Plan Job Code]],
          JobCodeSkills!$K:$K, "Required")</f>
        <v>0</v>
      </c>
      <c r="N106" s="4">
        <f>COUNTIFS(EmployeeSkills!$A:$A, EmployeesTable[[#This Row],[User Name]],
          EmployeeSkills!$B:$B, EmployeesTable[[#This Row],[Succession Plan Job Code]],
          EmployeeSkills!$D:$D, "Competent")</f>
        <v>0</v>
      </c>
      <c r="O106" s="4" t="str">
        <f>IF(EmployeesTable[[#This Row],[Succession Skills Ready – Required Total]]=0,"",
   EmployeesTable[[#This Row],[Succession Skills Ready – Required Met]]/EmployeesTable[[#This Row],[Succession Skills Ready – Required Total]])</f>
        <v/>
      </c>
      <c r="P106" s="4" t="str" cm="1">
        <f t="array" ref="P106">_xlfn.IFS(EmployeesTable[[#This Row],[Succession Skills Readiness %]]="","",
     EmployeesTable[[#This Row],[Succession Skills Readiness %]]&lt;0.6,"Not Ready",
     EmployeesTable[[#This Row],[Succession Skills Readiness %]]&lt;0.8,"Developing",
     TRUE,"Ready")</f>
        <v/>
      </c>
      <c r="Q106" s="4" t="e" cm="1" vm="1">
        <f t="array" ref="Q106">_xlfn.TEXTJOIN(", ",TRUE,
  _xlfn._xlws.FILTER(JobCodeSkills!$G:$G,
    (JobCodeSkills!$B:$B=EmployeesTable[[#This Row],[Job Code]])*
    (JobCodeSkills!$K:$K="Required")
  )
)</f>
        <v>#VALUE!</v>
      </c>
      <c r="R106" s="4"/>
      <c r="S106" s="4"/>
      <c r="T106" s="4"/>
      <c r="U106" s="4"/>
      <c r="V106" s="4" t="str" cm="1">
        <f t="array" ref="V106">IF(EmployeesTable[[#This Row],[Additional Executive Role]]="","",
  _xlfn.TEXTJOIN(", ",TRUE,
    _xlfn._xlws.FILTER(ExecRoleSkills!$B:$B,
      ExecRoleSkills!$A:$A=EmployeesTable[[#This Row],[Additional Executive Role]]
    )
  )
)</f>
        <v/>
      </c>
    </row>
    <row r="107" spans="1:22" ht="30" x14ac:dyDescent="0.25">
      <c r="A107" s="19" t="s">
        <v>246</v>
      </c>
      <c r="B107" s="9">
        <v>10802</v>
      </c>
      <c r="C107" s="3" t="s">
        <v>161</v>
      </c>
      <c r="D107" s="9"/>
      <c r="E107" s="15">
        <v>45306</v>
      </c>
      <c r="F107" s="3" t="s">
        <v>247</v>
      </c>
      <c r="G107" s="3" t="s">
        <v>129</v>
      </c>
      <c r="H107" s="3" t="s">
        <v>12</v>
      </c>
      <c r="I107" s="10" t="s">
        <v>712</v>
      </c>
      <c r="J107" s="4"/>
      <c r="K107" s="4"/>
      <c r="L107" s="4"/>
      <c r="M107" s="4">
        <f>COUNTIFS(JobCodeSkills!$B:$B, EmployeesTable[[#This Row],[Succession Plan Job Code]],
          JobCodeSkills!$K:$K, "Required")</f>
        <v>0</v>
      </c>
      <c r="N107" s="4">
        <f>COUNTIFS(EmployeeSkills!$A:$A, EmployeesTable[[#This Row],[User Name]],
          EmployeeSkills!$B:$B, EmployeesTable[[#This Row],[Succession Plan Job Code]],
          EmployeeSkills!$D:$D, "Competent")</f>
        <v>0</v>
      </c>
      <c r="O107" s="4" t="str">
        <f>IF(EmployeesTable[[#This Row],[Succession Skills Ready – Required Total]]=0,"",
   EmployeesTable[[#This Row],[Succession Skills Ready – Required Met]]/EmployeesTable[[#This Row],[Succession Skills Ready – Required Total]])</f>
        <v/>
      </c>
      <c r="P107" s="4" t="str" cm="1">
        <f t="array" ref="P107">_xlfn.IFS(EmployeesTable[[#This Row],[Succession Skills Readiness %]]="","",
     EmployeesTable[[#This Row],[Succession Skills Readiness %]]&lt;0.6,"Not Ready",
     EmployeesTable[[#This Row],[Succession Skills Readiness %]]&lt;0.8,"Developing",
     TRUE,"Ready")</f>
        <v/>
      </c>
      <c r="Q107" s="4" t="e" cm="1" vm="1">
        <f t="array" ref="Q107">_xlfn.TEXTJOIN(", ",TRUE,
  _xlfn._xlws.FILTER(JobCodeSkills!$G:$G,
    (JobCodeSkills!$B:$B=EmployeesTable[[#This Row],[Job Code]])*
    (JobCodeSkills!$K:$K="Required")
  )
)</f>
        <v>#VALUE!</v>
      </c>
      <c r="R107" s="4"/>
      <c r="S107" s="4"/>
      <c r="T107" s="4"/>
      <c r="U107" s="4"/>
      <c r="V107" s="4" t="str" cm="1">
        <f t="array" ref="V107">IF(EmployeesTable[[#This Row],[Additional Executive Role]]="","",
  _xlfn.TEXTJOIN(", ",TRUE,
    _xlfn._xlws.FILTER(ExecRoleSkills!$B:$B,
      ExecRoleSkills!$A:$A=EmployeesTable[[#This Row],[Additional Executive Role]]
    )
  )
)</f>
        <v/>
      </c>
    </row>
    <row r="108" spans="1:22" ht="30" x14ac:dyDescent="0.25">
      <c r="A108" s="19" t="s">
        <v>244</v>
      </c>
      <c r="B108" s="9">
        <v>10205</v>
      </c>
      <c r="C108" s="3" t="s">
        <v>49</v>
      </c>
      <c r="D108" s="9"/>
      <c r="E108" s="15">
        <v>45538</v>
      </c>
      <c r="F108" s="3" t="s">
        <v>245</v>
      </c>
      <c r="G108" s="3" t="s">
        <v>129</v>
      </c>
      <c r="H108" s="3" t="s">
        <v>12</v>
      </c>
      <c r="I108" s="10" t="s">
        <v>712</v>
      </c>
      <c r="J108" s="4"/>
      <c r="K108" s="4"/>
      <c r="L108" s="4"/>
      <c r="M108" s="4">
        <f>COUNTIFS(JobCodeSkills!$B:$B, EmployeesTable[[#This Row],[Succession Plan Job Code]],
          JobCodeSkills!$K:$K, "Required")</f>
        <v>0</v>
      </c>
      <c r="N108" s="4">
        <f>COUNTIFS(EmployeeSkills!$A:$A, EmployeesTable[[#This Row],[User Name]],
          EmployeeSkills!$B:$B, EmployeesTable[[#This Row],[Succession Plan Job Code]],
          EmployeeSkills!$D:$D, "Competent")</f>
        <v>0</v>
      </c>
      <c r="O108" s="4" t="str">
        <f>IF(EmployeesTable[[#This Row],[Succession Skills Ready – Required Total]]=0,"",
   EmployeesTable[[#This Row],[Succession Skills Ready – Required Met]]/EmployeesTable[[#This Row],[Succession Skills Ready – Required Total]])</f>
        <v/>
      </c>
      <c r="P108" s="4" t="str" cm="1">
        <f t="array" ref="P108">_xlfn.IFS(EmployeesTable[[#This Row],[Succession Skills Readiness %]]="","",
     EmployeesTable[[#This Row],[Succession Skills Readiness %]]&lt;0.6,"Not Ready",
     EmployeesTable[[#This Row],[Succession Skills Readiness %]]&lt;0.8,"Developing",
     TRUE,"Ready")</f>
        <v/>
      </c>
      <c r="Q108" s="4" t="e" cm="1" vm="1">
        <f t="array" ref="Q108">_xlfn.TEXTJOIN(", ",TRUE,
  _xlfn._xlws.FILTER(JobCodeSkills!$G:$G,
    (JobCodeSkills!$B:$B=EmployeesTable[[#This Row],[Job Code]])*
    (JobCodeSkills!$K:$K="Required")
  )
)</f>
        <v>#VALUE!</v>
      </c>
      <c r="R108" s="4"/>
      <c r="S108" s="4"/>
      <c r="T108" s="4"/>
      <c r="U108" s="4"/>
      <c r="V108" s="4" t="str" cm="1">
        <f t="array" ref="V108">IF(EmployeesTable[[#This Row],[Additional Executive Role]]="","",
  _xlfn.TEXTJOIN(", ",TRUE,
    _xlfn._xlws.FILTER(ExecRoleSkills!$B:$B,
      ExecRoleSkills!$A:$A=EmployeesTable[[#This Row],[Additional Executive Role]]
    )
  )
)</f>
        <v/>
      </c>
    </row>
    <row r="109" spans="1:22" ht="30" x14ac:dyDescent="0.25">
      <c r="A109" s="19" t="s">
        <v>104</v>
      </c>
      <c r="B109" s="9">
        <v>11402</v>
      </c>
      <c r="C109" s="3" t="s">
        <v>105</v>
      </c>
      <c r="D109" s="9"/>
      <c r="E109" s="15">
        <v>43118</v>
      </c>
      <c r="F109" s="3" t="s">
        <v>106</v>
      </c>
      <c r="G109" s="3" t="s">
        <v>103</v>
      </c>
      <c r="H109" s="3" t="s">
        <v>12</v>
      </c>
      <c r="I109" s="10" t="s">
        <v>712</v>
      </c>
      <c r="J109" s="4"/>
      <c r="K109" s="4"/>
      <c r="L109" s="4"/>
      <c r="M109" s="4">
        <f>COUNTIFS(JobCodeSkills!$B:$B, EmployeesTable[[#This Row],[Succession Plan Job Code]],
          JobCodeSkills!$K:$K, "Required")</f>
        <v>0</v>
      </c>
      <c r="N109" s="4">
        <f>COUNTIFS(EmployeeSkills!$A:$A, EmployeesTable[[#This Row],[User Name]],
          EmployeeSkills!$B:$B, EmployeesTable[[#This Row],[Succession Plan Job Code]],
          EmployeeSkills!$D:$D, "Competent")</f>
        <v>0</v>
      </c>
      <c r="O109" s="4" t="str">
        <f>IF(EmployeesTable[[#This Row],[Succession Skills Ready – Required Total]]=0,"",
   EmployeesTable[[#This Row],[Succession Skills Ready – Required Met]]/EmployeesTable[[#This Row],[Succession Skills Ready – Required Total]])</f>
        <v/>
      </c>
      <c r="P109" s="4" t="str" cm="1">
        <f t="array" ref="P109">_xlfn.IFS(EmployeesTable[[#This Row],[Succession Skills Readiness %]]="","",
     EmployeesTable[[#This Row],[Succession Skills Readiness %]]&lt;0.6,"Not Ready",
     EmployeesTable[[#This Row],[Succession Skills Readiness %]]&lt;0.8,"Developing",
     TRUE,"Ready")</f>
        <v/>
      </c>
      <c r="Q109" s="4" t="e" cm="1" vm="1">
        <f t="array" ref="Q109">_xlfn.TEXTJOIN(", ",TRUE,
  _xlfn._xlws.FILTER(JobCodeSkills!$G:$G,
    (JobCodeSkills!$B:$B=EmployeesTable[[#This Row],[Job Code]])*
    (JobCodeSkills!$K:$K="Required")
  )
)</f>
        <v>#VALUE!</v>
      </c>
      <c r="R109" s="4"/>
      <c r="S109" s="4"/>
      <c r="T109" s="4"/>
      <c r="U109" s="4"/>
      <c r="V109" s="4" t="str" cm="1">
        <f t="array" ref="V109">IF(EmployeesTable[[#This Row],[Additional Executive Role]]="","",
  _xlfn.TEXTJOIN(", ",TRUE,
    _xlfn._xlws.FILTER(ExecRoleSkills!$B:$B,
      ExecRoleSkills!$A:$A=EmployeesTable[[#This Row],[Additional Executive Role]]
    )
  )
)</f>
        <v/>
      </c>
    </row>
    <row r="110" spans="1:22" ht="30" x14ac:dyDescent="0.25">
      <c r="A110" s="19" t="s">
        <v>519</v>
      </c>
      <c r="B110" s="9">
        <v>10804</v>
      </c>
      <c r="C110" s="3" t="s">
        <v>167</v>
      </c>
      <c r="D110" s="9"/>
      <c r="E110" s="15">
        <v>43111</v>
      </c>
      <c r="F110" s="3" t="s">
        <v>520</v>
      </c>
      <c r="G110" s="3" t="s">
        <v>454</v>
      </c>
      <c r="H110" s="3" t="s">
        <v>12</v>
      </c>
      <c r="I110" s="9" t="s">
        <v>13</v>
      </c>
      <c r="J110" s="4"/>
      <c r="K110" s="4"/>
      <c r="L110" s="4"/>
      <c r="M110" s="4">
        <f>COUNTIFS(JobCodeSkills!$B:$B, EmployeesTable[[#This Row],[Succession Plan Job Code]],
          JobCodeSkills!$K:$K, "Required")</f>
        <v>0</v>
      </c>
      <c r="N110" s="4">
        <f>COUNTIFS(EmployeeSkills!$A:$A, EmployeesTable[[#This Row],[User Name]],
          EmployeeSkills!$B:$B, EmployeesTable[[#This Row],[Succession Plan Job Code]],
          EmployeeSkills!$D:$D, "Competent")</f>
        <v>0</v>
      </c>
      <c r="O110" s="4" t="str">
        <f>IF(EmployeesTable[[#This Row],[Succession Skills Ready – Required Total]]=0,"",
   EmployeesTable[[#This Row],[Succession Skills Ready – Required Met]]/EmployeesTable[[#This Row],[Succession Skills Ready – Required Total]])</f>
        <v/>
      </c>
      <c r="P110" s="4" t="str" cm="1">
        <f t="array" ref="P110">_xlfn.IFS(EmployeesTable[[#This Row],[Succession Skills Readiness %]]="","",
     EmployeesTable[[#This Row],[Succession Skills Readiness %]]&lt;0.6,"Not Ready",
     EmployeesTable[[#This Row],[Succession Skills Readiness %]]&lt;0.8,"Developing",
     TRUE,"Ready")</f>
        <v/>
      </c>
      <c r="Q110" s="4" t="e" cm="1" vm="1">
        <f t="array" ref="Q110">_xlfn.TEXTJOIN(", ",TRUE,
  _xlfn._xlws.FILTER(JobCodeSkills!$G:$G,
    (JobCodeSkills!$B:$B=EmployeesTable[[#This Row],[Job Code]])*
    (JobCodeSkills!$K:$K="Required")
  )
)</f>
        <v>#VALUE!</v>
      </c>
      <c r="R110" s="4"/>
      <c r="S110" s="4"/>
      <c r="T110" s="4"/>
      <c r="U110" s="4"/>
      <c r="V110" s="4" t="str" cm="1">
        <f t="array" ref="V110">IF(EmployeesTable[[#This Row],[Additional Executive Role]]="","",
  _xlfn.TEXTJOIN(", ",TRUE,
    _xlfn._xlws.FILTER(ExecRoleSkills!$B:$B,
      ExecRoleSkills!$A:$A=EmployeesTable[[#This Row],[Additional Executive Role]]
    )
  )
)</f>
        <v/>
      </c>
    </row>
    <row r="111" spans="1:22" ht="30" x14ac:dyDescent="0.25">
      <c r="A111" s="19" t="s">
        <v>248</v>
      </c>
      <c r="B111" s="9">
        <v>10403</v>
      </c>
      <c r="C111" s="3" t="s">
        <v>249</v>
      </c>
      <c r="D111" s="9"/>
      <c r="E111" s="15">
        <v>42030</v>
      </c>
      <c r="F111" s="3" t="s">
        <v>250</v>
      </c>
      <c r="G111" s="3" t="s">
        <v>129</v>
      </c>
      <c r="H111" s="3" t="s">
        <v>12</v>
      </c>
      <c r="I111" s="10" t="s">
        <v>712</v>
      </c>
      <c r="J111" s="4"/>
      <c r="K111" s="4"/>
      <c r="L111" s="4"/>
      <c r="M111" s="4">
        <f>COUNTIFS(JobCodeSkills!$B:$B, EmployeesTable[[#This Row],[Succession Plan Job Code]],
          JobCodeSkills!$K:$K, "Required")</f>
        <v>0</v>
      </c>
      <c r="N111" s="4">
        <f>COUNTIFS(EmployeeSkills!$A:$A, EmployeesTable[[#This Row],[User Name]],
          EmployeeSkills!$B:$B, EmployeesTable[[#This Row],[Succession Plan Job Code]],
          EmployeeSkills!$D:$D, "Competent")</f>
        <v>0</v>
      </c>
      <c r="O111" s="4" t="str">
        <f>IF(EmployeesTable[[#This Row],[Succession Skills Ready – Required Total]]=0,"",
   EmployeesTable[[#This Row],[Succession Skills Ready – Required Met]]/EmployeesTable[[#This Row],[Succession Skills Ready – Required Total]])</f>
        <v/>
      </c>
      <c r="P111" s="4" t="str" cm="1">
        <f t="array" ref="P111">_xlfn.IFS(EmployeesTable[[#This Row],[Succession Skills Readiness %]]="","",
     EmployeesTable[[#This Row],[Succession Skills Readiness %]]&lt;0.6,"Not Ready",
     EmployeesTable[[#This Row],[Succession Skills Readiness %]]&lt;0.8,"Developing",
     TRUE,"Ready")</f>
        <v/>
      </c>
      <c r="Q111" s="4" t="e" cm="1" vm="1">
        <f t="array" ref="Q111">_xlfn.TEXTJOIN(", ",TRUE,
  _xlfn._xlws.FILTER(JobCodeSkills!$G:$G,
    (JobCodeSkills!$B:$B=EmployeesTable[[#This Row],[Job Code]])*
    (JobCodeSkills!$K:$K="Required")
  )
)</f>
        <v>#VALUE!</v>
      </c>
      <c r="R111" s="4"/>
      <c r="S111" s="4"/>
      <c r="T111" s="4"/>
      <c r="U111" s="4"/>
      <c r="V111" s="4" t="str" cm="1">
        <f t="array" ref="V111">IF(EmployeesTable[[#This Row],[Additional Executive Role]]="","",
  _xlfn.TEXTJOIN(", ",TRUE,
    _xlfn._xlws.FILTER(ExecRoleSkills!$B:$B,
      ExecRoleSkills!$A:$A=EmployeesTable[[#This Row],[Additional Executive Role]]
    )
  )
)</f>
        <v/>
      </c>
    </row>
    <row r="112" spans="1:22" ht="30" x14ac:dyDescent="0.25">
      <c r="A112" s="19" t="s">
        <v>521</v>
      </c>
      <c r="B112" s="9">
        <v>10805</v>
      </c>
      <c r="C112" s="3" t="s">
        <v>522</v>
      </c>
      <c r="D112" s="9"/>
      <c r="E112" s="15">
        <v>42103</v>
      </c>
      <c r="F112" s="3" t="s">
        <v>523</v>
      </c>
      <c r="G112" s="3" t="s">
        <v>454</v>
      </c>
      <c r="H112" s="3" t="s">
        <v>12</v>
      </c>
      <c r="I112" s="9" t="s">
        <v>13</v>
      </c>
      <c r="J112" s="4"/>
      <c r="K112" s="4"/>
      <c r="L112" s="4"/>
      <c r="M112" s="4">
        <f>COUNTIFS(JobCodeSkills!$B:$B, EmployeesTable[[#This Row],[Succession Plan Job Code]],
          JobCodeSkills!$K:$K, "Required")</f>
        <v>0</v>
      </c>
      <c r="N112" s="4">
        <f>COUNTIFS(EmployeeSkills!$A:$A, EmployeesTable[[#This Row],[User Name]],
          EmployeeSkills!$B:$B, EmployeesTable[[#This Row],[Succession Plan Job Code]],
          EmployeeSkills!$D:$D, "Competent")</f>
        <v>0</v>
      </c>
      <c r="O112" s="4" t="str">
        <f>IF(EmployeesTable[[#This Row],[Succession Skills Ready – Required Total]]=0,"",
   EmployeesTable[[#This Row],[Succession Skills Ready – Required Met]]/EmployeesTable[[#This Row],[Succession Skills Ready – Required Total]])</f>
        <v/>
      </c>
      <c r="P112" s="4" t="str" cm="1">
        <f t="array" ref="P112">_xlfn.IFS(EmployeesTable[[#This Row],[Succession Skills Readiness %]]="","",
     EmployeesTable[[#This Row],[Succession Skills Readiness %]]&lt;0.6,"Not Ready",
     EmployeesTable[[#This Row],[Succession Skills Readiness %]]&lt;0.8,"Developing",
     TRUE,"Ready")</f>
        <v/>
      </c>
      <c r="Q112" s="4" t="e" cm="1" vm="1">
        <f t="array" ref="Q112">_xlfn.TEXTJOIN(", ",TRUE,
  _xlfn._xlws.FILTER(JobCodeSkills!$G:$G,
    (JobCodeSkills!$B:$B=EmployeesTable[[#This Row],[Job Code]])*
    (JobCodeSkills!$K:$K="Required")
  )
)</f>
        <v>#VALUE!</v>
      </c>
      <c r="R112" s="4"/>
      <c r="S112" s="4"/>
      <c r="T112" s="4"/>
      <c r="U112" s="4"/>
      <c r="V112" s="4" t="str" cm="1">
        <f t="array" ref="V112">IF(EmployeesTable[[#This Row],[Additional Executive Role]]="","",
  _xlfn.TEXTJOIN(", ",TRUE,
    _xlfn._xlws.FILTER(ExecRoleSkills!$B:$B,
      ExecRoleSkills!$A:$A=EmployeesTable[[#This Row],[Additional Executive Role]]
    )
  )
)</f>
        <v/>
      </c>
    </row>
    <row r="113" spans="1:22" ht="45" x14ac:dyDescent="0.25">
      <c r="A113" s="19" t="s">
        <v>33</v>
      </c>
      <c r="B113" s="9">
        <v>10202</v>
      </c>
      <c r="C113" s="3" t="s">
        <v>31</v>
      </c>
      <c r="D113" s="9"/>
      <c r="E113" s="15">
        <v>32825</v>
      </c>
      <c r="F113" s="3" t="s">
        <v>34</v>
      </c>
      <c r="G113" s="3" t="s">
        <v>20</v>
      </c>
      <c r="H113" s="3" t="s">
        <v>12</v>
      </c>
      <c r="I113" s="10" t="s">
        <v>13</v>
      </c>
      <c r="J113" s="4"/>
      <c r="K113" s="4"/>
      <c r="L113" s="4"/>
      <c r="M113" s="4">
        <f>COUNTIFS(JobCodeSkills!$B:$B, EmployeesTable[[#This Row],[Succession Plan Job Code]],
          JobCodeSkills!$K:$K, "Required")</f>
        <v>0</v>
      </c>
      <c r="N113" s="4">
        <f>COUNTIFS(EmployeeSkills!$A:$A, EmployeesTable[[#This Row],[User Name]],
          EmployeeSkills!$B:$B, EmployeesTable[[#This Row],[Succession Plan Job Code]],
          EmployeeSkills!$D:$D, "Competent")</f>
        <v>0</v>
      </c>
      <c r="O113" s="4" t="str">
        <f>IF(EmployeesTable[[#This Row],[Succession Skills Ready – Required Total]]=0,"",
   EmployeesTable[[#This Row],[Succession Skills Ready – Required Met]]/EmployeesTable[[#This Row],[Succession Skills Ready – Required Total]])</f>
        <v/>
      </c>
      <c r="P113" s="4" t="str" cm="1">
        <f t="array" ref="P113">_xlfn.IFS(EmployeesTable[[#This Row],[Succession Skills Readiness %]]="","",
     EmployeesTable[[#This Row],[Succession Skills Readiness %]]&lt;0.6,"Not Ready",
     EmployeesTable[[#This Row],[Succession Skills Readiness %]]&lt;0.8,"Developing",
     TRUE,"Ready")</f>
        <v/>
      </c>
      <c r="Q113" s="4" t="e" cm="1" vm="1">
        <f t="array" ref="Q113">_xlfn.TEXTJOIN(", ",TRUE,
  _xlfn._xlws.FILTER(JobCodeSkills!$G:$G,
    (JobCodeSkills!$B:$B=EmployeesTable[[#This Row],[Job Code]])*
    (JobCodeSkills!$K:$K="Required")
  )
)</f>
        <v>#VALUE!</v>
      </c>
      <c r="R113" s="4"/>
      <c r="S113" s="4"/>
      <c r="T113" s="4"/>
      <c r="U113" s="4"/>
      <c r="V113" s="4" t="str" cm="1">
        <f t="array" ref="V113">IF(EmployeesTable[[#This Row],[Additional Executive Role]]="","",
  _xlfn.TEXTJOIN(", ",TRUE,
    _xlfn._xlws.FILTER(ExecRoleSkills!$B:$B,
      ExecRoleSkills!$A:$A=EmployeesTable[[#This Row],[Additional Executive Role]]
    )
  )
)</f>
        <v/>
      </c>
    </row>
    <row r="114" spans="1:22" ht="30" x14ac:dyDescent="0.25">
      <c r="A114" s="19" t="s">
        <v>524</v>
      </c>
      <c r="B114" s="9">
        <v>10804</v>
      </c>
      <c r="C114" s="3" t="s">
        <v>167</v>
      </c>
      <c r="D114" s="9"/>
      <c r="E114" s="15">
        <v>44348</v>
      </c>
      <c r="F114" s="3" t="s">
        <v>525</v>
      </c>
      <c r="G114" s="3" t="s">
        <v>454</v>
      </c>
      <c r="H114" s="3" t="s">
        <v>12</v>
      </c>
      <c r="I114" s="9" t="s">
        <v>13</v>
      </c>
      <c r="J114" s="4"/>
      <c r="K114" s="4"/>
      <c r="L114" s="4"/>
      <c r="M114" s="4">
        <f>COUNTIFS(JobCodeSkills!$B:$B, EmployeesTable[[#This Row],[Succession Plan Job Code]],
          JobCodeSkills!$K:$K, "Required")</f>
        <v>0</v>
      </c>
      <c r="N114" s="4">
        <f>COUNTIFS(EmployeeSkills!$A:$A, EmployeesTable[[#This Row],[User Name]],
          EmployeeSkills!$B:$B, EmployeesTable[[#This Row],[Succession Plan Job Code]],
          EmployeeSkills!$D:$D, "Competent")</f>
        <v>0</v>
      </c>
      <c r="O114" s="4" t="str">
        <f>IF(EmployeesTable[[#This Row],[Succession Skills Ready – Required Total]]=0,"",
   EmployeesTable[[#This Row],[Succession Skills Ready – Required Met]]/EmployeesTable[[#This Row],[Succession Skills Ready – Required Total]])</f>
        <v/>
      </c>
      <c r="P114" s="4" t="str" cm="1">
        <f t="array" ref="P114">_xlfn.IFS(EmployeesTable[[#This Row],[Succession Skills Readiness %]]="","",
     EmployeesTable[[#This Row],[Succession Skills Readiness %]]&lt;0.6,"Not Ready",
     EmployeesTable[[#This Row],[Succession Skills Readiness %]]&lt;0.8,"Developing",
     TRUE,"Ready")</f>
        <v/>
      </c>
      <c r="Q114" s="4" t="e" cm="1" vm="1">
        <f t="array" ref="Q114">_xlfn.TEXTJOIN(", ",TRUE,
  _xlfn._xlws.FILTER(JobCodeSkills!$G:$G,
    (JobCodeSkills!$B:$B=EmployeesTable[[#This Row],[Job Code]])*
    (JobCodeSkills!$K:$K="Required")
  )
)</f>
        <v>#VALUE!</v>
      </c>
      <c r="R114" s="4"/>
      <c r="S114" s="4"/>
      <c r="T114" s="4"/>
      <c r="U114" s="4"/>
      <c r="V114" s="4" t="str" cm="1">
        <f t="array" ref="V114">IF(EmployeesTable[[#This Row],[Additional Executive Role]]="","",
  _xlfn.TEXTJOIN(", ",TRUE,
    _xlfn._xlws.FILTER(ExecRoleSkills!$B:$B,
      ExecRoleSkills!$A:$A=EmployeesTable[[#This Row],[Additional Executive Role]]
    )
  )
)</f>
        <v/>
      </c>
    </row>
    <row r="115" spans="1:22" ht="30" x14ac:dyDescent="0.25">
      <c r="A115" s="19" t="s">
        <v>526</v>
      </c>
      <c r="B115" s="9">
        <v>10601</v>
      </c>
      <c r="C115" s="3" t="s">
        <v>522</v>
      </c>
      <c r="D115" s="9"/>
      <c r="E115" s="15">
        <v>44530</v>
      </c>
      <c r="F115" s="3" t="s">
        <v>527</v>
      </c>
      <c r="G115" s="3" t="s">
        <v>454</v>
      </c>
      <c r="H115" s="3" t="s">
        <v>12</v>
      </c>
      <c r="I115" s="9" t="s">
        <v>13</v>
      </c>
      <c r="J115" s="4"/>
      <c r="K115" s="4"/>
      <c r="L115" s="4"/>
      <c r="M115" s="4">
        <f>COUNTIFS(JobCodeSkills!$B:$B, EmployeesTable[[#This Row],[Succession Plan Job Code]],
          JobCodeSkills!$K:$K, "Required")</f>
        <v>0</v>
      </c>
      <c r="N115" s="4">
        <f>COUNTIFS(EmployeeSkills!$A:$A, EmployeesTable[[#This Row],[User Name]],
          EmployeeSkills!$B:$B, EmployeesTable[[#This Row],[Succession Plan Job Code]],
          EmployeeSkills!$D:$D, "Competent")</f>
        <v>0</v>
      </c>
      <c r="O115" s="4" t="str">
        <f>IF(EmployeesTable[[#This Row],[Succession Skills Ready – Required Total]]=0,"",
   EmployeesTable[[#This Row],[Succession Skills Ready – Required Met]]/EmployeesTable[[#This Row],[Succession Skills Ready – Required Total]])</f>
        <v/>
      </c>
      <c r="P115" s="4" t="str" cm="1">
        <f t="array" ref="P115">_xlfn.IFS(EmployeesTable[[#This Row],[Succession Skills Readiness %]]="","",
     EmployeesTable[[#This Row],[Succession Skills Readiness %]]&lt;0.6,"Not Ready",
     EmployeesTable[[#This Row],[Succession Skills Readiness %]]&lt;0.8,"Developing",
     TRUE,"Ready")</f>
        <v/>
      </c>
      <c r="Q115" s="4" t="e" cm="1" vm="1">
        <f t="array" ref="Q115">_xlfn.TEXTJOIN(", ",TRUE,
  _xlfn._xlws.FILTER(JobCodeSkills!$G:$G,
    (JobCodeSkills!$B:$B=EmployeesTable[[#This Row],[Job Code]])*
    (JobCodeSkills!$K:$K="Required")
  )
)</f>
        <v>#VALUE!</v>
      </c>
      <c r="R115" s="4"/>
      <c r="S115" s="4"/>
      <c r="T115" s="4"/>
      <c r="U115" s="4"/>
      <c r="V115" s="4" t="str" cm="1">
        <f t="array" ref="V115">IF(EmployeesTable[[#This Row],[Additional Executive Role]]="","",
  _xlfn.TEXTJOIN(", ",TRUE,
    _xlfn._xlws.FILTER(ExecRoleSkills!$B:$B,
      ExecRoleSkills!$A:$A=EmployeesTable[[#This Row],[Additional Executive Role]]
    )
  )
)</f>
        <v/>
      </c>
    </row>
    <row r="116" spans="1:22" ht="30" x14ac:dyDescent="0.25">
      <c r="A116" s="19" t="s">
        <v>528</v>
      </c>
      <c r="B116" s="9">
        <v>10803</v>
      </c>
      <c r="C116" s="3" t="s">
        <v>272</v>
      </c>
      <c r="D116" s="9"/>
      <c r="E116" s="15">
        <v>45197</v>
      </c>
      <c r="F116" s="3" t="s">
        <v>529</v>
      </c>
      <c r="G116" s="3" t="s">
        <v>454</v>
      </c>
      <c r="H116" s="3" t="s">
        <v>12</v>
      </c>
      <c r="I116" s="9" t="s">
        <v>13</v>
      </c>
      <c r="J116" s="4"/>
      <c r="K116" s="4"/>
      <c r="L116" s="4"/>
      <c r="M116" s="4">
        <f>COUNTIFS(JobCodeSkills!$B:$B, EmployeesTable[[#This Row],[Succession Plan Job Code]],
          JobCodeSkills!$K:$K, "Required")</f>
        <v>0</v>
      </c>
      <c r="N116" s="4">
        <f>COUNTIFS(EmployeeSkills!$A:$A, EmployeesTable[[#This Row],[User Name]],
          EmployeeSkills!$B:$B, EmployeesTable[[#This Row],[Succession Plan Job Code]],
          EmployeeSkills!$D:$D, "Competent")</f>
        <v>0</v>
      </c>
      <c r="O116" s="4" t="str">
        <f>IF(EmployeesTable[[#This Row],[Succession Skills Ready – Required Total]]=0,"",
   EmployeesTable[[#This Row],[Succession Skills Ready – Required Met]]/EmployeesTable[[#This Row],[Succession Skills Ready – Required Total]])</f>
        <v/>
      </c>
      <c r="P116" s="4" t="str" cm="1">
        <f t="array" ref="P116">_xlfn.IFS(EmployeesTable[[#This Row],[Succession Skills Readiness %]]="","",
     EmployeesTable[[#This Row],[Succession Skills Readiness %]]&lt;0.6,"Not Ready",
     EmployeesTable[[#This Row],[Succession Skills Readiness %]]&lt;0.8,"Developing",
     TRUE,"Ready")</f>
        <v/>
      </c>
      <c r="Q116" s="4" t="e" cm="1" vm="1">
        <f t="array" ref="Q116">_xlfn.TEXTJOIN(", ",TRUE,
  _xlfn._xlws.FILTER(JobCodeSkills!$G:$G,
    (JobCodeSkills!$B:$B=EmployeesTable[[#This Row],[Job Code]])*
    (JobCodeSkills!$K:$K="Required")
  )
)</f>
        <v>#VALUE!</v>
      </c>
      <c r="R116" s="4"/>
      <c r="S116" s="4"/>
      <c r="T116" s="4"/>
      <c r="U116" s="4"/>
      <c r="V116" s="4" t="str" cm="1">
        <f t="array" ref="V116">IF(EmployeesTable[[#This Row],[Additional Executive Role]]="","",
  _xlfn.TEXTJOIN(", ",TRUE,
    _xlfn._xlws.FILTER(ExecRoleSkills!$B:$B,
      ExecRoleSkills!$A:$A=EmployeesTable[[#This Row],[Additional Executive Role]]
    )
  )
)</f>
        <v/>
      </c>
    </row>
    <row r="117" spans="1:22" ht="30" x14ac:dyDescent="0.25">
      <c r="A117" s="19" t="s">
        <v>530</v>
      </c>
      <c r="B117" s="9">
        <v>10503</v>
      </c>
      <c r="C117" s="3" t="s">
        <v>164</v>
      </c>
      <c r="D117" s="9"/>
      <c r="E117" s="15">
        <v>44335</v>
      </c>
      <c r="F117" s="3" t="s">
        <v>531</v>
      </c>
      <c r="G117" s="3" t="s">
        <v>454</v>
      </c>
      <c r="H117" s="3" t="s">
        <v>12</v>
      </c>
      <c r="I117" s="9" t="s">
        <v>13</v>
      </c>
      <c r="J117" s="4"/>
      <c r="K117" s="4"/>
      <c r="L117" s="4"/>
      <c r="M117" s="4">
        <f>COUNTIFS(JobCodeSkills!$B:$B, EmployeesTable[[#This Row],[Succession Plan Job Code]],
          JobCodeSkills!$K:$K, "Required")</f>
        <v>0</v>
      </c>
      <c r="N117" s="4">
        <f>COUNTIFS(EmployeeSkills!$A:$A, EmployeesTable[[#This Row],[User Name]],
          EmployeeSkills!$B:$B, EmployeesTable[[#This Row],[Succession Plan Job Code]],
          EmployeeSkills!$D:$D, "Competent")</f>
        <v>0</v>
      </c>
      <c r="O117" s="4" t="str">
        <f>IF(EmployeesTable[[#This Row],[Succession Skills Ready – Required Total]]=0,"",
   EmployeesTable[[#This Row],[Succession Skills Ready – Required Met]]/EmployeesTable[[#This Row],[Succession Skills Ready – Required Total]])</f>
        <v/>
      </c>
      <c r="P117" s="4" t="str" cm="1">
        <f t="array" ref="P117">_xlfn.IFS(EmployeesTable[[#This Row],[Succession Skills Readiness %]]="","",
     EmployeesTable[[#This Row],[Succession Skills Readiness %]]&lt;0.6,"Not Ready",
     EmployeesTable[[#This Row],[Succession Skills Readiness %]]&lt;0.8,"Developing",
     TRUE,"Ready")</f>
        <v/>
      </c>
      <c r="Q117" s="4" t="e" cm="1" vm="1">
        <f t="array" ref="Q117">_xlfn.TEXTJOIN(", ",TRUE,
  _xlfn._xlws.FILTER(JobCodeSkills!$G:$G,
    (JobCodeSkills!$B:$B=EmployeesTable[[#This Row],[Job Code]])*
    (JobCodeSkills!$K:$K="Required")
  )
)</f>
        <v>#VALUE!</v>
      </c>
      <c r="R117" s="4"/>
      <c r="S117" s="4"/>
      <c r="T117" s="4"/>
      <c r="U117" s="4"/>
      <c r="V117" s="4" t="str" cm="1">
        <f t="array" ref="V117">IF(EmployeesTable[[#This Row],[Additional Executive Role]]="","",
  _xlfn.TEXTJOIN(", ",TRUE,
    _xlfn._xlws.FILTER(ExecRoleSkills!$B:$B,
      ExecRoleSkills!$A:$A=EmployeesTable[[#This Row],[Additional Executive Role]]
    )
  )
)</f>
        <v/>
      </c>
    </row>
    <row r="118" spans="1:22" ht="30" x14ac:dyDescent="0.25">
      <c r="A118" s="19" t="s">
        <v>413</v>
      </c>
      <c r="B118" s="9">
        <v>1120</v>
      </c>
      <c r="C118" s="3" t="s">
        <v>414</v>
      </c>
      <c r="D118" s="9"/>
      <c r="E118" s="15">
        <v>35366</v>
      </c>
      <c r="F118" s="3" t="s">
        <v>415</v>
      </c>
      <c r="G118" s="3" t="s">
        <v>405</v>
      </c>
      <c r="H118" s="3" t="s">
        <v>12</v>
      </c>
      <c r="I118" s="9" t="s">
        <v>711</v>
      </c>
      <c r="J118" s="4"/>
      <c r="K118" s="4"/>
      <c r="L118" s="4"/>
      <c r="M118" s="4">
        <f>COUNTIFS(JobCodeSkills!$B:$B, EmployeesTable[[#This Row],[Succession Plan Job Code]],
          JobCodeSkills!$K:$K, "Required")</f>
        <v>0</v>
      </c>
      <c r="N118" s="4">
        <f>COUNTIFS(EmployeeSkills!$A:$A, EmployeesTable[[#This Row],[User Name]],
          EmployeeSkills!$B:$B, EmployeesTable[[#This Row],[Succession Plan Job Code]],
          EmployeeSkills!$D:$D, "Competent")</f>
        <v>0</v>
      </c>
      <c r="O118" s="4" t="str">
        <f>IF(EmployeesTable[[#This Row],[Succession Skills Ready – Required Total]]=0,"",
   EmployeesTable[[#This Row],[Succession Skills Ready – Required Met]]/EmployeesTable[[#This Row],[Succession Skills Ready – Required Total]])</f>
        <v/>
      </c>
      <c r="P118" s="4" t="str" cm="1">
        <f t="array" ref="P118">_xlfn.IFS(EmployeesTable[[#This Row],[Succession Skills Readiness %]]="","",
     EmployeesTable[[#This Row],[Succession Skills Readiness %]]&lt;0.6,"Not Ready",
     EmployeesTable[[#This Row],[Succession Skills Readiness %]]&lt;0.8,"Developing",
     TRUE,"Ready")</f>
        <v/>
      </c>
      <c r="Q118" s="4" t="e" cm="1" vm="1">
        <f t="array" ref="Q118">_xlfn.TEXTJOIN(", ",TRUE,
  _xlfn._xlws.FILTER(JobCodeSkills!$G:$G,
    (JobCodeSkills!$B:$B=EmployeesTable[[#This Row],[Job Code]])*
    (JobCodeSkills!$K:$K="Required")
  )
)</f>
        <v>#VALUE!</v>
      </c>
      <c r="R118" s="4"/>
      <c r="S118" s="4"/>
      <c r="T118" s="4"/>
      <c r="U118" s="4"/>
      <c r="V118" s="4" t="str" cm="1">
        <f t="array" ref="V118">IF(EmployeesTable[[#This Row],[Additional Executive Role]]="","",
  _xlfn.TEXTJOIN(", ",TRUE,
    _xlfn._xlws.FILTER(ExecRoleSkills!$B:$B,
      ExecRoleSkills!$A:$A=EmployeesTable[[#This Row],[Additional Executive Role]]
    )
  )
)</f>
        <v/>
      </c>
    </row>
    <row r="119" spans="1:22" ht="45" x14ac:dyDescent="0.25">
      <c r="A119" s="19" t="s">
        <v>35</v>
      </c>
      <c r="B119" s="9">
        <v>10202</v>
      </c>
      <c r="C119" s="3" t="s">
        <v>31</v>
      </c>
      <c r="D119" s="9"/>
      <c r="E119" s="15">
        <v>37188</v>
      </c>
      <c r="F119" s="3" t="s">
        <v>36</v>
      </c>
      <c r="G119" s="3" t="s">
        <v>20</v>
      </c>
      <c r="H119" s="3" t="s">
        <v>12</v>
      </c>
      <c r="I119" s="10" t="s">
        <v>13</v>
      </c>
      <c r="J119" s="4"/>
      <c r="K119" s="4"/>
      <c r="L119" s="4"/>
      <c r="M119" s="4">
        <f>COUNTIFS(JobCodeSkills!$B:$B, EmployeesTable[[#This Row],[Succession Plan Job Code]],
          JobCodeSkills!$K:$K, "Required")</f>
        <v>0</v>
      </c>
      <c r="N119" s="4">
        <f>COUNTIFS(EmployeeSkills!$A:$A, EmployeesTable[[#This Row],[User Name]],
          EmployeeSkills!$B:$B, EmployeesTable[[#This Row],[Succession Plan Job Code]],
          EmployeeSkills!$D:$D, "Competent")</f>
        <v>0</v>
      </c>
      <c r="O119" s="4" t="str">
        <f>IF(EmployeesTable[[#This Row],[Succession Skills Ready – Required Total]]=0,"",
   EmployeesTable[[#This Row],[Succession Skills Ready – Required Met]]/EmployeesTable[[#This Row],[Succession Skills Ready – Required Total]])</f>
        <v/>
      </c>
      <c r="P119" s="4" t="str" cm="1">
        <f t="array" ref="P119">_xlfn.IFS(EmployeesTable[[#This Row],[Succession Skills Readiness %]]="","",
     EmployeesTable[[#This Row],[Succession Skills Readiness %]]&lt;0.6,"Not Ready",
     EmployeesTable[[#This Row],[Succession Skills Readiness %]]&lt;0.8,"Developing",
     TRUE,"Ready")</f>
        <v/>
      </c>
      <c r="Q119" s="4" t="e" cm="1" vm="1">
        <f t="array" ref="Q119">_xlfn.TEXTJOIN(", ",TRUE,
  _xlfn._xlws.FILTER(JobCodeSkills!$G:$G,
    (JobCodeSkills!$B:$B=EmployeesTable[[#This Row],[Job Code]])*
    (JobCodeSkills!$K:$K="Required")
  )
)</f>
        <v>#VALUE!</v>
      </c>
      <c r="R119" s="4"/>
      <c r="S119" s="4"/>
      <c r="T119" s="4"/>
      <c r="U119" s="4"/>
      <c r="V119" s="4" t="str" cm="1">
        <f t="array" ref="V119">IF(EmployeesTable[[#This Row],[Additional Executive Role]]="","",
  _xlfn.TEXTJOIN(", ",TRUE,
    _xlfn._xlws.FILTER(ExecRoleSkills!$B:$B,
      ExecRoleSkills!$A:$A=EmployeesTable[[#This Row],[Additional Executive Role]]
    )
  )
)</f>
        <v/>
      </c>
    </row>
    <row r="120" spans="1:22" ht="30" x14ac:dyDescent="0.25">
      <c r="A120" s="19" t="s">
        <v>532</v>
      </c>
      <c r="B120" s="9">
        <v>10401</v>
      </c>
      <c r="C120" s="3" t="s">
        <v>184</v>
      </c>
      <c r="D120" s="9"/>
      <c r="E120" s="15">
        <v>42153</v>
      </c>
      <c r="F120" s="3" t="s">
        <v>533</v>
      </c>
      <c r="G120" s="3" t="s">
        <v>454</v>
      </c>
      <c r="H120" s="3" t="s">
        <v>12</v>
      </c>
      <c r="I120" s="9" t="s">
        <v>13</v>
      </c>
      <c r="J120" s="4"/>
      <c r="K120" s="4"/>
      <c r="L120" s="4"/>
      <c r="M120" s="4">
        <f>COUNTIFS(JobCodeSkills!$B:$B, EmployeesTable[[#This Row],[Succession Plan Job Code]],
          JobCodeSkills!$K:$K, "Required")</f>
        <v>0</v>
      </c>
      <c r="N120" s="4">
        <f>COUNTIFS(EmployeeSkills!$A:$A, EmployeesTable[[#This Row],[User Name]],
          EmployeeSkills!$B:$B, EmployeesTable[[#This Row],[Succession Plan Job Code]],
          EmployeeSkills!$D:$D, "Competent")</f>
        <v>0</v>
      </c>
      <c r="O120" s="4" t="str">
        <f>IF(EmployeesTable[[#This Row],[Succession Skills Ready – Required Total]]=0,"",
   EmployeesTable[[#This Row],[Succession Skills Ready – Required Met]]/EmployeesTable[[#This Row],[Succession Skills Ready – Required Total]])</f>
        <v/>
      </c>
      <c r="P120" s="4" t="str" cm="1">
        <f t="array" ref="P120">_xlfn.IFS(EmployeesTable[[#This Row],[Succession Skills Readiness %]]="","",
     EmployeesTable[[#This Row],[Succession Skills Readiness %]]&lt;0.6,"Not Ready",
     EmployeesTable[[#This Row],[Succession Skills Readiness %]]&lt;0.8,"Developing",
     TRUE,"Ready")</f>
        <v/>
      </c>
      <c r="Q120" s="4" t="e" cm="1" vm="1">
        <f t="array" ref="Q120">_xlfn.TEXTJOIN(", ",TRUE,
  _xlfn._xlws.FILTER(JobCodeSkills!$G:$G,
    (JobCodeSkills!$B:$B=EmployeesTable[[#This Row],[Job Code]])*
    (JobCodeSkills!$K:$K="Required")
  )
)</f>
        <v>#VALUE!</v>
      </c>
      <c r="R120" s="4"/>
      <c r="S120" s="4"/>
      <c r="T120" s="4"/>
      <c r="U120" s="4"/>
      <c r="V120" s="4" t="str" cm="1">
        <f t="array" ref="V120">IF(EmployeesTable[[#This Row],[Additional Executive Role]]="","",
  _xlfn.TEXTJOIN(", ",TRUE,
    _xlfn._xlws.FILTER(ExecRoleSkills!$B:$B,
      ExecRoleSkills!$A:$A=EmployeesTable[[#This Row],[Additional Executive Role]]
    )
  )
)</f>
        <v/>
      </c>
    </row>
    <row r="121" spans="1:22" ht="30" x14ac:dyDescent="0.25">
      <c r="A121" s="19" t="s">
        <v>534</v>
      </c>
      <c r="B121" s="9">
        <v>10803</v>
      </c>
      <c r="C121" s="3" t="s">
        <v>272</v>
      </c>
      <c r="D121" s="9"/>
      <c r="E121" s="15">
        <v>45288</v>
      </c>
      <c r="F121" s="3" t="s">
        <v>535</v>
      </c>
      <c r="G121" s="3" t="s">
        <v>454</v>
      </c>
      <c r="H121" s="3" t="s">
        <v>12</v>
      </c>
      <c r="I121" s="9" t="s">
        <v>13</v>
      </c>
      <c r="J121" s="4"/>
      <c r="K121" s="4"/>
      <c r="L121" s="4"/>
      <c r="M121" s="4">
        <f>COUNTIFS(JobCodeSkills!$B:$B, EmployeesTable[[#This Row],[Succession Plan Job Code]],
          JobCodeSkills!$K:$K, "Required")</f>
        <v>0</v>
      </c>
      <c r="N121" s="4">
        <f>COUNTIFS(EmployeeSkills!$A:$A, EmployeesTable[[#This Row],[User Name]],
          EmployeeSkills!$B:$B, EmployeesTable[[#This Row],[Succession Plan Job Code]],
          EmployeeSkills!$D:$D, "Competent")</f>
        <v>0</v>
      </c>
      <c r="O121" s="4" t="str">
        <f>IF(EmployeesTable[[#This Row],[Succession Skills Ready – Required Total]]=0,"",
   EmployeesTable[[#This Row],[Succession Skills Ready – Required Met]]/EmployeesTable[[#This Row],[Succession Skills Ready – Required Total]])</f>
        <v/>
      </c>
      <c r="P121" s="4" t="str" cm="1">
        <f t="array" ref="P121">_xlfn.IFS(EmployeesTable[[#This Row],[Succession Skills Readiness %]]="","",
     EmployeesTable[[#This Row],[Succession Skills Readiness %]]&lt;0.6,"Not Ready",
     EmployeesTable[[#This Row],[Succession Skills Readiness %]]&lt;0.8,"Developing",
     TRUE,"Ready")</f>
        <v/>
      </c>
      <c r="Q121" s="4" t="e" cm="1" vm="1">
        <f t="array" ref="Q121">_xlfn.TEXTJOIN(", ",TRUE,
  _xlfn._xlws.FILTER(JobCodeSkills!$G:$G,
    (JobCodeSkills!$B:$B=EmployeesTable[[#This Row],[Job Code]])*
    (JobCodeSkills!$K:$K="Required")
  )
)</f>
        <v>#VALUE!</v>
      </c>
      <c r="R121" s="4"/>
      <c r="S121" s="4"/>
      <c r="T121" s="4"/>
      <c r="U121" s="4"/>
      <c r="V121" s="4" t="str" cm="1">
        <f t="array" ref="V121">IF(EmployeesTable[[#This Row],[Additional Executive Role]]="","",
  _xlfn.TEXTJOIN(", ",TRUE,
    _xlfn._xlws.FILTER(ExecRoleSkills!$B:$B,
      ExecRoleSkills!$A:$A=EmployeesTable[[#This Row],[Additional Executive Role]]
    )
  )
)</f>
        <v/>
      </c>
    </row>
    <row r="122" spans="1:22" ht="30" x14ac:dyDescent="0.25">
      <c r="A122" s="19" t="s">
        <v>536</v>
      </c>
      <c r="B122" s="9">
        <v>10802</v>
      </c>
      <c r="C122" s="3" t="s">
        <v>141</v>
      </c>
      <c r="D122" s="9"/>
      <c r="E122" s="15">
        <v>45510</v>
      </c>
      <c r="F122" s="3" t="s">
        <v>537</v>
      </c>
      <c r="G122" s="3" t="s">
        <v>454</v>
      </c>
      <c r="H122" s="3" t="s">
        <v>12</v>
      </c>
      <c r="I122" s="9" t="s">
        <v>13</v>
      </c>
      <c r="J122" s="4"/>
      <c r="K122" s="4"/>
      <c r="L122" s="4"/>
      <c r="M122" s="4">
        <f>COUNTIFS(JobCodeSkills!$B:$B, EmployeesTable[[#This Row],[Succession Plan Job Code]],
          JobCodeSkills!$K:$K, "Required")</f>
        <v>0</v>
      </c>
      <c r="N122" s="4">
        <f>COUNTIFS(EmployeeSkills!$A:$A, EmployeesTable[[#This Row],[User Name]],
          EmployeeSkills!$B:$B, EmployeesTable[[#This Row],[Succession Plan Job Code]],
          EmployeeSkills!$D:$D, "Competent")</f>
        <v>0</v>
      </c>
      <c r="O122" s="4" t="str">
        <f>IF(EmployeesTable[[#This Row],[Succession Skills Ready – Required Total]]=0,"",
   EmployeesTable[[#This Row],[Succession Skills Ready – Required Met]]/EmployeesTable[[#This Row],[Succession Skills Ready – Required Total]])</f>
        <v/>
      </c>
      <c r="P122" s="4" t="str" cm="1">
        <f t="array" ref="P122">_xlfn.IFS(EmployeesTable[[#This Row],[Succession Skills Readiness %]]="","",
     EmployeesTable[[#This Row],[Succession Skills Readiness %]]&lt;0.6,"Not Ready",
     EmployeesTable[[#This Row],[Succession Skills Readiness %]]&lt;0.8,"Developing",
     TRUE,"Ready")</f>
        <v/>
      </c>
      <c r="Q122" s="4" t="e" cm="1" vm="1">
        <f t="array" ref="Q122">_xlfn.TEXTJOIN(", ",TRUE,
  _xlfn._xlws.FILTER(JobCodeSkills!$G:$G,
    (JobCodeSkills!$B:$B=EmployeesTable[[#This Row],[Job Code]])*
    (JobCodeSkills!$K:$K="Required")
  )
)</f>
        <v>#VALUE!</v>
      </c>
      <c r="R122" s="4"/>
      <c r="S122" s="4"/>
      <c r="T122" s="4"/>
      <c r="U122" s="4"/>
      <c r="V122" s="4" t="str" cm="1">
        <f t="array" ref="V122">IF(EmployeesTable[[#This Row],[Additional Executive Role]]="","",
  _xlfn.TEXTJOIN(", ",TRUE,
    _xlfn._xlws.FILTER(ExecRoleSkills!$B:$B,
      ExecRoleSkills!$A:$A=EmployeesTable[[#This Row],[Additional Executive Role]]
    )
  )
)</f>
        <v/>
      </c>
    </row>
    <row r="123" spans="1:22" ht="30" x14ac:dyDescent="0.25">
      <c r="A123" s="19" t="s">
        <v>255</v>
      </c>
      <c r="B123" s="9">
        <v>10705</v>
      </c>
      <c r="C123" s="3" t="s">
        <v>136</v>
      </c>
      <c r="D123" s="9"/>
      <c r="E123" s="15">
        <v>45328</v>
      </c>
      <c r="F123" s="3" t="s">
        <v>256</v>
      </c>
      <c r="G123" s="3" t="s">
        <v>129</v>
      </c>
      <c r="H123" s="3" t="s">
        <v>12</v>
      </c>
      <c r="I123" s="10" t="s">
        <v>712</v>
      </c>
      <c r="J123" s="4"/>
      <c r="K123" s="4"/>
      <c r="L123" s="4"/>
      <c r="M123" s="4">
        <f>COUNTIFS(JobCodeSkills!$B:$B, EmployeesTable[[#This Row],[Succession Plan Job Code]],
          JobCodeSkills!$K:$K, "Required")</f>
        <v>0</v>
      </c>
      <c r="N123" s="4">
        <f>COUNTIFS(EmployeeSkills!$A:$A, EmployeesTable[[#This Row],[User Name]],
          EmployeeSkills!$B:$B, EmployeesTable[[#This Row],[Succession Plan Job Code]],
          EmployeeSkills!$D:$D, "Competent")</f>
        <v>0</v>
      </c>
      <c r="O123" s="4" t="str">
        <f>IF(EmployeesTable[[#This Row],[Succession Skills Ready – Required Total]]=0,"",
   EmployeesTable[[#This Row],[Succession Skills Ready – Required Met]]/EmployeesTable[[#This Row],[Succession Skills Ready – Required Total]])</f>
        <v/>
      </c>
      <c r="P123" s="4" t="str" cm="1">
        <f t="array" ref="P123">_xlfn.IFS(EmployeesTable[[#This Row],[Succession Skills Readiness %]]="","",
     EmployeesTable[[#This Row],[Succession Skills Readiness %]]&lt;0.6,"Not Ready",
     EmployeesTable[[#This Row],[Succession Skills Readiness %]]&lt;0.8,"Developing",
     TRUE,"Ready")</f>
        <v/>
      </c>
      <c r="Q123" s="4" t="e" cm="1" vm="1">
        <f t="array" ref="Q123">_xlfn.TEXTJOIN(", ",TRUE,
  _xlfn._xlws.FILTER(JobCodeSkills!$G:$G,
    (JobCodeSkills!$B:$B=EmployeesTable[[#This Row],[Job Code]])*
    (JobCodeSkills!$K:$K="Required")
  )
)</f>
        <v>#VALUE!</v>
      </c>
      <c r="R123" s="4"/>
      <c r="S123" s="4"/>
      <c r="T123" s="4"/>
      <c r="U123" s="4"/>
      <c r="V123" s="4" t="str" cm="1">
        <f t="array" ref="V123">IF(EmployeesTable[[#This Row],[Additional Executive Role]]="","",
  _xlfn.TEXTJOIN(", ",TRUE,
    _xlfn._xlws.FILTER(ExecRoleSkills!$B:$B,
      ExecRoleSkills!$A:$A=EmployeesTable[[#This Row],[Additional Executive Role]]
    )
  )
)</f>
        <v/>
      </c>
    </row>
    <row r="124" spans="1:22" ht="30" x14ac:dyDescent="0.25">
      <c r="A124" s="19" t="s">
        <v>257</v>
      </c>
      <c r="B124" s="9">
        <v>10812</v>
      </c>
      <c r="C124" s="3" t="s">
        <v>141</v>
      </c>
      <c r="D124" s="9"/>
      <c r="E124" s="15">
        <v>45405</v>
      </c>
      <c r="F124" s="3" t="s">
        <v>258</v>
      </c>
      <c r="G124" s="3" t="s">
        <v>129</v>
      </c>
      <c r="H124" s="3" t="s">
        <v>12</v>
      </c>
      <c r="I124" s="10" t="s">
        <v>712</v>
      </c>
      <c r="J124" s="4"/>
      <c r="K124" s="4"/>
      <c r="L124" s="4"/>
      <c r="M124" s="4">
        <f>COUNTIFS(JobCodeSkills!$B:$B, EmployeesTable[[#This Row],[Succession Plan Job Code]],
          JobCodeSkills!$K:$K, "Required")</f>
        <v>0</v>
      </c>
      <c r="N124" s="4">
        <f>COUNTIFS(EmployeeSkills!$A:$A, EmployeesTable[[#This Row],[User Name]],
          EmployeeSkills!$B:$B, EmployeesTable[[#This Row],[Succession Plan Job Code]],
          EmployeeSkills!$D:$D, "Competent")</f>
        <v>0</v>
      </c>
      <c r="O124" s="4" t="str">
        <f>IF(EmployeesTable[[#This Row],[Succession Skills Ready – Required Total]]=0,"",
   EmployeesTable[[#This Row],[Succession Skills Ready – Required Met]]/EmployeesTable[[#This Row],[Succession Skills Ready – Required Total]])</f>
        <v/>
      </c>
      <c r="P124" s="4" t="str" cm="1">
        <f t="array" ref="P124">_xlfn.IFS(EmployeesTable[[#This Row],[Succession Skills Readiness %]]="","",
     EmployeesTable[[#This Row],[Succession Skills Readiness %]]&lt;0.6,"Not Ready",
     EmployeesTable[[#This Row],[Succession Skills Readiness %]]&lt;0.8,"Developing",
     TRUE,"Ready")</f>
        <v/>
      </c>
      <c r="Q124" s="4" t="e" cm="1" vm="1">
        <f t="array" ref="Q124">_xlfn.TEXTJOIN(", ",TRUE,
  _xlfn._xlws.FILTER(JobCodeSkills!$G:$G,
    (JobCodeSkills!$B:$B=EmployeesTable[[#This Row],[Job Code]])*
    (JobCodeSkills!$K:$K="Required")
  )
)</f>
        <v>#VALUE!</v>
      </c>
      <c r="R124" s="4"/>
      <c r="S124" s="4"/>
      <c r="T124" s="4"/>
      <c r="U124" s="4"/>
      <c r="V124" s="4" t="str" cm="1">
        <f t="array" ref="V124">IF(EmployeesTable[[#This Row],[Additional Executive Role]]="","",
  _xlfn.TEXTJOIN(", ",TRUE,
    _xlfn._xlws.FILTER(ExecRoleSkills!$B:$B,
      ExecRoleSkills!$A:$A=EmployeesTable[[#This Row],[Additional Executive Role]]
    )
  )
)</f>
        <v/>
      </c>
    </row>
    <row r="125" spans="1:22" ht="30" x14ac:dyDescent="0.25">
      <c r="A125" s="19" t="s">
        <v>251</v>
      </c>
      <c r="B125" s="9">
        <v>10701</v>
      </c>
      <c r="C125" s="3" t="s">
        <v>153</v>
      </c>
      <c r="D125" s="9"/>
      <c r="E125" s="15">
        <v>45419</v>
      </c>
      <c r="F125" s="3" t="s">
        <v>252</v>
      </c>
      <c r="G125" s="3" t="s">
        <v>129</v>
      </c>
      <c r="H125" s="3" t="s">
        <v>12</v>
      </c>
      <c r="I125" s="10" t="s">
        <v>712</v>
      </c>
      <c r="J125" s="4"/>
      <c r="K125" s="4"/>
      <c r="L125" s="4"/>
      <c r="M125" s="4">
        <f>COUNTIFS(JobCodeSkills!$B:$B, EmployeesTable[[#This Row],[Succession Plan Job Code]],
          JobCodeSkills!$K:$K, "Required")</f>
        <v>0</v>
      </c>
      <c r="N125" s="4">
        <f>COUNTIFS(EmployeeSkills!$A:$A, EmployeesTable[[#This Row],[User Name]],
          EmployeeSkills!$B:$B, EmployeesTable[[#This Row],[Succession Plan Job Code]],
          EmployeeSkills!$D:$D, "Competent")</f>
        <v>0</v>
      </c>
      <c r="O125" s="4" t="str">
        <f>IF(EmployeesTable[[#This Row],[Succession Skills Ready – Required Total]]=0,"",
   EmployeesTable[[#This Row],[Succession Skills Ready – Required Met]]/EmployeesTable[[#This Row],[Succession Skills Ready – Required Total]])</f>
        <v/>
      </c>
      <c r="P125" s="4" t="str" cm="1">
        <f t="array" ref="P125">_xlfn.IFS(EmployeesTable[[#This Row],[Succession Skills Readiness %]]="","",
     EmployeesTable[[#This Row],[Succession Skills Readiness %]]&lt;0.6,"Not Ready",
     EmployeesTable[[#This Row],[Succession Skills Readiness %]]&lt;0.8,"Developing",
     TRUE,"Ready")</f>
        <v/>
      </c>
      <c r="Q125" s="4" t="e" cm="1" vm="1">
        <f t="array" ref="Q125">_xlfn.TEXTJOIN(", ",TRUE,
  _xlfn._xlws.FILTER(JobCodeSkills!$G:$G,
    (JobCodeSkills!$B:$B=EmployeesTable[[#This Row],[Job Code]])*
    (JobCodeSkills!$K:$K="Required")
  )
)</f>
        <v>#VALUE!</v>
      </c>
      <c r="R125" s="4"/>
      <c r="S125" s="4"/>
      <c r="T125" s="4"/>
      <c r="U125" s="4"/>
      <c r="V125" s="4" t="str" cm="1">
        <f t="array" ref="V125">IF(EmployeesTable[[#This Row],[Additional Executive Role]]="","",
  _xlfn.TEXTJOIN(", ",TRUE,
    _xlfn._xlws.FILTER(ExecRoleSkills!$B:$B,
      ExecRoleSkills!$A:$A=EmployeesTable[[#This Row],[Additional Executive Role]]
    )
  )
)</f>
        <v/>
      </c>
    </row>
    <row r="126" spans="1:22" ht="30" x14ac:dyDescent="0.25">
      <c r="A126" s="19" t="s">
        <v>253</v>
      </c>
      <c r="B126" s="9">
        <v>10603</v>
      </c>
      <c r="C126" s="3" t="s">
        <v>146</v>
      </c>
      <c r="D126" s="9"/>
      <c r="E126" s="15">
        <v>45316</v>
      </c>
      <c r="F126" s="3" t="s">
        <v>254</v>
      </c>
      <c r="G126" s="3" t="s">
        <v>129</v>
      </c>
      <c r="H126" s="3" t="s">
        <v>12</v>
      </c>
      <c r="I126" s="10" t="s">
        <v>712</v>
      </c>
      <c r="J126" s="4"/>
      <c r="K126" s="4"/>
      <c r="L126" s="4"/>
      <c r="M126" s="4">
        <f>COUNTIFS(JobCodeSkills!$B:$B, EmployeesTable[[#This Row],[Succession Plan Job Code]],
          JobCodeSkills!$K:$K, "Required")</f>
        <v>0</v>
      </c>
      <c r="N126" s="4">
        <f>COUNTIFS(EmployeeSkills!$A:$A, EmployeesTable[[#This Row],[User Name]],
          EmployeeSkills!$B:$B, EmployeesTable[[#This Row],[Succession Plan Job Code]],
          EmployeeSkills!$D:$D, "Competent")</f>
        <v>0</v>
      </c>
      <c r="O126" s="4" t="str">
        <f>IF(EmployeesTable[[#This Row],[Succession Skills Ready – Required Total]]=0,"",
   EmployeesTable[[#This Row],[Succession Skills Ready – Required Met]]/EmployeesTable[[#This Row],[Succession Skills Ready – Required Total]])</f>
        <v/>
      </c>
      <c r="P126" s="4" t="str" cm="1">
        <f t="array" ref="P126">_xlfn.IFS(EmployeesTable[[#This Row],[Succession Skills Readiness %]]="","",
     EmployeesTable[[#This Row],[Succession Skills Readiness %]]&lt;0.6,"Not Ready",
     EmployeesTable[[#This Row],[Succession Skills Readiness %]]&lt;0.8,"Developing",
     TRUE,"Ready")</f>
        <v/>
      </c>
      <c r="Q126" s="4" t="e" cm="1" vm="1">
        <f t="array" ref="Q126">_xlfn.TEXTJOIN(", ",TRUE,
  _xlfn._xlws.FILTER(JobCodeSkills!$G:$G,
    (JobCodeSkills!$B:$B=EmployeesTable[[#This Row],[Job Code]])*
    (JobCodeSkills!$K:$K="Required")
  )
)</f>
        <v>#VALUE!</v>
      </c>
      <c r="R126" s="4"/>
      <c r="S126" s="4"/>
      <c r="T126" s="4"/>
      <c r="U126" s="4"/>
      <c r="V126" s="4" t="str" cm="1">
        <f t="array" ref="V126">IF(EmployeesTable[[#This Row],[Additional Executive Role]]="","",
  _xlfn.TEXTJOIN(", ",TRUE,
    _xlfn._xlws.FILTER(ExecRoleSkills!$B:$B,
      ExecRoleSkills!$A:$A=EmployeesTable[[#This Row],[Additional Executive Role]]
    )
  )
)</f>
        <v/>
      </c>
    </row>
    <row r="127" spans="1:22" ht="30" x14ac:dyDescent="0.25">
      <c r="A127" s="19" t="s">
        <v>259</v>
      </c>
      <c r="B127" s="9">
        <v>10812</v>
      </c>
      <c r="C127" s="3" t="s">
        <v>141</v>
      </c>
      <c r="D127" s="9"/>
      <c r="E127" s="15">
        <v>45365</v>
      </c>
      <c r="F127" s="3" t="s">
        <v>260</v>
      </c>
      <c r="G127" s="3" t="s">
        <v>129</v>
      </c>
      <c r="H127" s="3" t="s">
        <v>12</v>
      </c>
      <c r="I127" s="10" t="s">
        <v>712</v>
      </c>
      <c r="J127" s="4"/>
      <c r="K127" s="4"/>
      <c r="L127" s="4"/>
      <c r="M127" s="4">
        <f>COUNTIFS(JobCodeSkills!$B:$B, EmployeesTable[[#This Row],[Succession Plan Job Code]],
          JobCodeSkills!$K:$K, "Required")</f>
        <v>0</v>
      </c>
      <c r="N127" s="4">
        <f>COUNTIFS(EmployeeSkills!$A:$A, EmployeesTable[[#This Row],[User Name]],
          EmployeeSkills!$B:$B, EmployeesTable[[#This Row],[Succession Plan Job Code]],
          EmployeeSkills!$D:$D, "Competent")</f>
        <v>0</v>
      </c>
      <c r="O127" s="4" t="str">
        <f>IF(EmployeesTable[[#This Row],[Succession Skills Ready – Required Total]]=0,"",
   EmployeesTable[[#This Row],[Succession Skills Ready – Required Met]]/EmployeesTable[[#This Row],[Succession Skills Ready – Required Total]])</f>
        <v/>
      </c>
      <c r="P127" s="4" t="str" cm="1">
        <f t="array" ref="P127">_xlfn.IFS(EmployeesTable[[#This Row],[Succession Skills Readiness %]]="","",
     EmployeesTable[[#This Row],[Succession Skills Readiness %]]&lt;0.6,"Not Ready",
     EmployeesTable[[#This Row],[Succession Skills Readiness %]]&lt;0.8,"Developing",
     TRUE,"Ready")</f>
        <v/>
      </c>
      <c r="Q127" s="4" t="e" cm="1" vm="1">
        <f t="array" ref="Q127">_xlfn.TEXTJOIN(", ",TRUE,
  _xlfn._xlws.FILTER(JobCodeSkills!$G:$G,
    (JobCodeSkills!$B:$B=EmployeesTable[[#This Row],[Job Code]])*
    (JobCodeSkills!$K:$K="Required")
  )
)</f>
        <v>#VALUE!</v>
      </c>
      <c r="R127" s="4"/>
      <c r="S127" s="4"/>
      <c r="T127" s="4"/>
      <c r="U127" s="4"/>
      <c r="V127" s="4" t="str" cm="1">
        <f t="array" ref="V127">IF(EmployeesTable[[#This Row],[Additional Executive Role]]="","",
  _xlfn.TEXTJOIN(", ",TRUE,
    _xlfn._xlws.FILTER(ExecRoleSkills!$B:$B,
      ExecRoleSkills!$A:$A=EmployeesTable[[#This Row],[Additional Executive Role]]
    )
  )
)</f>
        <v/>
      </c>
    </row>
    <row r="128" spans="1:22" ht="30" x14ac:dyDescent="0.25">
      <c r="A128" s="19" t="s">
        <v>538</v>
      </c>
      <c r="B128" s="9">
        <v>10602</v>
      </c>
      <c r="C128" s="3" t="s">
        <v>167</v>
      </c>
      <c r="D128" s="9"/>
      <c r="E128" s="15">
        <v>43602</v>
      </c>
      <c r="F128" s="3" t="s">
        <v>539</v>
      </c>
      <c r="G128" s="3" t="s">
        <v>454</v>
      </c>
      <c r="H128" s="3" t="s">
        <v>12</v>
      </c>
      <c r="I128" s="9" t="s">
        <v>13</v>
      </c>
      <c r="J128" s="4"/>
      <c r="K128" s="4"/>
      <c r="L128" s="4"/>
      <c r="M128" s="4">
        <f>COUNTIFS(JobCodeSkills!$B:$B, EmployeesTable[[#This Row],[Succession Plan Job Code]],
          JobCodeSkills!$K:$K, "Required")</f>
        <v>0</v>
      </c>
      <c r="N128" s="4">
        <f>COUNTIFS(EmployeeSkills!$A:$A, EmployeesTable[[#This Row],[User Name]],
          EmployeeSkills!$B:$B, EmployeesTable[[#This Row],[Succession Plan Job Code]],
          EmployeeSkills!$D:$D, "Competent")</f>
        <v>0</v>
      </c>
      <c r="O128" s="4" t="str">
        <f>IF(EmployeesTable[[#This Row],[Succession Skills Ready – Required Total]]=0,"",
   EmployeesTable[[#This Row],[Succession Skills Ready – Required Met]]/EmployeesTable[[#This Row],[Succession Skills Ready – Required Total]])</f>
        <v/>
      </c>
      <c r="P128" s="4" t="str" cm="1">
        <f t="array" ref="P128">_xlfn.IFS(EmployeesTable[[#This Row],[Succession Skills Readiness %]]="","",
     EmployeesTable[[#This Row],[Succession Skills Readiness %]]&lt;0.6,"Not Ready",
     EmployeesTable[[#This Row],[Succession Skills Readiness %]]&lt;0.8,"Developing",
     TRUE,"Ready")</f>
        <v/>
      </c>
      <c r="Q128" s="4" t="e" cm="1" vm="1">
        <f t="array" ref="Q128">_xlfn.TEXTJOIN(", ",TRUE,
  _xlfn._xlws.FILTER(JobCodeSkills!$G:$G,
    (JobCodeSkills!$B:$B=EmployeesTable[[#This Row],[Job Code]])*
    (JobCodeSkills!$K:$K="Required")
  )
)</f>
        <v>#VALUE!</v>
      </c>
      <c r="R128" s="4"/>
      <c r="S128" s="4"/>
      <c r="T128" s="4"/>
      <c r="U128" s="4"/>
      <c r="V128" s="4" t="str" cm="1">
        <f t="array" ref="V128">IF(EmployeesTable[[#This Row],[Additional Executive Role]]="","",
  _xlfn.TEXTJOIN(", ",TRUE,
    _xlfn._xlws.FILTER(ExecRoleSkills!$B:$B,
      ExecRoleSkills!$A:$A=EmployeesTable[[#This Row],[Additional Executive Role]]
    )
  )
)</f>
        <v/>
      </c>
    </row>
    <row r="129" spans="1:22" ht="30" x14ac:dyDescent="0.25">
      <c r="A129" s="19" t="s">
        <v>540</v>
      </c>
      <c r="B129" s="9">
        <v>10814</v>
      </c>
      <c r="C129" s="3" t="s">
        <v>127</v>
      </c>
      <c r="D129" s="9"/>
      <c r="E129" s="15">
        <v>43223</v>
      </c>
      <c r="F129" s="3" t="s">
        <v>541</v>
      </c>
      <c r="G129" s="3" t="s">
        <v>454</v>
      </c>
      <c r="H129" s="3" t="s">
        <v>12</v>
      </c>
      <c r="I129" s="9" t="s">
        <v>13</v>
      </c>
      <c r="J129" s="4"/>
      <c r="K129" s="4"/>
      <c r="L129" s="4"/>
      <c r="M129" s="4">
        <f>COUNTIFS(JobCodeSkills!$B:$B, EmployeesTable[[#This Row],[Succession Plan Job Code]],
          JobCodeSkills!$K:$K, "Required")</f>
        <v>0</v>
      </c>
      <c r="N129" s="4">
        <f>COUNTIFS(EmployeeSkills!$A:$A, EmployeesTable[[#This Row],[User Name]],
          EmployeeSkills!$B:$B, EmployeesTable[[#This Row],[Succession Plan Job Code]],
          EmployeeSkills!$D:$D, "Competent")</f>
        <v>0</v>
      </c>
      <c r="O129" s="4" t="str">
        <f>IF(EmployeesTable[[#This Row],[Succession Skills Ready – Required Total]]=0,"",
   EmployeesTable[[#This Row],[Succession Skills Ready – Required Met]]/EmployeesTable[[#This Row],[Succession Skills Ready – Required Total]])</f>
        <v/>
      </c>
      <c r="P129" s="4" t="str" cm="1">
        <f t="array" ref="P129">_xlfn.IFS(EmployeesTable[[#This Row],[Succession Skills Readiness %]]="","",
     EmployeesTable[[#This Row],[Succession Skills Readiness %]]&lt;0.6,"Not Ready",
     EmployeesTable[[#This Row],[Succession Skills Readiness %]]&lt;0.8,"Developing",
     TRUE,"Ready")</f>
        <v/>
      </c>
      <c r="Q129" s="4" t="e" cm="1" vm="1">
        <f t="array" ref="Q129">_xlfn.TEXTJOIN(", ",TRUE,
  _xlfn._xlws.FILTER(JobCodeSkills!$G:$G,
    (JobCodeSkills!$B:$B=EmployeesTable[[#This Row],[Job Code]])*
    (JobCodeSkills!$K:$K="Required")
  )
)</f>
        <v>#VALUE!</v>
      </c>
      <c r="R129" s="4"/>
      <c r="S129" s="4"/>
      <c r="T129" s="4"/>
      <c r="U129" s="4"/>
      <c r="V129" s="4" t="str" cm="1">
        <f t="array" ref="V129">IF(EmployeesTable[[#This Row],[Additional Executive Role]]="","",
  _xlfn.TEXTJOIN(", ",TRUE,
    _xlfn._xlws.FILTER(ExecRoleSkills!$B:$B,
      ExecRoleSkills!$A:$A=EmployeesTable[[#This Row],[Additional Executive Role]]
    )
  )
)</f>
        <v/>
      </c>
    </row>
    <row r="130" spans="1:22" ht="30" x14ac:dyDescent="0.25">
      <c r="A130" s="19" t="s">
        <v>261</v>
      </c>
      <c r="B130" s="9">
        <v>10401</v>
      </c>
      <c r="C130" s="3" t="s">
        <v>164</v>
      </c>
      <c r="D130" s="9"/>
      <c r="E130" s="15">
        <v>45342</v>
      </c>
      <c r="F130" s="3" t="s">
        <v>262</v>
      </c>
      <c r="G130" s="3" t="s">
        <v>129</v>
      </c>
      <c r="H130" s="3" t="s">
        <v>12</v>
      </c>
      <c r="I130" s="10" t="s">
        <v>712</v>
      </c>
      <c r="J130" s="4"/>
      <c r="K130" s="4"/>
      <c r="L130" s="4"/>
      <c r="M130" s="4">
        <f>COUNTIFS(JobCodeSkills!$B:$B, EmployeesTable[[#This Row],[Succession Plan Job Code]],
          JobCodeSkills!$K:$K, "Required")</f>
        <v>0</v>
      </c>
      <c r="N130" s="4">
        <f>COUNTIFS(EmployeeSkills!$A:$A, EmployeesTable[[#This Row],[User Name]],
          EmployeeSkills!$B:$B, EmployeesTable[[#This Row],[Succession Plan Job Code]],
          EmployeeSkills!$D:$D, "Competent")</f>
        <v>0</v>
      </c>
      <c r="O130" s="4" t="str">
        <f>IF(EmployeesTable[[#This Row],[Succession Skills Ready – Required Total]]=0,"",
   EmployeesTable[[#This Row],[Succession Skills Ready – Required Met]]/EmployeesTable[[#This Row],[Succession Skills Ready – Required Total]])</f>
        <v/>
      </c>
      <c r="P130" s="4" t="str" cm="1">
        <f t="array" ref="P130">_xlfn.IFS(EmployeesTable[[#This Row],[Succession Skills Readiness %]]="","",
     EmployeesTable[[#This Row],[Succession Skills Readiness %]]&lt;0.6,"Not Ready",
     EmployeesTable[[#This Row],[Succession Skills Readiness %]]&lt;0.8,"Developing",
     TRUE,"Ready")</f>
        <v/>
      </c>
      <c r="Q130" s="4" t="e" cm="1" vm="1">
        <f t="array" ref="Q130">_xlfn.TEXTJOIN(", ",TRUE,
  _xlfn._xlws.FILTER(JobCodeSkills!$G:$G,
    (JobCodeSkills!$B:$B=EmployeesTable[[#This Row],[Job Code]])*
    (JobCodeSkills!$K:$K="Required")
  )
)</f>
        <v>#VALUE!</v>
      </c>
      <c r="R130" s="4"/>
      <c r="S130" s="4"/>
      <c r="T130" s="4"/>
      <c r="U130" s="4"/>
      <c r="V130" s="4" t="str" cm="1">
        <f t="array" ref="V130">IF(EmployeesTable[[#This Row],[Additional Executive Role]]="","",
  _xlfn.TEXTJOIN(", ",TRUE,
    _xlfn._xlws.FILTER(ExecRoleSkills!$B:$B,
      ExecRoleSkills!$A:$A=EmployeesTable[[#This Row],[Additional Executive Role]]
    )
  )
)</f>
        <v/>
      </c>
    </row>
    <row r="131" spans="1:22" ht="30" x14ac:dyDescent="0.25">
      <c r="A131" s="19" t="s">
        <v>542</v>
      </c>
      <c r="B131" s="9">
        <v>10401</v>
      </c>
      <c r="C131" s="3" t="s">
        <v>187</v>
      </c>
      <c r="D131" s="9"/>
      <c r="E131" s="15">
        <v>44728</v>
      </c>
      <c r="F131" s="3" t="s">
        <v>543</v>
      </c>
      <c r="G131" s="3" t="s">
        <v>454</v>
      </c>
      <c r="H131" s="3" t="s">
        <v>12</v>
      </c>
      <c r="I131" s="9" t="s">
        <v>13</v>
      </c>
      <c r="J131" s="4"/>
      <c r="K131" s="4"/>
      <c r="L131" s="4"/>
      <c r="M131" s="4">
        <f>COUNTIFS(JobCodeSkills!$B:$B, EmployeesTable[[#This Row],[Succession Plan Job Code]],
          JobCodeSkills!$K:$K, "Required")</f>
        <v>0</v>
      </c>
      <c r="N131" s="4">
        <f>COUNTIFS(EmployeeSkills!$A:$A, EmployeesTable[[#This Row],[User Name]],
          EmployeeSkills!$B:$B, EmployeesTable[[#This Row],[Succession Plan Job Code]],
          EmployeeSkills!$D:$D, "Competent")</f>
        <v>0</v>
      </c>
      <c r="O131" s="4" t="str">
        <f>IF(EmployeesTable[[#This Row],[Succession Skills Ready – Required Total]]=0,"",
   EmployeesTable[[#This Row],[Succession Skills Ready – Required Met]]/EmployeesTable[[#This Row],[Succession Skills Ready – Required Total]])</f>
        <v/>
      </c>
      <c r="P131" s="4" t="str" cm="1">
        <f t="array" ref="P131">_xlfn.IFS(EmployeesTable[[#This Row],[Succession Skills Readiness %]]="","",
     EmployeesTable[[#This Row],[Succession Skills Readiness %]]&lt;0.6,"Not Ready",
     EmployeesTable[[#This Row],[Succession Skills Readiness %]]&lt;0.8,"Developing",
     TRUE,"Ready")</f>
        <v/>
      </c>
      <c r="Q131" s="4" t="e" cm="1" vm="1">
        <f t="array" ref="Q131">_xlfn.TEXTJOIN(", ",TRUE,
  _xlfn._xlws.FILTER(JobCodeSkills!$G:$G,
    (JobCodeSkills!$B:$B=EmployeesTable[[#This Row],[Job Code]])*
    (JobCodeSkills!$K:$K="Required")
  )
)</f>
        <v>#VALUE!</v>
      </c>
      <c r="R131" s="4"/>
      <c r="S131" s="4"/>
      <c r="T131" s="4"/>
      <c r="U131" s="4"/>
      <c r="V131" s="4" t="str" cm="1">
        <f t="array" ref="V131">IF(EmployeesTable[[#This Row],[Additional Executive Role]]="","",
  _xlfn.TEXTJOIN(", ",TRUE,
    _xlfn._xlws.FILTER(ExecRoleSkills!$B:$B,
      ExecRoleSkills!$A:$A=EmployeesTable[[#This Row],[Additional Executive Role]]
    )
  )
)</f>
        <v/>
      </c>
    </row>
    <row r="132" spans="1:22" ht="30" x14ac:dyDescent="0.25">
      <c r="A132" s="19" t="s">
        <v>263</v>
      </c>
      <c r="B132" s="9">
        <v>10401</v>
      </c>
      <c r="C132" s="3" t="s">
        <v>184</v>
      </c>
      <c r="D132" s="9"/>
      <c r="E132" s="15">
        <v>44348</v>
      </c>
      <c r="F132" s="3" t="s">
        <v>264</v>
      </c>
      <c r="G132" s="3" t="s">
        <v>129</v>
      </c>
      <c r="H132" s="3" t="s">
        <v>12</v>
      </c>
      <c r="I132" s="10" t="s">
        <v>712</v>
      </c>
      <c r="J132" s="4"/>
      <c r="K132" s="4"/>
      <c r="L132" s="4"/>
      <c r="M132" s="4">
        <f>COUNTIFS(JobCodeSkills!$B:$B, EmployeesTable[[#This Row],[Succession Plan Job Code]],
          JobCodeSkills!$K:$K, "Required")</f>
        <v>0</v>
      </c>
      <c r="N132" s="4">
        <f>COUNTIFS(EmployeeSkills!$A:$A, EmployeesTable[[#This Row],[User Name]],
          EmployeeSkills!$B:$B, EmployeesTable[[#This Row],[Succession Plan Job Code]],
          EmployeeSkills!$D:$D, "Competent")</f>
        <v>0</v>
      </c>
      <c r="O132" s="4" t="str">
        <f>IF(EmployeesTable[[#This Row],[Succession Skills Ready – Required Total]]=0,"",
   EmployeesTable[[#This Row],[Succession Skills Ready – Required Met]]/EmployeesTable[[#This Row],[Succession Skills Ready – Required Total]])</f>
        <v/>
      </c>
      <c r="P132" s="4" t="str" cm="1">
        <f t="array" ref="P132">_xlfn.IFS(EmployeesTable[[#This Row],[Succession Skills Readiness %]]="","",
     EmployeesTable[[#This Row],[Succession Skills Readiness %]]&lt;0.6,"Not Ready",
     EmployeesTable[[#This Row],[Succession Skills Readiness %]]&lt;0.8,"Developing",
     TRUE,"Ready")</f>
        <v/>
      </c>
      <c r="Q132" s="4" t="e" cm="1" vm="1">
        <f t="array" ref="Q132">_xlfn.TEXTJOIN(", ",TRUE,
  _xlfn._xlws.FILTER(JobCodeSkills!$G:$G,
    (JobCodeSkills!$B:$B=EmployeesTable[[#This Row],[Job Code]])*
    (JobCodeSkills!$K:$K="Required")
  )
)</f>
        <v>#VALUE!</v>
      </c>
      <c r="R132" s="4"/>
      <c r="S132" s="4"/>
      <c r="T132" s="4"/>
      <c r="U132" s="4"/>
      <c r="V132" s="4" t="str" cm="1">
        <f t="array" ref="V132">IF(EmployeesTable[[#This Row],[Additional Executive Role]]="","",
  _xlfn.TEXTJOIN(", ",TRUE,
    _xlfn._xlws.FILTER(ExecRoleSkills!$B:$B,
      ExecRoleSkills!$A:$A=EmployeesTable[[#This Row],[Additional Executive Role]]
    )
  )
)</f>
        <v/>
      </c>
    </row>
    <row r="133" spans="1:22" ht="30" x14ac:dyDescent="0.25">
      <c r="A133" s="19" t="s">
        <v>544</v>
      </c>
      <c r="B133" s="9">
        <v>10401</v>
      </c>
      <c r="C133" s="3" t="s">
        <v>184</v>
      </c>
      <c r="D133" s="9"/>
      <c r="E133" s="15">
        <v>44924</v>
      </c>
      <c r="F133" s="3" t="s">
        <v>545</v>
      </c>
      <c r="G133" s="3" t="s">
        <v>454</v>
      </c>
      <c r="H133" s="3" t="s">
        <v>12</v>
      </c>
      <c r="I133" s="9" t="s">
        <v>13</v>
      </c>
      <c r="J133" s="4"/>
      <c r="K133" s="4"/>
      <c r="L133" s="4"/>
      <c r="M133" s="4">
        <f>COUNTIFS(JobCodeSkills!$B:$B, EmployeesTable[[#This Row],[Succession Plan Job Code]],
          JobCodeSkills!$K:$K, "Required")</f>
        <v>0</v>
      </c>
      <c r="N133" s="4">
        <f>COUNTIFS(EmployeeSkills!$A:$A, EmployeesTable[[#This Row],[User Name]],
          EmployeeSkills!$B:$B, EmployeesTable[[#This Row],[Succession Plan Job Code]],
          EmployeeSkills!$D:$D, "Competent")</f>
        <v>0</v>
      </c>
      <c r="O133" s="4" t="str">
        <f>IF(EmployeesTable[[#This Row],[Succession Skills Ready – Required Total]]=0,"",
   EmployeesTable[[#This Row],[Succession Skills Ready – Required Met]]/EmployeesTable[[#This Row],[Succession Skills Ready – Required Total]])</f>
        <v/>
      </c>
      <c r="P133" s="4" t="str" cm="1">
        <f t="array" ref="P133">_xlfn.IFS(EmployeesTable[[#This Row],[Succession Skills Readiness %]]="","",
     EmployeesTable[[#This Row],[Succession Skills Readiness %]]&lt;0.6,"Not Ready",
     EmployeesTable[[#This Row],[Succession Skills Readiness %]]&lt;0.8,"Developing",
     TRUE,"Ready")</f>
        <v/>
      </c>
      <c r="Q133" s="4" t="e" cm="1" vm="1">
        <f t="array" ref="Q133">_xlfn.TEXTJOIN(", ",TRUE,
  _xlfn._xlws.FILTER(JobCodeSkills!$G:$G,
    (JobCodeSkills!$B:$B=EmployeesTable[[#This Row],[Job Code]])*
    (JobCodeSkills!$K:$K="Required")
  )
)</f>
        <v>#VALUE!</v>
      </c>
      <c r="R133" s="4"/>
      <c r="S133" s="4"/>
      <c r="T133" s="4"/>
      <c r="U133" s="4"/>
      <c r="V133" s="4" t="str" cm="1">
        <f t="array" ref="V133">IF(EmployeesTable[[#This Row],[Additional Executive Role]]="","",
  _xlfn.TEXTJOIN(", ",TRUE,
    _xlfn._xlws.FILTER(ExecRoleSkills!$B:$B,
      ExecRoleSkills!$A:$A=EmployeesTable[[#This Row],[Additional Executive Role]]
    )
  )
)</f>
        <v/>
      </c>
    </row>
    <row r="134" spans="1:22" ht="45" x14ac:dyDescent="0.25">
      <c r="A134" s="19" t="s">
        <v>675</v>
      </c>
      <c r="B134" s="9">
        <v>2125</v>
      </c>
      <c r="C134" s="3" t="s">
        <v>676</v>
      </c>
      <c r="D134" s="9"/>
      <c r="E134" s="15">
        <v>45530</v>
      </c>
      <c r="F134" s="3" t="s">
        <v>677</v>
      </c>
      <c r="G134" s="3" t="s">
        <v>674</v>
      </c>
      <c r="H134" s="3" t="s">
        <v>12</v>
      </c>
      <c r="I134" s="9" t="s">
        <v>711</v>
      </c>
      <c r="J134" s="4"/>
      <c r="K134" s="4"/>
      <c r="L134" s="4"/>
      <c r="M134" s="4">
        <f>COUNTIFS(JobCodeSkills!$B:$B, EmployeesTable[[#This Row],[Succession Plan Job Code]],
          JobCodeSkills!$K:$K, "Required")</f>
        <v>0</v>
      </c>
      <c r="N134" s="4">
        <f>COUNTIFS(EmployeeSkills!$A:$A, EmployeesTable[[#This Row],[User Name]],
          EmployeeSkills!$B:$B, EmployeesTable[[#This Row],[Succession Plan Job Code]],
          EmployeeSkills!$D:$D, "Competent")</f>
        <v>0</v>
      </c>
      <c r="O134" s="4" t="str">
        <f>IF(EmployeesTable[[#This Row],[Succession Skills Ready – Required Total]]=0,"",
   EmployeesTable[[#This Row],[Succession Skills Ready – Required Met]]/EmployeesTable[[#This Row],[Succession Skills Ready – Required Total]])</f>
        <v/>
      </c>
      <c r="P134" s="4" t="str" cm="1">
        <f t="array" ref="P134">_xlfn.IFS(EmployeesTable[[#This Row],[Succession Skills Readiness %]]="","",
     EmployeesTable[[#This Row],[Succession Skills Readiness %]]&lt;0.6,"Not Ready",
     EmployeesTable[[#This Row],[Succession Skills Readiness %]]&lt;0.8,"Developing",
     TRUE,"Ready")</f>
        <v/>
      </c>
      <c r="Q134" s="4" t="e" cm="1" vm="1">
        <f t="array" ref="Q134">_xlfn.TEXTJOIN(", ",TRUE,
  _xlfn._xlws.FILTER(JobCodeSkills!$G:$G,
    (JobCodeSkills!$B:$B=EmployeesTable[[#This Row],[Job Code]])*
    (JobCodeSkills!$K:$K="Required")
  )
)</f>
        <v>#VALUE!</v>
      </c>
      <c r="R134" s="4"/>
      <c r="S134" s="4"/>
      <c r="T134" s="4"/>
      <c r="U134" s="4"/>
      <c r="V134" s="4" t="str" cm="1">
        <f t="array" ref="V134">IF(EmployeesTable[[#This Row],[Additional Executive Role]]="","",
  _xlfn.TEXTJOIN(", ",TRUE,
    _xlfn._xlws.FILTER(ExecRoleSkills!$B:$B,
      ExecRoleSkills!$A:$A=EmployeesTable[[#This Row],[Additional Executive Role]]
    )
  )
)</f>
        <v/>
      </c>
    </row>
    <row r="135" spans="1:22" ht="30" x14ac:dyDescent="0.25">
      <c r="A135" s="19" t="s">
        <v>546</v>
      </c>
      <c r="B135" s="9">
        <v>10502</v>
      </c>
      <c r="C135" s="3" t="s">
        <v>187</v>
      </c>
      <c r="D135" s="9"/>
      <c r="E135" s="15">
        <v>43928</v>
      </c>
      <c r="F135" s="3" t="s">
        <v>547</v>
      </c>
      <c r="G135" s="3" t="s">
        <v>454</v>
      </c>
      <c r="H135" s="3" t="s">
        <v>12</v>
      </c>
      <c r="I135" s="9" t="s">
        <v>13</v>
      </c>
      <c r="J135" s="4"/>
      <c r="K135" s="4"/>
      <c r="L135" s="4"/>
      <c r="M135" s="4">
        <f>COUNTIFS(JobCodeSkills!$B:$B, EmployeesTable[[#This Row],[Succession Plan Job Code]],
          JobCodeSkills!$K:$K, "Required")</f>
        <v>0</v>
      </c>
      <c r="N135" s="4">
        <f>COUNTIFS(EmployeeSkills!$A:$A, EmployeesTable[[#This Row],[User Name]],
          EmployeeSkills!$B:$B, EmployeesTable[[#This Row],[Succession Plan Job Code]],
          EmployeeSkills!$D:$D, "Competent")</f>
        <v>0</v>
      </c>
      <c r="O135" s="4" t="str">
        <f>IF(EmployeesTable[[#This Row],[Succession Skills Ready – Required Total]]=0,"",
   EmployeesTable[[#This Row],[Succession Skills Ready – Required Met]]/EmployeesTable[[#This Row],[Succession Skills Ready – Required Total]])</f>
        <v/>
      </c>
      <c r="P135" s="4" t="str" cm="1">
        <f t="array" ref="P135">_xlfn.IFS(EmployeesTable[[#This Row],[Succession Skills Readiness %]]="","",
     EmployeesTable[[#This Row],[Succession Skills Readiness %]]&lt;0.6,"Not Ready",
     EmployeesTable[[#This Row],[Succession Skills Readiness %]]&lt;0.8,"Developing",
     TRUE,"Ready")</f>
        <v/>
      </c>
      <c r="Q135" s="4" t="e" cm="1" vm="1">
        <f t="array" ref="Q135">_xlfn.TEXTJOIN(", ",TRUE,
  _xlfn._xlws.FILTER(JobCodeSkills!$G:$G,
    (JobCodeSkills!$B:$B=EmployeesTable[[#This Row],[Job Code]])*
    (JobCodeSkills!$K:$K="Required")
  )
)</f>
        <v>#VALUE!</v>
      </c>
      <c r="R135" s="4"/>
      <c r="S135" s="4"/>
      <c r="T135" s="4"/>
      <c r="U135" s="4"/>
      <c r="V135" s="4" t="str" cm="1">
        <f t="array" ref="V135">IF(EmployeesTable[[#This Row],[Additional Executive Role]]="","",
  _xlfn.TEXTJOIN(", ",TRUE,
    _xlfn._xlws.FILTER(ExecRoleSkills!$B:$B,
      ExecRoleSkills!$A:$A=EmployeesTable[[#This Row],[Additional Executive Role]]
    )
  )
)</f>
        <v/>
      </c>
    </row>
    <row r="136" spans="1:22" ht="30" x14ac:dyDescent="0.25">
      <c r="A136" s="19" t="s">
        <v>668</v>
      </c>
      <c r="B136" s="9">
        <v>6103</v>
      </c>
      <c r="C136" s="3" t="s">
        <v>714</v>
      </c>
      <c r="D136" s="9"/>
      <c r="E136" s="15">
        <v>45265</v>
      </c>
      <c r="F136" s="3" t="s">
        <v>669</v>
      </c>
      <c r="G136" s="3" t="s">
        <v>670</v>
      </c>
      <c r="H136" s="3" t="s">
        <v>12</v>
      </c>
      <c r="I136" s="9" t="s">
        <v>712</v>
      </c>
      <c r="J136" s="4"/>
      <c r="K136" s="4"/>
      <c r="L136" s="4"/>
      <c r="M136" s="4">
        <f>COUNTIFS(JobCodeSkills!$B:$B, EmployeesTable[[#This Row],[Succession Plan Job Code]],
          JobCodeSkills!$K:$K, "Required")</f>
        <v>0</v>
      </c>
      <c r="N136" s="4">
        <f>COUNTIFS(EmployeeSkills!$A:$A, EmployeesTable[[#This Row],[User Name]],
          EmployeeSkills!$B:$B, EmployeesTable[[#This Row],[Succession Plan Job Code]],
          EmployeeSkills!$D:$D, "Competent")</f>
        <v>0</v>
      </c>
      <c r="O136" s="4" t="str">
        <f>IF(EmployeesTable[[#This Row],[Succession Skills Ready – Required Total]]=0,"",
   EmployeesTable[[#This Row],[Succession Skills Ready – Required Met]]/EmployeesTable[[#This Row],[Succession Skills Ready – Required Total]])</f>
        <v/>
      </c>
      <c r="P136" s="4" t="str" cm="1">
        <f t="array" ref="P136">_xlfn.IFS(EmployeesTable[[#This Row],[Succession Skills Readiness %]]="","",
     EmployeesTable[[#This Row],[Succession Skills Readiness %]]&lt;0.6,"Not Ready",
     EmployeesTable[[#This Row],[Succession Skills Readiness %]]&lt;0.8,"Developing",
     TRUE,"Ready")</f>
        <v/>
      </c>
      <c r="Q136" s="4" t="e" cm="1" vm="1">
        <f t="array" ref="Q136">_xlfn.TEXTJOIN(", ",TRUE,
  _xlfn._xlws.FILTER(JobCodeSkills!$G:$G,
    (JobCodeSkills!$B:$B=EmployeesTable[[#This Row],[Job Code]])*
    (JobCodeSkills!$K:$K="Required")
  )
)</f>
        <v>#VALUE!</v>
      </c>
      <c r="R136" s="4"/>
      <c r="S136" s="4"/>
      <c r="T136" s="4"/>
      <c r="U136" s="4"/>
      <c r="V136" s="4" t="str" cm="1">
        <f t="array" ref="V136">IF(EmployeesTable[[#This Row],[Additional Executive Role]]="","",
  _xlfn.TEXTJOIN(", ",TRUE,
    _xlfn._xlws.FILTER(ExecRoleSkills!$B:$B,
      ExecRoleSkills!$A:$A=EmployeesTable[[#This Row],[Additional Executive Role]]
    )
  )
)</f>
        <v/>
      </c>
    </row>
    <row r="137" spans="1:22" ht="30" x14ac:dyDescent="0.25">
      <c r="A137" s="19" t="s">
        <v>37</v>
      </c>
      <c r="B137" s="9">
        <v>11100</v>
      </c>
      <c r="C137" s="3" t="s">
        <v>38</v>
      </c>
      <c r="D137" s="9"/>
      <c r="E137" s="15">
        <v>38304</v>
      </c>
      <c r="F137" s="3" t="s">
        <v>39</v>
      </c>
      <c r="G137" s="3" t="s">
        <v>20</v>
      </c>
      <c r="H137" s="3" t="s">
        <v>12</v>
      </c>
      <c r="I137" s="10" t="s">
        <v>13</v>
      </c>
      <c r="J137" s="4"/>
      <c r="K137" s="4"/>
      <c r="L137" s="4"/>
      <c r="M137" s="4">
        <f>COUNTIFS(JobCodeSkills!$B:$B, EmployeesTable[[#This Row],[Succession Plan Job Code]],
          JobCodeSkills!$K:$K, "Required")</f>
        <v>0</v>
      </c>
      <c r="N137" s="4">
        <f>COUNTIFS(EmployeeSkills!$A:$A, EmployeesTable[[#This Row],[User Name]],
          EmployeeSkills!$B:$B, EmployeesTable[[#This Row],[Succession Plan Job Code]],
          EmployeeSkills!$D:$D, "Competent")</f>
        <v>0</v>
      </c>
      <c r="O137" s="4" t="str">
        <f>IF(EmployeesTable[[#This Row],[Succession Skills Ready – Required Total]]=0,"",
   EmployeesTable[[#This Row],[Succession Skills Ready – Required Met]]/EmployeesTable[[#This Row],[Succession Skills Ready – Required Total]])</f>
        <v/>
      </c>
      <c r="P137" s="4" t="str" cm="1">
        <f t="array" ref="P137">_xlfn.IFS(EmployeesTable[[#This Row],[Succession Skills Readiness %]]="","",
     EmployeesTable[[#This Row],[Succession Skills Readiness %]]&lt;0.6,"Not Ready",
     EmployeesTable[[#This Row],[Succession Skills Readiness %]]&lt;0.8,"Developing",
     TRUE,"Ready")</f>
        <v/>
      </c>
      <c r="Q137" s="4" t="e" cm="1" vm="1">
        <f t="array" ref="Q137">_xlfn.TEXTJOIN(", ",TRUE,
  _xlfn._xlws.FILTER(JobCodeSkills!$G:$G,
    (JobCodeSkills!$B:$B=EmployeesTable[[#This Row],[Job Code]])*
    (JobCodeSkills!$K:$K="Required")
  )
)</f>
        <v>#VALUE!</v>
      </c>
      <c r="R137" s="4"/>
      <c r="S137" s="4"/>
      <c r="T137" s="4"/>
      <c r="U137" s="4"/>
      <c r="V137" s="4" t="str" cm="1">
        <f t="array" ref="V137">IF(EmployeesTable[[#This Row],[Additional Executive Role]]="","",
  _xlfn.TEXTJOIN(", ",TRUE,
    _xlfn._xlws.FILTER(ExecRoleSkills!$B:$B,
      ExecRoleSkills!$A:$A=EmployeesTable[[#This Row],[Additional Executive Role]]
    )
  )
)</f>
        <v/>
      </c>
    </row>
    <row r="138" spans="1:22" ht="30" x14ac:dyDescent="0.25">
      <c r="A138" s="19" t="s">
        <v>8</v>
      </c>
      <c r="B138" s="9">
        <v>40102</v>
      </c>
      <c r="C138" s="3" t="s">
        <v>9</v>
      </c>
      <c r="D138" s="9"/>
      <c r="E138" s="16">
        <v>43741</v>
      </c>
      <c r="F138" s="3" t="s">
        <v>10</v>
      </c>
      <c r="G138" s="3" t="s">
        <v>11</v>
      </c>
      <c r="H138" s="3" t="s">
        <v>12</v>
      </c>
      <c r="I138" s="10" t="s">
        <v>13</v>
      </c>
      <c r="J138" s="4"/>
      <c r="K138" s="4"/>
      <c r="L138" s="4"/>
      <c r="M138" s="4">
        <f>COUNTIFS(JobCodeSkills!$B:$B, EmployeesTable[[#This Row],[Succession Plan Job Code]],
          JobCodeSkills!$K:$K, "Required")</f>
        <v>0</v>
      </c>
      <c r="N138" s="4">
        <f>COUNTIFS(EmployeeSkills!$A:$A, EmployeesTable[[#This Row],[User Name]],
          EmployeeSkills!$B:$B, EmployeesTable[[#This Row],[Succession Plan Job Code]],
          EmployeeSkills!$D:$D, "Competent")</f>
        <v>0</v>
      </c>
      <c r="O138" s="4" t="str">
        <f>IF(EmployeesTable[[#This Row],[Succession Skills Ready – Required Total]]=0,"",
   EmployeesTable[[#This Row],[Succession Skills Ready – Required Met]]/EmployeesTable[[#This Row],[Succession Skills Ready – Required Total]])</f>
        <v/>
      </c>
      <c r="P138" s="4" t="str" cm="1">
        <f t="array" ref="P138">_xlfn.IFS(EmployeesTable[[#This Row],[Succession Skills Readiness %]]="","",
     EmployeesTable[[#This Row],[Succession Skills Readiness %]]&lt;0.6,"Not Ready",
     EmployeesTable[[#This Row],[Succession Skills Readiness %]]&lt;0.8,"Developing",
     TRUE,"Ready")</f>
        <v/>
      </c>
      <c r="Q138" s="4" t="e" cm="1" vm="1">
        <f t="array" ref="Q138">_xlfn.TEXTJOIN(", ",TRUE,
  _xlfn._xlws.FILTER(JobCodeSkills!$G:$G,
    (JobCodeSkills!$B:$B=EmployeesTable[[#This Row],[Job Code]])*
    (JobCodeSkills!$K:$K="Required")
  )
)</f>
        <v>#VALUE!</v>
      </c>
      <c r="R138" s="4"/>
      <c r="S138" s="4"/>
      <c r="T138" s="4"/>
      <c r="U138" s="4"/>
      <c r="V138" s="4" t="str" cm="1">
        <f t="array" ref="V138">IF(EmployeesTable[[#This Row],[Additional Executive Role]]="","",
  _xlfn.TEXTJOIN(", ",TRUE,
    _xlfn._xlws.FILTER(ExecRoleSkills!$B:$B,
      ExecRoleSkills!$A:$A=EmployeesTable[[#This Row],[Additional Executive Role]]
    )
  )
)</f>
        <v/>
      </c>
    </row>
    <row r="139" spans="1:22" ht="30" x14ac:dyDescent="0.25">
      <c r="A139" s="19" t="s">
        <v>88</v>
      </c>
      <c r="B139" s="9">
        <v>20203</v>
      </c>
      <c r="C139" s="3" t="s">
        <v>89</v>
      </c>
      <c r="D139" s="9"/>
      <c r="E139" s="15">
        <v>43874</v>
      </c>
      <c r="F139" s="3" t="s">
        <v>90</v>
      </c>
      <c r="G139" s="3" t="s">
        <v>87</v>
      </c>
      <c r="H139" s="3" t="s">
        <v>12</v>
      </c>
      <c r="I139" s="10" t="s">
        <v>713</v>
      </c>
      <c r="J139" s="4"/>
      <c r="K139" s="4"/>
      <c r="L139" s="4"/>
      <c r="M139" s="4">
        <f>COUNTIFS(JobCodeSkills!$B:$B, EmployeesTable[[#This Row],[Succession Plan Job Code]],
          JobCodeSkills!$K:$K, "Required")</f>
        <v>0</v>
      </c>
      <c r="N139" s="4">
        <f>COUNTIFS(EmployeeSkills!$A:$A, EmployeesTable[[#This Row],[User Name]],
          EmployeeSkills!$B:$B, EmployeesTable[[#This Row],[Succession Plan Job Code]],
          EmployeeSkills!$D:$D, "Competent")</f>
        <v>0</v>
      </c>
      <c r="O139" s="4" t="str">
        <f>IF(EmployeesTable[[#This Row],[Succession Skills Ready – Required Total]]=0,"",
   EmployeesTable[[#This Row],[Succession Skills Ready – Required Met]]/EmployeesTable[[#This Row],[Succession Skills Ready – Required Total]])</f>
        <v/>
      </c>
      <c r="P139" s="4" t="str" cm="1">
        <f t="array" ref="P139">_xlfn.IFS(EmployeesTable[[#This Row],[Succession Skills Readiness %]]="","",
     EmployeesTable[[#This Row],[Succession Skills Readiness %]]&lt;0.6,"Not Ready",
     EmployeesTable[[#This Row],[Succession Skills Readiness %]]&lt;0.8,"Developing",
     TRUE,"Ready")</f>
        <v/>
      </c>
      <c r="Q139" s="4" t="e" cm="1" vm="1">
        <f t="array" ref="Q139">_xlfn.TEXTJOIN(", ",TRUE,
  _xlfn._xlws.FILTER(JobCodeSkills!$G:$G,
    (JobCodeSkills!$B:$B=EmployeesTable[[#This Row],[Job Code]])*
    (JobCodeSkills!$K:$K="Required")
  )
)</f>
        <v>#VALUE!</v>
      </c>
      <c r="R139" s="4"/>
      <c r="S139" s="4"/>
      <c r="T139" s="4"/>
      <c r="U139" s="4"/>
      <c r="V139" s="4" t="str" cm="1">
        <f t="array" ref="V139">IF(EmployeesTable[[#This Row],[Additional Executive Role]]="","",
  _xlfn.TEXTJOIN(", ",TRUE,
    _xlfn._xlws.FILTER(ExecRoleSkills!$B:$B,
      ExecRoleSkills!$A:$A=EmployeesTable[[#This Row],[Additional Executive Role]]
    )
  )
)</f>
        <v/>
      </c>
    </row>
    <row r="140" spans="1:22" ht="45" x14ac:dyDescent="0.25">
      <c r="A140" s="19" t="s">
        <v>107</v>
      </c>
      <c r="B140" s="9">
        <v>10210</v>
      </c>
      <c r="C140" s="3" t="s">
        <v>18</v>
      </c>
      <c r="D140" s="9"/>
      <c r="E140" s="15">
        <v>44789</v>
      </c>
      <c r="F140" s="3" t="s">
        <v>108</v>
      </c>
      <c r="G140" s="3" t="s">
        <v>103</v>
      </c>
      <c r="H140" s="3" t="s">
        <v>12</v>
      </c>
      <c r="I140" s="10" t="s">
        <v>712</v>
      </c>
      <c r="J140" s="4"/>
      <c r="K140" s="4"/>
      <c r="L140" s="4"/>
      <c r="M140" s="4">
        <f>COUNTIFS(JobCodeSkills!$B:$B, EmployeesTable[[#This Row],[Succession Plan Job Code]],
          JobCodeSkills!$K:$K, "Required")</f>
        <v>0</v>
      </c>
      <c r="N140" s="4">
        <f>COUNTIFS(EmployeeSkills!$A:$A, EmployeesTable[[#This Row],[User Name]],
          EmployeeSkills!$B:$B, EmployeesTable[[#This Row],[Succession Plan Job Code]],
          EmployeeSkills!$D:$D, "Competent")</f>
        <v>0</v>
      </c>
      <c r="O140" s="4" t="str">
        <f>IF(EmployeesTable[[#This Row],[Succession Skills Ready – Required Total]]=0,"",
   EmployeesTable[[#This Row],[Succession Skills Ready – Required Met]]/EmployeesTable[[#This Row],[Succession Skills Ready – Required Total]])</f>
        <v/>
      </c>
      <c r="P140" s="4" t="str" cm="1">
        <f t="array" ref="P140">_xlfn.IFS(EmployeesTable[[#This Row],[Succession Skills Readiness %]]="","",
     EmployeesTable[[#This Row],[Succession Skills Readiness %]]&lt;0.6,"Not Ready",
     EmployeesTable[[#This Row],[Succession Skills Readiness %]]&lt;0.8,"Developing",
     TRUE,"Ready")</f>
        <v/>
      </c>
      <c r="Q140" s="4" t="e" cm="1" vm="1">
        <f t="array" ref="Q140">_xlfn.TEXTJOIN(", ",TRUE,
  _xlfn._xlws.FILTER(JobCodeSkills!$G:$G,
    (JobCodeSkills!$B:$B=EmployeesTable[[#This Row],[Job Code]])*
    (JobCodeSkills!$K:$K="Required")
  )
)</f>
        <v>#VALUE!</v>
      </c>
      <c r="R140" s="4"/>
      <c r="S140" s="4"/>
      <c r="T140" s="4"/>
      <c r="U140" s="4"/>
      <c r="V140" s="4" t="str" cm="1">
        <f t="array" ref="V140">IF(EmployeesTable[[#This Row],[Additional Executive Role]]="","",
  _xlfn.TEXTJOIN(", ",TRUE,
    _xlfn._xlws.FILTER(ExecRoleSkills!$B:$B,
      ExecRoleSkills!$A:$A=EmployeesTable[[#This Row],[Additional Executive Role]]
    )
  )
)</f>
        <v/>
      </c>
    </row>
    <row r="141" spans="1:22" ht="30" x14ac:dyDescent="0.25">
      <c r="A141" s="19" t="s">
        <v>265</v>
      </c>
      <c r="B141" s="9">
        <v>10205</v>
      </c>
      <c r="C141" s="3" t="s">
        <v>219</v>
      </c>
      <c r="D141" s="9"/>
      <c r="E141" s="15">
        <v>43668</v>
      </c>
      <c r="F141" s="3" t="s">
        <v>266</v>
      </c>
      <c r="G141" s="3" t="s">
        <v>129</v>
      </c>
      <c r="H141" s="3" t="s">
        <v>12</v>
      </c>
      <c r="I141" s="10" t="s">
        <v>712</v>
      </c>
      <c r="J141" s="4"/>
      <c r="K141" s="4"/>
      <c r="L141" s="4"/>
      <c r="M141" s="4">
        <f>COUNTIFS(JobCodeSkills!$B:$B, EmployeesTable[[#This Row],[Succession Plan Job Code]],
          JobCodeSkills!$K:$K, "Required")</f>
        <v>0</v>
      </c>
      <c r="N141" s="4">
        <f>COUNTIFS(EmployeeSkills!$A:$A, EmployeesTable[[#This Row],[User Name]],
          EmployeeSkills!$B:$B, EmployeesTable[[#This Row],[Succession Plan Job Code]],
          EmployeeSkills!$D:$D, "Competent")</f>
        <v>0</v>
      </c>
      <c r="O141" s="4" t="str">
        <f>IF(EmployeesTable[[#This Row],[Succession Skills Ready – Required Total]]=0,"",
   EmployeesTable[[#This Row],[Succession Skills Ready – Required Met]]/EmployeesTable[[#This Row],[Succession Skills Ready – Required Total]])</f>
        <v/>
      </c>
      <c r="P141" s="4" t="str" cm="1">
        <f t="array" ref="P141">_xlfn.IFS(EmployeesTable[[#This Row],[Succession Skills Readiness %]]="","",
     EmployeesTable[[#This Row],[Succession Skills Readiness %]]&lt;0.6,"Not Ready",
     EmployeesTable[[#This Row],[Succession Skills Readiness %]]&lt;0.8,"Developing",
     TRUE,"Ready")</f>
        <v/>
      </c>
      <c r="Q141" s="4" t="e" cm="1" vm="1">
        <f t="array" ref="Q141">_xlfn.TEXTJOIN(", ",TRUE,
  _xlfn._xlws.FILTER(JobCodeSkills!$G:$G,
    (JobCodeSkills!$B:$B=EmployeesTable[[#This Row],[Job Code]])*
    (JobCodeSkills!$K:$K="Required")
  )
)</f>
        <v>#VALUE!</v>
      </c>
      <c r="R141" s="4"/>
      <c r="S141" s="4"/>
      <c r="T141" s="4"/>
      <c r="U141" s="4"/>
      <c r="V141" s="4" t="str" cm="1">
        <f t="array" ref="V141">IF(EmployeesTable[[#This Row],[Additional Executive Role]]="","",
  _xlfn.TEXTJOIN(", ",TRUE,
    _xlfn._xlws.FILTER(ExecRoleSkills!$B:$B,
      ExecRoleSkills!$A:$A=EmployeesTable[[#This Row],[Additional Executive Role]]
    )
  )
)</f>
        <v/>
      </c>
    </row>
    <row r="142" spans="1:22" ht="30" x14ac:dyDescent="0.25">
      <c r="A142" s="19" t="s">
        <v>267</v>
      </c>
      <c r="B142" s="9">
        <v>10705</v>
      </c>
      <c r="C142" s="3" t="s">
        <v>136</v>
      </c>
      <c r="D142" s="9"/>
      <c r="E142" s="15">
        <v>43521</v>
      </c>
      <c r="F142" s="3" t="s">
        <v>268</v>
      </c>
      <c r="G142" s="3" t="s">
        <v>129</v>
      </c>
      <c r="H142" s="3" t="s">
        <v>12</v>
      </c>
      <c r="I142" s="10" t="s">
        <v>712</v>
      </c>
      <c r="J142" s="4"/>
      <c r="K142" s="4"/>
      <c r="L142" s="4"/>
      <c r="M142" s="4">
        <f>COUNTIFS(JobCodeSkills!$B:$B, EmployeesTable[[#This Row],[Succession Plan Job Code]],
          JobCodeSkills!$K:$K, "Required")</f>
        <v>0</v>
      </c>
      <c r="N142" s="4">
        <f>COUNTIFS(EmployeeSkills!$A:$A, EmployeesTable[[#This Row],[User Name]],
          EmployeeSkills!$B:$B, EmployeesTable[[#This Row],[Succession Plan Job Code]],
          EmployeeSkills!$D:$D, "Competent")</f>
        <v>0</v>
      </c>
      <c r="O142" s="4" t="str">
        <f>IF(EmployeesTable[[#This Row],[Succession Skills Ready – Required Total]]=0,"",
   EmployeesTable[[#This Row],[Succession Skills Ready – Required Met]]/EmployeesTable[[#This Row],[Succession Skills Ready – Required Total]])</f>
        <v/>
      </c>
      <c r="P142" s="4" t="str" cm="1">
        <f t="array" ref="P142">_xlfn.IFS(EmployeesTable[[#This Row],[Succession Skills Readiness %]]="","",
     EmployeesTable[[#This Row],[Succession Skills Readiness %]]&lt;0.6,"Not Ready",
     EmployeesTable[[#This Row],[Succession Skills Readiness %]]&lt;0.8,"Developing",
     TRUE,"Ready")</f>
        <v/>
      </c>
      <c r="Q142" s="4" t="e" cm="1" vm="1">
        <f t="array" ref="Q142">_xlfn.TEXTJOIN(", ",TRUE,
  _xlfn._xlws.FILTER(JobCodeSkills!$G:$G,
    (JobCodeSkills!$B:$B=EmployeesTable[[#This Row],[Job Code]])*
    (JobCodeSkills!$K:$K="Required")
  )
)</f>
        <v>#VALUE!</v>
      </c>
      <c r="R142" s="4"/>
      <c r="S142" s="4"/>
      <c r="T142" s="4"/>
      <c r="U142" s="4"/>
      <c r="V142" s="4" t="str" cm="1">
        <f t="array" ref="V142">IF(EmployeesTable[[#This Row],[Additional Executive Role]]="","",
  _xlfn.TEXTJOIN(", ",TRUE,
    _xlfn._xlws.FILTER(ExecRoleSkills!$B:$B,
      ExecRoleSkills!$A:$A=EmployeesTable[[#This Row],[Additional Executive Role]]
    )
  )
)</f>
        <v/>
      </c>
    </row>
    <row r="143" spans="1:22" ht="30" x14ac:dyDescent="0.25">
      <c r="A143" s="19" t="s">
        <v>269</v>
      </c>
      <c r="B143" s="9">
        <v>10701</v>
      </c>
      <c r="C143" s="3" t="s">
        <v>153</v>
      </c>
      <c r="D143" s="9"/>
      <c r="E143" s="15">
        <v>45545</v>
      </c>
      <c r="F143" s="3" t="s">
        <v>270</v>
      </c>
      <c r="G143" s="3" t="s">
        <v>129</v>
      </c>
      <c r="H143" s="3" t="s">
        <v>12</v>
      </c>
      <c r="I143" s="10" t="s">
        <v>712</v>
      </c>
      <c r="J143" s="4"/>
      <c r="K143" s="4"/>
      <c r="L143" s="4"/>
      <c r="M143" s="4">
        <f>COUNTIFS(JobCodeSkills!$B:$B, EmployeesTable[[#This Row],[Succession Plan Job Code]],
          JobCodeSkills!$K:$K, "Required")</f>
        <v>0</v>
      </c>
      <c r="N143" s="4">
        <f>COUNTIFS(EmployeeSkills!$A:$A, EmployeesTable[[#This Row],[User Name]],
          EmployeeSkills!$B:$B, EmployeesTable[[#This Row],[Succession Plan Job Code]],
          EmployeeSkills!$D:$D, "Competent")</f>
        <v>0</v>
      </c>
      <c r="O143" s="4" t="str">
        <f>IF(EmployeesTable[[#This Row],[Succession Skills Ready – Required Total]]=0,"",
   EmployeesTable[[#This Row],[Succession Skills Ready – Required Met]]/EmployeesTable[[#This Row],[Succession Skills Ready – Required Total]])</f>
        <v/>
      </c>
      <c r="P143" s="4" t="str" cm="1">
        <f t="array" ref="P143">_xlfn.IFS(EmployeesTable[[#This Row],[Succession Skills Readiness %]]="","",
     EmployeesTable[[#This Row],[Succession Skills Readiness %]]&lt;0.6,"Not Ready",
     EmployeesTable[[#This Row],[Succession Skills Readiness %]]&lt;0.8,"Developing",
     TRUE,"Ready")</f>
        <v/>
      </c>
      <c r="Q143" s="4" t="e" cm="1" vm="1">
        <f t="array" ref="Q143">_xlfn.TEXTJOIN(", ",TRUE,
  _xlfn._xlws.FILTER(JobCodeSkills!$G:$G,
    (JobCodeSkills!$B:$B=EmployeesTable[[#This Row],[Job Code]])*
    (JobCodeSkills!$K:$K="Required")
  )
)</f>
        <v>#VALUE!</v>
      </c>
      <c r="R143" s="4"/>
      <c r="S143" s="4"/>
      <c r="T143" s="4"/>
      <c r="U143" s="4"/>
      <c r="V143" s="4" t="str" cm="1">
        <f t="array" ref="V143">IF(EmployeesTable[[#This Row],[Additional Executive Role]]="","",
  _xlfn.TEXTJOIN(", ",TRUE,
    _xlfn._xlws.FILTER(ExecRoleSkills!$B:$B,
      ExecRoleSkills!$A:$A=EmployeesTable[[#This Row],[Additional Executive Role]]
    )
  )
)</f>
        <v/>
      </c>
    </row>
    <row r="144" spans="1:22" ht="30" x14ac:dyDescent="0.25">
      <c r="A144" s="19" t="s">
        <v>271</v>
      </c>
      <c r="B144" s="9">
        <v>10813</v>
      </c>
      <c r="C144" s="3" t="s">
        <v>272</v>
      </c>
      <c r="D144" s="9"/>
      <c r="E144" s="15">
        <v>45265</v>
      </c>
      <c r="F144" s="3" t="s">
        <v>273</v>
      </c>
      <c r="G144" s="3" t="s">
        <v>129</v>
      </c>
      <c r="H144" s="3" t="s">
        <v>12</v>
      </c>
      <c r="I144" s="10" t="s">
        <v>712</v>
      </c>
      <c r="J144" s="4"/>
      <c r="K144" s="4"/>
      <c r="L144" s="4"/>
      <c r="M144" s="4">
        <f>COUNTIFS(JobCodeSkills!$B:$B, EmployeesTable[[#This Row],[Succession Plan Job Code]],
          JobCodeSkills!$K:$K, "Required")</f>
        <v>0</v>
      </c>
      <c r="N144" s="4">
        <f>COUNTIFS(EmployeeSkills!$A:$A, EmployeesTable[[#This Row],[User Name]],
          EmployeeSkills!$B:$B, EmployeesTable[[#This Row],[Succession Plan Job Code]],
          EmployeeSkills!$D:$D, "Competent")</f>
        <v>0</v>
      </c>
      <c r="O144" s="4" t="str">
        <f>IF(EmployeesTable[[#This Row],[Succession Skills Ready – Required Total]]=0,"",
   EmployeesTable[[#This Row],[Succession Skills Ready – Required Met]]/EmployeesTable[[#This Row],[Succession Skills Ready – Required Total]])</f>
        <v/>
      </c>
      <c r="P144" s="4" t="str" cm="1">
        <f t="array" ref="P144">_xlfn.IFS(EmployeesTable[[#This Row],[Succession Skills Readiness %]]="","",
     EmployeesTable[[#This Row],[Succession Skills Readiness %]]&lt;0.6,"Not Ready",
     EmployeesTable[[#This Row],[Succession Skills Readiness %]]&lt;0.8,"Developing",
     TRUE,"Ready")</f>
        <v/>
      </c>
      <c r="Q144" s="4" t="e" cm="1" vm="1">
        <f t="array" ref="Q144">_xlfn.TEXTJOIN(", ",TRUE,
  _xlfn._xlws.FILTER(JobCodeSkills!$G:$G,
    (JobCodeSkills!$B:$B=EmployeesTable[[#This Row],[Job Code]])*
    (JobCodeSkills!$K:$K="Required")
  )
)</f>
        <v>#VALUE!</v>
      </c>
      <c r="R144" s="4"/>
      <c r="S144" s="4"/>
      <c r="T144" s="4"/>
      <c r="U144" s="4"/>
      <c r="V144" s="4" t="str" cm="1">
        <f t="array" ref="V144">IF(EmployeesTable[[#This Row],[Additional Executive Role]]="","",
  _xlfn.TEXTJOIN(", ",TRUE,
    _xlfn._xlws.FILTER(ExecRoleSkills!$B:$B,
      ExecRoleSkills!$A:$A=EmployeesTable[[#This Row],[Additional Executive Role]]
    )
  )
)</f>
        <v/>
      </c>
    </row>
    <row r="145" spans="1:22" ht="30" x14ac:dyDescent="0.25">
      <c r="A145" s="19" t="s">
        <v>548</v>
      </c>
      <c r="B145" s="9">
        <v>10301</v>
      </c>
      <c r="C145" s="3" t="s">
        <v>222</v>
      </c>
      <c r="D145" s="9"/>
      <c r="E145" s="15">
        <v>36115</v>
      </c>
      <c r="F145" s="3" t="s">
        <v>549</v>
      </c>
      <c r="G145" s="3" t="s">
        <v>454</v>
      </c>
      <c r="H145" s="3" t="s">
        <v>12</v>
      </c>
      <c r="I145" s="9" t="s">
        <v>13</v>
      </c>
      <c r="J145" s="4"/>
      <c r="K145" s="4"/>
      <c r="L145" s="4"/>
      <c r="M145" s="4">
        <f>COUNTIFS(JobCodeSkills!$B:$B, EmployeesTable[[#This Row],[Succession Plan Job Code]],
          JobCodeSkills!$K:$K, "Required")</f>
        <v>0</v>
      </c>
      <c r="N145" s="4">
        <f>COUNTIFS(EmployeeSkills!$A:$A, EmployeesTable[[#This Row],[User Name]],
          EmployeeSkills!$B:$B, EmployeesTable[[#This Row],[Succession Plan Job Code]],
          EmployeeSkills!$D:$D, "Competent")</f>
        <v>0</v>
      </c>
      <c r="O145" s="4" t="str">
        <f>IF(EmployeesTable[[#This Row],[Succession Skills Ready – Required Total]]=0,"",
   EmployeesTable[[#This Row],[Succession Skills Ready – Required Met]]/EmployeesTable[[#This Row],[Succession Skills Ready – Required Total]])</f>
        <v/>
      </c>
      <c r="P145" s="4" t="str" cm="1">
        <f t="array" ref="P145">_xlfn.IFS(EmployeesTable[[#This Row],[Succession Skills Readiness %]]="","",
     EmployeesTable[[#This Row],[Succession Skills Readiness %]]&lt;0.6,"Not Ready",
     EmployeesTable[[#This Row],[Succession Skills Readiness %]]&lt;0.8,"Developing",
     TRUE,"Ready")</f>
        <v/>
      </c>
      <c r="Q145" s="4" t="e" cm="1" vm="1">
        <f t="array" ref="Q145">_xlfn.TEXTJOIN(", ",TRUE,
  _xlfn._xlws.FILTER(JobCodeSkills!$G:$G,
    (JobCodeSkills!$B:$B=EmployeesTable[[#This Row],[Job Code]])*
    (JobCodeSkills!$K:$K="Required")
  )
)</f>
        <v>#VALUE!</v>
      </c>
      <c r="R145" s="4"/>
      <c r="S145" s="4"/>
      <c r="T145" s="4"/>
      <c r="U145" s="4"/>
      <c r="V145" s="4" t="str" cm="1">
        <f t="array" ref="V145">IF(EmployeesTable[[#This Row],[Additional Executive Role]]="","",
  _xlfn.TEXTJOIN(", ",TRUE,
    _xlfn._xlws.FILTER(ExecRoleSkills!$B:$B,
      ExecRoleSkills!$A:$A=EmployeesTable[[#This Row],[Additional Executive Role]]
    )
  )
)</f>
        <v/>
      </c>
    </row>
    <row r="146" spans="1:22" ht="30" x14ac:dyDescent="0.25">
      <c r="A146" s="19" t="s">
        <v>550</v>
      </c>
      <c r="B146" s="9">
        <v>10803</v>
      </c>
      <c r="C146" s="3" t="s">
        <v>272</v>
      </c>
      <c r="D146" s="9"/>
      <c r="E146" s="15">
        <v>44994</v>
      </c>
      <c r="F146" s="3" t="s">
        <v>551</v>
      </c>
      <c r="G146" s="3" t="s">
        <v>454</v>
      </c>
      <c r="H146" s="3" t="s">
        <v>12</v>
      </c>
      <c r="I146" s="9" t="s">
        <v>13</v>
      </c>
      <c r="J146" s="4"/>
      <c r="K146" s="4"/>
      <c r="L146" s="4"/>
      <c r="M146" s="4">
        <f>COUNTIFS(JobCodeSkills!$B:$B, EmployeesTable[[#This Row],[Succession Plan Job Code]],
          JobCodeSkills!$K:$K, "Required")</f>
        <v>0</v>
      </c>
      <c r="N146" s="4">
        <f>COUNTIFS(EmployeeSkills!$A:$A, EmployeesTable[[#This Row],[User Name]],
          EmployeeSkills!$B:$B, EmployeesTable[[#This Row],[Succession Plan Job Code]],
          EmployeeSkills!$D:$D, "Competent")</f>
        <v>0</v>
      </c>
      <c r="O146" s="4" t="str">
        <f>IF(EmployeesTable[[#This Row],[Succession Skills Ready – Required Total]]=0,"",
   EmployeesTable[[#This Row],[Succession Skills Ready – Required Met]]/EmployeesTable[[#This Row],[Succession Skills Ready – Required Total]])</f>
        <v/>
      </c>
      <c r="P146" s="4" t="str" cm="1">
        <f t="array" ref="P146">_xlfn.IFS(EmployeesTable[[#This Row],[Succession Skills Readiness %]]="","",
     EmployeesTable[[#This Row],[Succession Skills Readiness %]]&lt;0.6,"Not Ready",
     EmployeesTable[[#This Row],[Succession Skills Readiness %]]&lt;0.8,"Developing",
     TRUE,"Ready")</f>
        <v/>
      </c>
      <c r="Q146" s="4" t="e" cm="1" vm="1">
        <f t="array" ref="Q146">_xlfn.TEXTJOIN(", ",TRUE,
  _xlfn._xlws.FILTER(JobCodeSkills!$G:$G,
    (JobCodeSkills!$B:$B=EmployeesTable[[#This Row],[Job Code]])*
    (JobCodeSkills!$K:$K="Required")
  )
)</f>
        <v>#VALUE!</v>
      </c>
      <c r="R146" s="4"/>
      <c r="S146" s="4"/>
      <c r="T146" s="4"/>
      <c r="U146" s="4"/>
      <c r="V146" s="4" t="str" cm="1">
        <f t="array" ref="V146">IF(EmployeesTable[[#This Row],[Additional Executive Role]]="","",
  _xlfn.TEXTJOIN(", ",TRUE,
    _xlfn._xlws.FILTER(ExecRoleSkills!$B:$B,
      ExecRoleSkills!$A:$A=EmployeesTable[[#This Row],[Additional Executive Role]]
    )
  )
)</f>
        <v/>
      </c>
    </row>
    <row r="147" spans="1:22" ht="30" x14ac:dyDescent="0.25">
      <c r="A147" s="19" t="s">
        <v>552</v>
      </c>
      <c r="B147" s="9">
        <v>10804</v>
      </c>
      <c r="C147" s="3" t="s">
        <v>167</v>
      </c>
      <c r="D147" s="9"/>
      <c r="E147" s="15">
        <v>45204</v>
      </c>
      <c r="F147" s="3" t="s">
        <v>553</v>
      </c>
      <c r="G147" s="3" t="s">
        <v>454</v>
      </c>
      <c r="H147" s="3" t="s">
        <v>12</v>
      </c>
      <c r="I147" s="9" t="s">
        <v>13</v>
      </c>
      <c r="J147" s="4"/>
      <c r="K147" s="4"/>
      <c r="L147" s="4"/>
      <c r="M147" s="4">
        <f>COUNTIFS(JobCodeSkills!$B:$B, EmployeesTable[[#This Row],[Succession Plan Job Code]],
          JobCodeSkills!$K:$K, "Required")</f>
        <v>0</v>
      </c>
      <c r="N147" s="4">
        <f>COUNTIFS(EmployeeSkills!$A:$A, EmployeesTable[[#This Row],[User Name]],
          EmployeeSkills!$B:$B, EmployeesTable[[#This Row],[Succession Plan Job Code]],
          EmployeeSkills!$D:$D, "Competent")</f>
        <v>0</v>
      </c>
      <c r="O147" s="4" t="str">
        <f>IF(EmployeesTable[[#This Row],[Succession Skills Ready – Required Total]]=0,"",
   EmployeesTable[[#This Row],[Succession Skills Ready – Required Met]]/EmployeesTable[[#This Row],[Succession Skills Ready – Required Total]])</f>
        <v/>
      </c>
      <c r="P147" s="4" t="str" cm="1">
        <f t="array" ref="P147">_xlfn.IFS(EmployeesTable[[#This Row],[Succession Skills Readiness %]]="","",
     EmployeesTable[[#This Row],[Succession Skills Readiness %]]&lt;0.6,"Not Ready",
     EmployeesTable[[#This Row],[Succession Skills Readiness %]]&lt;0.8,"Developing",
     TRUE,"Ready")</f>
        <v/>
      </c>
      <c r="Q147" s="4" t="e" cm="1" vm="1">
        <f t="array" ref="Q147">_xlfn.TEXTJOIN(", ",TRUE,
  _xlfn._xlws.FILTER(JobCodeSkills!$G:$G,
    (JobCodeSkills!$B:$B=EmployeesTable[[#This Row],[Job Code]])*
    (JobCodeSkills!$K:$K="Required")
  )
)</f>
        <v>#VALUE!</v>
      </c>
      <c r="R147" s="4"/>
      <c r="S147" s="4"/>
      <c r="T147" s="4"/>
      <c r="U147" s="4"/>
      <c r="V147" s="4" t="str" cm="1">
        <f t="array" ref="V147">IF(EmployeesTable[[#This Row],[Additional Executive Role]]="","",
  _xlfn.TEXTJOIN(", ",TRUE,
    _xlfn._xlws.FILTER(ExecRoleSkills!$B:$B,
      ExecRoleSkills!$A:$A=EmployeesTable[[#This Row],[Additional Executive Role]]
    )
  )
)</f>
        <v/>
      </c>
    </row>
    <row r="148" spans="1:22" ht="30" x14ac:dyDescent="0.25">
      <c r="A148" s="19" t="s">
        <v>554</v>
      </c>
      <c r="B148" s="9">
        <v>10301</v>
      </c>
      <c r="C148" s="3" t="s">
        <v>222</v>
      </c>
      <c r="D148" s="9"/>
      <c r="E148" s="15">
        <v>35595</v>
      </c>
      <c r="F148" s="3" t="s">
        <v>555</v>
      </c>
      <c r="G148" s="3" t="s">
        <v>454</v>
      </c>
      <c r="H148" s="3" t="s">
        <v>12</v>
      </c>
      <c r="I148" s="9" t="s">
        <v>13</v>
      </c>
      <c r="J148" s="4"/>
      <c r="K148" s="4"/>
      <c r="L148" s="4"/>
      <c r="M148" s="4">
        <f>COUNTIFS(JobCodeSkills!$B:$B, EmployeesTable[[#This Row],[Succession Plan Job Code]],
          JobCodeSkills!$K:$K, "Required")</f>
        <v>0</v>
      </c>
      <c r="N148" s="4">
        <f>COUNTIFS(EmployeeSkills!$A:$A, EmployeesTable[[#This Row],[User Name]],
          EmployeeSkills!$B:$B, EmployeesTable[[#This Row],[Succession Plan Job Code]],
          EmployeeSkills!$D:$D, "Competent")</f>
        <v>0</v>
      </c>
      <c r="O148" s="4" t="str">
        <f>IF(EmployeesTable[[#This Row],[Succession Skills Ready – Required Total]]=0,"",
   EmployeesTable[[#This Row],[Succession Skills Ready – Required Met]]/EmployeesTable[[#This Row],[Succession Skills Ready – Required Total]])</f>
        <v/>
      </c>
      <c r="P148" s="4" t="str" cm="1">
        <f t="array" ref="P148">_xlfn.IFS(EmployeesTable[[#This Row],[Succession Skills Readiness %]]="","",
     EmployeesTable[[#This Row],[Succession Skills Readiness %]]&lt;0.6,"Not Ready",
     EmployeesTable[[#This Row],[Succession Skills Readiness %]]&lt;0.8,"Developing",
     TRUE,"Ready")</f>
        <v/>
      </c>
      <c r="Q148" s="4" t="e" cm="1" vm="1">
        <f t="array" ref="Q148">_xlfn.TEXTJOIN(", ",TRUE,
  _xlfn._xlws.FILTER(JobCodeSkills!$G:$G,
    (JobCodeSkills!$B:$B=EmployeesTable[[#This Row],[Job Code]])*
    (JobCodeSkills!$K:$K="Required")
  )
)</f>
        <v>#VALUE!</v>
      </c>
      <c r="R148" s="4"/>
      <c r="S148" s="4"/>
      <c r="T148" s="4"/>
      <c r="U148" s="4"/>
      <c r="V148" s="4" t="str" cm="1">
        <f t="array" ref="V148">IF(EmployeesTable[[#This Row],[Additional Executive Role]]="","",
  _xlfn.TEXTJOIN(", ",TRUE,
    _xlfn._xlws.FILTER(ExecRoleSkills!$B:$B,
      ExecRoleSkills!$A:$A=EmployeesTable[[#This Row],[Additional Executive Role]]
    )
  )
)</f>
        <v/>
      </c>
    </row>
    <row r="149" spans="1:22" ht="30" x14ac:dyDescent="0.25">
      <c r="A149" s="19" t="s">
        <v>397</v>
      </c>
      <c r="B149" s="9">
        <v>1135</v>
      </c>
      <c r="C149" s="3" t="s">
        <v>395</v>
      </c>
      <c r="D149" s="9"/>
      <c r="E149" s="15">
        <v>39148</v>
      </c>
      <c r="F149" s="3" t="s">
        <v>398</v>
      </c>
      <c r="G149" s="3" t="s">
        <v>399</v>
      </c>
      <c r="H149" s="3" t="s">
        <v>12</v>
      </c>
      <c r="I149" s="9" t="s">
        <v>712</v>
      </c>
      <c r="J149" s="4"/>
      <c r="K149" s="4"/>
      <c r="L149" s="4"/>
      <c r="M149" s="4">
        <f>COUNTIFS(JobCodeSkills!$B:$B, EmployeesTable[[#This Row],[Succession Plan Job Code]],
          JobCodeSkills!$K:$K, "Required")</f>
        <v>0</v>
      </c>
      <c r="N149" s="4">
        <f>COUNTIFS(EmployeeSkills!$A:$A, EmployeesTable[[#This Row],[User Name]],
          EmployeeSkills!$B:$B, EmployeesTable[[#This Row],[Succession Plan Job Code]],
          EmployeeSkills!$D:$D, "Competent")</f>
        <v>0</v>
      </c>
      <c r="O149" s="4" t="str">
        <f>IF(EmployeesTable[[#This Row],[Succession Skills Ready – Required Total]]=0,"",
   EmployeesTable[[#This Row],[Succession Skills Ready – Required Met]]/EmployeesTable[[#This Row],[Succession Skills Ready – Required Total]])</f>
        <v/>
      </c>
      <c r="P149" s="4" t="str" cm="1">
        <f t="array" ref="P149">_xlfn.IFS(EmployeesTable[[#This Row],[Succession Skills Readiness %]]="","",
     EmployeesTable[[#This Row],[Succession Skills Readiness %]]&lt;0.6,"Not Ready",
     EmployeesTable[[#This Row],[Succession Skills Readiness %]]&lt;0.8,"Developing",
     TRUE,"Ready")</f>
        <v/>
      </c>
      <c r="Q149" s="4" t="e" cm="1" vm="1">
        <f t="array" ref="Q149">_xlfn.TEXTJOIN(", ",TRUE,
  _xlfn._xlws.FILTER(JobCodeSkills!$G:$G,
    (JobCodeSkills!$B:$B=EmployeesTable[[#This Row],[Job Code]])*
    (JobCodeSkills!$K:$K="Required")
  )
)</f>
        <v>#VALUE!</v>
      </c>
      <c r="R149" s="4"/>
      <c r="S149" s="4"/>
      <c r="T149" s="4"/>
      <c r="U149" s="4"/>
      <c r="V149" s="4" t="str" cm="1">
        <f t="array" ref="V149">IF(EmployeesTable[[#This Row],[Additional Executive Role]]="","",
  _xlfn.TEXTJOIN(", ",TRUE,
    _xlfn._xlws.FILTER(ExecRoleSkills!$B:$B,
      ExecRoleSkills!$A:$A=EmployeesTable[[#This Row],[Additional Executive Role]]
    )
  )
)</f>
        <v/>
      </c>
    </row>
    <row r="150" spans="1:22" ht="45" x14ac:dyDescent="0.25">
      <c r="A150" s="19" t="s">
        <v>678</v>
      </c>
      <c r="B150" s="9">
        <v>10105</v>
      </c>
      <c r="C150" s="3" t="s">
        <v>77</v>
      </c>
      <c r="D150" s="9" t="s">
        <v>719</v>
      </c>
      <c r="E150" s="15">
        <v>33940</v>
      </c>
      <c r="F150" s="3" t="s">
        <v>679</v>
      </c>
      <c r="G150" s="3" t="s">
        <v>674</v>
      </c>
      <c r="H150" s="3" t="s">
        <v>12</v>
      </c>
      <c r="I150" s="9" t="s">
        <v>712</v>
      </c>
      <c r="J150" s="4"/>
      <c r="K150" s="4"/>
      <c r="L150" s="4"/>
      <c r="M150" s="4">
        <f>COUNTIFS(JobCodeSkills!$B:$B, EmployeesTable[[#This Row],[Succession Plan Job Code]],
          JobCodeSkills!$K:$K, "Required")</f>
        <v>0</v>
      </c>
      <c r="N150" s="4">
        <f>COUNTIFS(EmployeeSkills!$A:$A, EmployeesTable[[#This Row],[User Name]],
          EmployeeSkills!$B:$B, EmployeesTable[[#This Row],[Succession Plan Job Code]],
          EmployeeSkills!$D:$D, "Competent")</f>
        <v>0</v>
      </c>
      <c r="O150" s="4" t="str">
        <f>IF(EmployeesTable[[#This Row],[Succession Skills Ready – Required Total]]=0,"",
   EmployeesTable[[#This Row],[Succession Skills Ready – Required Met]]/EmployeesTable[[#This Row],[Succession Skills Ready – Required Total]])</f>
        <v/>
      </c>
      <c r="P150" s="4" t="str" cm="1">
        <f t="array" ref="P150">_xlfn.IFS(EmployeesTable[[#This Row],[Succession Skills Readiness %]]="","",
     EmployeesTable[[#This Row],[Succession Skills Readiness %]]&lt;0.6,"Not Ready",
     EmployeesTable[[#This Row],[Succession Skills Readiness %]]&lt;0.8,"Developing",
     TRUE,"Ready")</f>
        <v/>
      </c>
      <c r="Q150" s="4" t="e" cm="1" vm="1">
        <f t="array" ref="Q150">_xlfn.TEXTJOIN(", ",TRUE,
  _xlfn._xlws.FILTER(JobCodeSkills!$G:$G,
    (JobCodeSkills!$B:$B=EmployeesTable[[#This Row],[Job Code]])*
    (JobCodeSkills!$K:$K="Required")
  )
)</f>
        <v>#VALUE!</v>
      </c>
      <c r="R150" s="4"/>
      <c r="S150" s="4"/>
      <c r="T150" s="4"/>
      <c r="U150" s="4"/>
      <c r="V150" s="4" t="e" cm="1" vm="1">
        <f t="array" ref="V150">IF(EmployeesTable[[#This Row],[Additional Executive Role]]="","",
  _xlfn.TEXTJOIN(", ",TRUE,
    _xlfn._xlws.FILTER(ExecRoleSkills!$B:$B,
      ExecRoleSkills!$A:$A=EmployeesTable[[#This Row],[Additional Executive Role]]
    )
  )
)</f>
        <v>#VALUE!</v>
      </c>
    </row>
    <row r="151" spans="1:22" ht="30" x14ac:dyDescent="0.25">
      <c r="A151" s="19" t="s">
        <v>556</v>
      </c>
      <c r="B151" s="9">
        <v>10811</v>
      </c>
      <c r="C151" s="3" t="s">
        <v>161</v>
      </c>
      <c r="D151" s="9"/>
      <c r="E151" s="15">
        <v>45573</v>
      </c>
      <c r="F151" s="3" t="s">
        <v>557</v>
      </c>
      <c r="G151" s="3" t="s">
        <v>454</v>
      </c>
      <c r="H151" s="3" t="s">
        <v>12</v>
      </c>
      <c r="I151" s="9" t="s">
        <v>13</v>
      </c>
      <c r="J151" s="4"/>
      <c r="K151" s="4"/>
      <c r="L151" s="4"/>
      <c r="M151" s="4">
        <f>COUNTIFS(JobCodeSkills!$B:$B, EmployeesTable[[#This Row],[Succession Plan Job Code]],
          JobCodeSkills!$K:$K, "Required")</f>
        <v>0</v>
      </c>
      <c r="N151" s="4">
        <f>COUNTIFS(EmployeeSkills!$A:$A, EmployeesTable[[#This Row],[User Name]],
          EmployeeSkills!$B:$B, EmployeesTable[[#This Row],[Succession Plan Job Code]],
          EmployeeSkills!$D:$D, "Competent")</f>
        <v>0</v>
      </c>
      <c r="O151" s="4" t="str">
        <f>IF(EmployeesTable[[#This Row],[Succession Skills Ready – Required Total]]=0,"",
   EmployeesTable[[#This Row],[Succession Skills Ready – Required Met]]/EmployeesTable[[#This Row],[Succession Skills Ready – Required Total]])</f>
        <v/>
      </c>
      <c r="P151" s="4" t="str" cm="1">
        <f t="array" ref="P151">_xlfn.IFS(EmployeesTable[[#This Row],[Succession Skills Readiness %]]="","",
     EmployeesTable[[#This Row],[Succession Skills Readiness %]]&lt;0.6,"Not Ready",
     EmployeesTable[[#This Row],[Succession Skills Readiness %]]&lt;0.8,"Developing",
     TRUE,"Ready")</f>
        <v/>
      </c>
      <c r="Q151" s="4" t="e" cm="1" vm="1">
        <f t="array" ref="Q151">_xlfn.TEXTJOIN(", ",TRUE,
  _xlfn._xlws.FILTER(JobCodeSkills!$G:$G,
    (JobCodeSkills!$B:$B=EmployeesTable[[#This Row],[Job Code]])*
    (JobCodeSkills!$K:$K="Required")
  )
)</f>
        <v>#VALUE!</v>
      </c>
      <c r="R151" s="4"/>
      <c r="S151" s="4"/>
      <c r="T151" s="4"/>
      <c r="U151" s="4"/>
      <c r="V151" s="4" t="str" cm="1">
        <f t="array" ref="V151">IF(EmployeesTable[[#This Row],[Additional Executive Role]]="","",
  _xlfn.TEXTJOIN(", ",TRUE,
    _xlfn._xlws.FILTER(ExecRoleSkills!$B:$B,
      ExecRoleSkills!$A:$A=EmployeesTable[[#This Row],[Additional Executive Role]]
    )
  )
)</f>
        <v/>
      </c>
    </row>
    <row r="152" spans="1:22" ht="30" x14ac:dyDescent="0.25">
      <c r="A152" s="19" t="s">
        <v>558</v>
      </c>
      <c r="B152" s="9">
        <v>10815</v>
      </c>
      <c r="C152" s="3" t="s">
        <v>480</v>
      </c>
      <c r="D152" s="9"/>
      <c r="E152" s="15">
        <v>42179</v>
      </c>
      <c r="F152" s="3" t="s">
        <v>559</v>
      </c>
      <c r="G152" s="3" t="s">
        <v>454</v>
      </c>
      <c r="H152" s="3" t="s">
        <v>12</v>
      </c>
      <c r="I152" s="9" t="s">
        <v>13</v>
      </c>
      <c r="J152" s="4"/>
      <c r="K152" s="4"/>
      <c r="L152" s="4"/>
      <c r="M152" s="4">
        <f>COUNTIFS(JobCodeSkills!$B:$B, EmployeesTable[[#This Row],[Succession Plan Job Code]],
          JobCodeSkills!$K:$K, "Required")</f>
        <v>0</v>
      </c>
      <c r="N152" s="4">
        <f>COUNTIFS(EmployeeSkills!$A:$A, EmployeesTable[[#This Row],[User Name]],
          EmployeeSkills!$B:$B, EmployeesTable[[#This Row],[Succession Plan Job Code]],
          EmployeeSkills!$D:$D, "Competent")</f>
        <v>0</v>
      </c>
      <c r="O152" s="4" t="str">
        <f>IF(EmployeesTable[[#This Row],[Succession Skills Ready – Required Total]]=0,"",
   EmployeesTable[[#This Row],[Succession Skills Ready – Required Met]]/EmployeesTable[[#This Row],[Succession Skills Ready – Required Total]])</f>
        <v/>
      </c>
      <c r="P152" s="4" t="str" cm="1">
        <f t="array" ref="P152">_xlfn.IFS(EmployeesTable[[#This Row],[Succession Skills Readiness %]]="","",
     EmployeesTable[[#This Row],[Succession Skills Readiness %]]&lt;0.6,"Not Ready",
     EmployeesTable[[#This Row],[Succession Skills Readiness %]]&lt;0.8,"Developing",
     TRUE,"Ready")</f>
        <v/>
      </c>
      <c r="Q152" s="4" t="e" cm="1" vm="1">
        <f t="array" ref="Q152">_xlfn.TEXTJOIN(", ",TRUE,
  _xlfn._xlws.FILTER(JobCodeSkills!$G:$G,
    (JobCodeSkills!$B:$B=EmployeesTable[[#This Row],[Job Code]])*
    (JobCodeSkills!$K:$K="Required")
  )
)</f>
        <v>#VALUE!</v>
      </c>
      <c r="R152" s="4"/>
      <c r="S152" s="4"/>
      <c r="T152" s="4"/>
      <c r="U152" s="4"/>
      <c r="V152" s="4" t="str" cm="1">
        <f t="array" ref="V152">IF(EmployeesTable[[#This Row],[Additional Executive Role]]="","",
  _xlfn.TEXTJOIN(", ",TRUE,
    _xlfn._xlws.FILTER(ExecRoleSkills!$B:$B,
      ExecRoleSkills!$A:$A=EmployeesTable[[#This Row],[Additional Executive Role]]
    )
  )
)</f>
        <v/>
      </c>
    </row>
    <row r="153" spans="1:22" ht="45" x14ac:dyDescent="0.25">
      <c r="A153" s="19" t="s">
        <v>680</v>
      </c>
      <c r="B153" s="9">
        <v>10105</v>
      </c>
      <c r="C153" s="3" t="s">
        <v>77</v>
      </c>
      <c r="D153" s="9" t="s">
        <v>719</v>
      </c>
      <c r="E153" s="15">
        <v>36007</v>
      </c>
      <c r="F153" s="3" t="s">
        <v>681</v>
      </c>
      <c r="G153" s="3" t="s">
        <v>674</v>
      </c>
      <c r="H153" s="3" t="s">
        <v>12</v>
      </c>
      <c r="I153" s="9" t="s">
        <v>13</v>
      </c>
      <c r="J153" s="4"/>
      <c r="K153" s="4"/>
      <c r="L153" s="4"/>
      <c r="M153" s="4">
        <f>COUNTIFS(JobCodeSkills!$B:$B, EmployeesTable[[#This Row],[Succession Plan Job Code]],
          JobCodeSkills!$K:$K, "Required")</f>
        <v>0</v>
      </c>
      <c r="N153" s="4">
        <f>COUNTIFS(EmployeeSkills!$A:$A, EmployeesTable[[#This Row],[User Name]],
          EmployeeSkills!$B:$B, EmployeesTable[[#This Row],[Succession Plan Job Code]],
          EmployeeSkills!$D:$D, "Competent")</f>
        <v>0</v>
      </c>
      <c r="O153" s="4" t="str">
        <f>IF(EmployeesTable[[#This Row],[Succession Skills Ready – Required Total]]=0,"",
   EmployeesTable[[#This Row],[Succession Skills Ready – Required Met]]/EmployeesTable[[#This Row],[Succession Skills Ready – Required Total]])</f>
        <v/>
      </c>
      <c r="P153" s="4" t="str" cm="1">
        <f t="array" ref="P153">_xlfn.IFS(EmployeesTable[[#This Row],[Succession Skills Readiness %]]="","",
     EmployeesTable[[#This Row],[Succession Skills Readiness %]]&lt;0.6,"Not Ready",
     EmployeesTable[[#This Row],[Succession Skills Readiness %]]&lt;0.8,"Developing",
     TRUE,"Ready")</f>
        <v/>
      </c>
      <c r="Q153" s="4" t="e" cm="1" vm="1">
        <f t="array" ref="Q153">_xlfn.TEXTJOIN(", ",TRUE,
  _xlfn._xlws.FILTER(JobCodeSkills!$G:$G,
    (JobCodeSkills!$B:$B=EmployeesTable[[#This Row],[Job Code]])*
    (JobCodeSkills!$K:$K="Required")
  )
)</f>
        <v>#VALUE!</v>
      </c>
      <c r="R153" s="4"/>
      <c r="S153" s="4"/>
      <c r="T153" s="4"/>
      <c r="U153" s="4"/>
      <c r="V153" s="4" t="e" cm="1" vm="1">
        <f t="array" ref="V153">IF(EmployeesTable[[#This Row],[Additional Executive Role]]="","",
  _xlfn.TEXTJOIN(", ",TRUE,
    _xlfn._xlws.FILTER(ExecRoleSkills!$B:$B,
      ExecRoleSkills!$A:$A=EmployeesTable[[#This Row],[Additional Executive Role]]
    )
  )
)</f>
        <v>#VALUE!</v>
      </c>
    </row>
    <row r="154" spans="1:22" ht="30" x14ac:dyDescent="0.25">
      <c r="A154" s="19" t="s">
        <v>560</v>
      </c>
      <c r="B154" s="9">
        <v>10814</v>
      </c>
      <c r="C154" s="3" t="s">
        <v>127</v>
      </c>
      <c r="D154" s="9"/>
      <c r="E154" s="15">
        <v>44803</v>
      </c>
      <c r="F154" s="3" t="s">
        <v>561</v>
      </c>
      <c r="G154" s="3" t="s">
        <v>454</v>
      </c>
      <c r="H154" s="3" t="s">
        <v>12</v>
      </c>
      <c r="I154" s="9" t="s">
        <v>13</v>
      </c>
      <c r="J154" s="4"/>
      <c r="K154" s="4"/>
      <c r="L154" s="4"/>
      <c r="M154" s="4">
        <f>COUNTIFS(JobCodeSkills!$B:$B, EmployeesTable[[#This Row],[Succession Plan Job Code]],
          JobCodeSkills!$K:$K, "Required")</f>
        <v>0</v>
      </c>
      <c r="N154" s="4">
        <f>COUNTIFS(EmployeeSkills!$A:$A, EmployeesTable[[#This Row],[User Name]],
          EmployeeSkills!$B:$B, EmployeesTable[[#This Row],[Succession Plan Job Code]],
          EmployeeSkills!$D:$D, "Competent")</f>
        <v>0</v>
      </c>
      <c r="O154" s="4" t="str">
        <f>IF(EmployeesTable[[#This Row],[Succession Skills Ready – Required Total]]=0,"",
   EmployeesTable[[#This Row],[Succession Skills Ready – Required Met]]/EmployeesTable[[#This Row],[Succession Skills Ready – Required Total]])</f>
        <v/>
      </c>
      <c r="P154" s="4" t="str" cm="1">
        <f t="array" ref="P154">_xlfn.IFS(EmployeesTable[[#This Row],[Succession Skills Readiness %]]="","",
     EmployeesTable[[#This Row],[Succession Skills Readiness %]]&lt;0.6,"Not Ready",
     EmployeesTable[[#This Row],[Succession Skills Readiness %]]&lt;0.8,"Developing",
     TRUE,"Ready")</f>
        <v/>
      </c>
      <c r="Q154" s="4" t="e" cm="1" vm="1">
        <f t="array" ref="Q154">_xlfn.TEXTJOIN(", ",TRUE,
  _xlfn._xlws.FILTER(JobCodeSkills!$G:$G,
    (JobCodeSkills!$B:$B=EmployeesTable[[#This Row],[Job Code]])*
    (JobCodeSkills!$K:$K="Required")
  )
)</f>
        <v>#VALUE!</v>
      </c>
      <c r="R154" s="4"/>
      <c r="S154" s="4"/>
      <c r="T154" s="4"/>
      <c r="U154" s="4"/>
      <c r="V154" s="4" t="str" cm="1">
        <f t="array" ref="V154">IF(EmployeesTable[[#This Row],[Additional Executive Role]]="","",
  _xlfn.TEXTJOIN(", ",TRUE,
    _xlfn._xlws.FILTER(ExecRoleSkills!$B:$B,
      ExecRoleSkills!$A:$A=EmployeesTable[[#This Row],[Additional Executive Role]]
    )
  )
)</f>
        <v/>
      </c>
    </row>
    <row r="155" spans="1:22" ht="30" x14ac:dyDescent="0.25">
      <c r="A155" s="19" t="s">
        <v>562</v>
      </c>
      <c r="B155" s="9">
        <v>10601</v>
      </c>
      <c r="C155" s="3" t="s">
        <v>219</v>
      </c>
      <c r="D155" s="9"/>
      <c r="E155" s="15">
        <v>43551</v>
      </c>
      <c r="F155" s="3" t="s">
        <v>563</v>
      </c>
      <c r="G155" s="3" t="s">
        <v>454</v>
      </c>
      <c r="H155" s="3" t="s">
        <v>12</v>
      </c>
      <c r="I155" s="9" t="s">
        <v>13</v>
      </c>
      <c r="J155" s="4"/>
      <c r="K155" s="4"/>
      <c r="L155" s="4"/>
      <c r="M155" s="4">
        <f>COUNTIFS(JobCodeSkills!$B:$B, EmployeesTable[[#This Row],[Succession Plan Job Code]],
          JobCodeSkills!$K:$K, "Required")</f>
        <v>0</v>
      </c>
      <c r="N155" s="4">
        <f>COUNTIFS(EmployeeSkills!$A:$A, EmployeesTable[[#This Row],[User Name]],
          EmployeeSkills!$B:$B, EmployeesTable[[#This Row],[Succession Plan Job Code]],
          EmployeeSkills!$D:$D, "Competent")</f>
        <v>0</v>
      </c>
      <c r="O155" s="4" t="str">
        <f>IF(EmployeesTable[[#This Row],[Succession Skills Ready – Required Total]]=0,"",
   EmployeesTable[[#This Row],[Succession Skills Ready – Required Met]]/EmployeesTable[[#This Row],[Succession Skills Ready – Required Total]])</f>
        <v/>
      </c>
      <c r="P155" s="4" t="str" cm="1">
        <f t="array" ref="P155">_xlfn.IFS(EmployeesTable[[#This Row],[Succession Skills Readiness %]]="","",
     EmployeesTable[[#This Row],[Succession Skills Readiness %]]&lt;0.6,"Not Ready",
     EmployeesTable[[#This Row],[Succession Skills Readiness %]]&lt;0.8,"Developing",
     TRUE,"Ready")</f>
        <v/>
      </c>
      <c r="Q155" s="4" t="e" cm="1" vm="1">
        <f t="array" ref="Q155">_xlfn.TEXTJOIN(", ",TRUE,
  _xlfn._xlws.FILTER(JobCodeSkills!$G:$G,
    (JobCodeSkills!$B:$B=EmployeesTable[[#This Row],[Job Code]])*
    (JobCodeSkills!$K:$K="Required")
  )
)</f>
        <v>#VALUE!</v>
      </c>
      <c r="R155" s="4"/>
      <c r="S155" s="4"/>
      <c r="T155" s="4"/>
      <c r="U155" s="4"/>
      <c r="V155" s="4" t="str" cm="1">
        <f t="array" ref="V155">IF(EmployeesTable[[#This Row],[Additional Executive Role]]="","",
  _xlfn.TEXTJOIN(", ",TRUE,
    _xlfn._xlws.FILTER(ExecRoleSkills!$B:$B,
      ExecRoleSkills!$A:$A=EmployeesTable[[#This Row],[Additional Executive Role]]
    )
  )
)</f>
        <v/>
      </c>
    </row>
    <row r="156" spans="1:22" ht="30" x14ac:dyDescent="0.25">
      <c r="A156" s="19" t="s">
        <v>564</v>
      </c>
      <c r="B156" s="9">
        <v>10811</v>
      </c>
      <c r="C156" s="3" t="s">
        <v>161</v>
      </c>
      <c r="D156" s="9"/>
      <c r="E156" s="15">
        <v>45559</v>
      </c>
      <c r="F156" s="3" t="s">
        <v>565</v>
      </c>
      <c r="G156" s="3" t="s">
        <v>454</v>
      </c>
      <c r="H156" s="3" t="s">
        <v>12</v>
      </c>
      <c r="I156" s="9" t="s">
        <v>13</v>
      </c>
      <c r="J156" s="4"/>
      <c r="K156" s="4"/>
      <c r="L156" s="4"/>
      <c r="M156" s="4">
        <f>COUNTIFS(JobCodeSkills!$B:$B, EmployeesTable[[#This Row],[Succession Plan Job Code]],
          JobCodeSkills!$K:$K, "Required")</f>
        <v>0</v>
      </c>
      <c r="N156" s="4">
        <f>COUNTIFS(EmployeeSkills!$A:$A, EmployeesTable[[#This Row],[User Name]],
          EmployeeSkills!$B:$B, EmployeesTable[[#This Row],[Succession Plan Job Code]],
          EmployeeSkills!$D:$D, "Competent")</f>
        <v>0</v>
      </c>
      <c r="O156" s="4" t="str">
        <f>IF(EmployeesTable[[#This Row],[Succession Skills Ready – Required Total]]=0,"",
   EmployeesTable[[#This Row],[Succession Skills Ready – Required Met]]/EmployeesTable[[#This Row],[Succession Skills Ready – Required Total]])</f>
        <v/>
      </c>
      <c r="P156" s="4" t="str" cm="1">
        <f t="array" ref="P156">_xlfn.IFS(EmployeesTable[[#This Row],[Succession Skills Readiness %]]="","",
     EmployeesTable[[#This Row],[Succession Skills Readiness %]]&lt;0.6,"Not Ready",
     EmployeesTable[[#This Row],[Succession Skills Readiness %]]&lt;0.8,"Developing",
     TRUE,"Ready")</f>
        <v/>
      </c>
      <c r="Q156" s="4" t="e" cm="1" vm="1">
        <f t="array" ref="Q156">_xlfn.TEXTJOIN(", ",TRUE,
  _xlfn._xlws.FILTER(JobCodeSkills!$G:$G,
    (JobCodeSkills!$B:$B=EmployeesTable[[#This Row],[Job Code]])*
    (JobCodeSkills!$K:$K="Required")
  )
)</f>
        <v>#VALUE!</v>
      </c>
      <c r="R156" s="4"/>
      <c r="S156" s="4"/>
      <c r="T156" s="4"/>
      <c r="U156" s="4"/>
      <c r="V156" s="4" t="str" cm="1">
        <f t="array" ref="V156">IF(EmployeesTable[[#This Row],[Additional Executive Role]]="","",
  _xlfn.TEXTJOIN(", ",TRUE,
    _xlfn._xlws.FILTER(ExecRoleSkills!$B:$B,
      ExecRoleSkills!$A:$A=EmployeesTable[[#This Row],[Additional Executive Role]]
    )
  )
)</f>
        <v/>
      </c>
    </row>
    <row r="157" spans="1:22" ht="30" x14ac:dyDescent="0.25">
      <c r="A157" s="19" t="s">
        <v>566</v>
      </c>
      <c r="B157" s="9">
        <v>10601</v>
      </c>
      <c r="C157" s="3" t="s">
        <v>167</v>
      </c>
      <c r="D157" s="9"/>
      <c r="E157" s="15">
        <v>44847</v>
      </c>
      <c r="F157" s="3" t="s">
        <v>567</v>
      </c>
      <c r="G157" s="3" t="s">
        <v>454</v>
      </c>
      <c r="H157" s="3" t="s">
        <v>12</v>
      </c>
      <c r="I157" s="9" t="s">
        <v>13</v>
      </c>
      <c r="J157" s="4"/>
      <c r="K157" s="4"/>
      <c r="L157" s="4"/>
      <c r="M157" s="4">
        <f>COUNTIFS(JobCodeSkills!$B:$B, EmployeesTable[[#This Row],[Succession Plan Job Code]],
          JobCodeSkills!$K:$K, "Required")</f>
        <v>0</v>
      </c>
      <c r="N157" s="4">
        <f>COUNTIFS(EmployeeSkills!$A:$A, EmployeesTable[[#This Row],[User Name]],
          EmployeeSkills!$B:$B, EmployeesTable[[#This Row],[Succession Plan Job Code]],
          EmployeeSkills!$D:$D, "Competent")</f>
        <v>0</v>
      </c>
      <c r="O157" s="4" t="str">
        <f>IF(EmployeesTable[[#This Row],[Succession Skills Ready – Required Total]]=0,"",
   EmployeesTable[[#This Row],[Succession Skills Ready – Required Met]]/EmployeesTable[[#This Row],[Succession Skills Ready – Required Total]])</f>
        <v/>
      </c>
      <c r="P157" s="4" t="str" cm="1">
        <f t="array" ref="P157">_xlfn.IFS(EmployeesTable[[#This Row],[Succession Skills Readiness %]]="","",
     EmployeesTable[[#This Row],[Succession Skills Readiness %]]&lt;0.6,"Not Ready",
     EmployeesTable[[#This Row],[Succession Skills Readiness %]]&lt;0.8,"Developing",
     TRUE,"Ready")</f>
        <v/>
      </c>
      <c r="Q157" s="4" t="e" cm="1" vm="1">
        <f t="array" ref="Q157">_xlfn.TEXTJOIN(", ",TRUE,
  _xlfn._xlws.FILTER(JobCodeSkills!$G:$G,
    (JobCodeSkills!$B:$B=EmployeesTable[[#This Row],[Job Code]])*
    (JobCodeSkills!$K:$K="Required")
  )
)</f>
        <v>#VALUE!</v>
      </c>
      <c r="R157" s="4"/>
      <c r="S157" s="4"/>
      <c r="T157" s="4"/>
      <c r="U157" s="4"/>
      <c r="V157" s="4" t="str" cm="1">
        <f t="array" ref="V157">IF(EmployeesTable[[#This Row],[Additional Executive Role]]="","",
  _xlfn.TEXTJOIN(", ",TRUE,
    _xlfn._xlws.FILTER(ExecRoleSkills!$B:$B,
      ExecRoleSkills!$A:$A=EmployeesTable[[#This Row],[Additional Executive Role]]
    )
  )
)</f>
        <v/>
      </c>
    </row>
    <row r="158" spans="1:22" ht="30" x14ac:dyDescent="0.25">
      <c r="A158" s="19" t="s">
        <v>274</v>
      </c>
      <c r="B158" s="9">
        <v>10803</v>
      </c>
      <c r="C158" s="3" t="s">
        <v>141</v>
      </c>
      <c r="D158" s="9"/>
      <c r="E158" s="15">
        <v>45370</v>
      </c>
      <c r="F158" s="3" t="s">
        <v>275</v>
      </c>
      <c r="G158" s="3" t="s">
        <v>129</v>
      </c>
      <c r="H158" s="3" t="s">
        <v>12</v>
      </c>
      <c r="I158" s="10" t="s">
        <v>712</v>
      </c>
      <c r="J158" s="4"/>
      <c r="K158" s="4"/>
      <c r="L158" s="4"/>
      <c r="M158" s="4">
        <f>COUNTIFS(JobCodeSkills!$B:$B, EmployeesTable[[#This Row],[Succession Plan Job Code]],
          JobCodeSkills!$K:$K, "Required")</f>
        <v>0</v>
      </c>
      <c r="N158" s="4">
        <f>COUNTIFS(EmployeeSkills!$A:$A, EmployeesTable[[#This Row],[User Name]],
          EmployeeSkills!$B:$B, EmployeesTable[[#This Row],[Succession Plan Job Code]],
          EmployeeSkills!$D:$D, "Competent")</f>
        <v>0</v>
      </c>
      <c r="O158" s="4" t="str">
        <f>IF(EmployeesTable[[#This Row],[Succession Skills Ready – Required Total]]=0,"",
   EmployeesTable[[#This Row],[Succession Skills Ready – Required Met]]/EmployeesTable[[#This Row],[Succession Skills Ready – Required Total]])</f>
        <v/>
      </c>
      <c r="P158" s="4" t="str" cm="1">
        <f t="array" ref="P158">_xlfn.IFS(EmployeesTable[[#This Row],[Succession Skills Readiness %]]="","",
     EmployeesTable[[#This Row],[Succession Skills Readiness %]]&lt;0.6,"Not Ready",
     EmployeesTable[[#This Row],[Succession Skills Readiness %]]&lt;0.8,"Developing",
     TRUE,"Ready")</f>
        <v/>
      </c>
      <c r="Q158" s="4" t="e" cm="1" vm="1">
        <f t="array" ref="Q158">_xlfn.TEXTJOIN(", ",TRUE,
  _xlfn._xlws.FILTER(JobCodeSkills!$G:$G,
    (JobCodeSkills!$B:$B=EmployeesTable[[#This Row],[Job Code]])*
    (JobCodeSkills!$K:$K="Required")
  )
)</f>
        <v>#VALUE!</v>
      </c>
      <c r="R158" s="4"/>
      <c r="S158" s="4"/>
      <c r="T158" s="4"/>
      <c r="U158" s="4"/>
      <c r="V158" s="4" t="str" cm="1">
        <f t="array" ref="V158">IF(EmployeesTable[[#This Row],[Additional Executive Role]]="","",
  _xlfn.TEXTJOIN(", ",TRUE,
    _xlfn._xlws.FILTER(ExecRoleSkills!$B:$B,
      ExecRoleSkills!$A:$A=EmployeesTable[[#This Row],[Additional Executive Role]]
    )
  )
)</f>
        <v/>
      </c>
    </row>
    <row r="159" spans="1:22" ht="30" x14ac:dyDescent="0.25">
      <c r="A159" s="19" t="s">
        <v>568</v>
      </c>
      <c r="B159" s="9">
        <v>10601</v>
      </c>
      <c r="C159" s="3" t="s">
        <v>167</v>
      </c>
      <c r="D159" s="9"/>
      <c r="E159" s="15">
        <v>44922</v>
      </c>
      <c r="F159" s="3" t="s">
        <v>569</v>
      </c>
      <c r="G159" s="3" t="s">
        <v>454</v>
      </c>
      <c r="H159" s="3" t="s">
        <v>12</v>
      </c>
      <c r="I159" s="9" t="s">
        <v>13</v>
      </c>
      <c r="J159" s="4"/>
      <c r="K159" s="4"/>
      <c r="L159" s="4"/>
      <c r="M159" s="4">
        <f>COUNTIFS(JobCodeSkills!$B:$B, EmployeesTable[[#This Row],[Succession Plan Job Code]],
          JobCodeSkills!$K:$K, "Required")</f>
        <v>0</v>
      </c>
      <c r="N159" s="4">
        <f>COUNTIFS(EmployeeSkills!$A:$A, EmployeesTable[[#This Row],[User Name]],
          EmployeeSkills!$B:$B, EmployeesTable[[#This Row],[Succession Plan Job Code]],
          EmployeeSkills!$D:$D, "Competent")</f>
        <v>0</v>
      </c>
      <c r="O159" s="4" t="str">
        <f>IF(EmployeesTable[[#This Row],[Succession Skills Ready – Required Total]]=0,"",
   EmployeesTable[[#This Row],[Succession Skills Ready – Required Met]]/EmployeesTable[[#This Row],[Succession Skills Ready – Required Total]])</f>
        <v/>
      </c>
      <c r="P159" s="4" t="str" cm="1">
        <f t="array" ref="P159">_xlfn.IFS(EmployeesTable[[#This Row],[Succession Skills Readiness %]]="","",
     EmployeesTable[[#This Row],[Succession Skills Readiness %]]&lt;0.6,"Not Ready",
     EmployeesTable[[#This Row],[Succession Skills Readiness %]]&lt;0.8,"Developing",
     TRUE,"Ready")</f>
        <v/>
      </c>
      <c r="Q159" s="4" t="e" cm="1" vm="1">
        <f t="array" ref="Q159">_xlfn.TEXTJOIN(", ",TRUE,
  _xlfn._xlws.FILTER(JobCodeSkills!$G:$G,
    (JobCodeSkills!$B:$B=EmployeesTable[[#This Row],[Job Code]])*
    (JobCodeSkills!$K:$K="Required")
  )
)</f>
        <v>#VALUE!</v>
      </c>
      <c r="R159" s="4"/>
      <c r="S159" s="4"/>
      <c r="T159" s="4"/>
      <c r="U159" s="4"/>
      <c r="V159" s="4" t="str" cm="1">
        <f t="array" ref="V159">IF(EmployeesTable[[#This Row],[Additional Executive Role]]="","",
  _xlfn.TEXTJOIN(", ",TRUE,
    _xlfn._xlws.FILTER(ExecRoleSkills!$B:$B,
      ExecRoleSkills!$A:$A=EmployeesTable[[#This Row],[Additional Executive Role]]
    )
  )
)</f>
        <v/>
      </c>
    </row>
    <row r="160" spans="1:22" ht="30" x14ac:dyDescent="0.25">
      <c r="A160" s="19" t="s">
        <v>276</v>
      </c>
      <c r="B160" s="9">
        <v>10705</v>
      </c>
      <c r="C160" s="3" t="s">
        <v>136</v>
      </c>
      <c r="D160" s="9"/>
      <c r="E160" s="15">
        <v>45265</v>
      </c>
      <c r="F160" s="3" t="s">
        <v>277</v>
      </c>
      <c r="G160" s="3" t="s">
        <v>129</v>
      </c>
      <c r="H160" s="3" t="s">
        <v>12</v>
      </c>
      <c r="I160" s="10" t="s">
        <v>712</v>
      </c>
      <c r="J160" s="4"/>
      <c r="K160" s="4"/>
      <c r="L160" s="4"/>
      <c r="M160" s="4">
        <f>COUNTIFS(JobCodeSkills!$B:$B, EmployeesTable[[#This Row],[Succession Plan Job Code]],
          JobCodeSkills!$K:$K, "Required")</f>
        <v>0</v>
      </c>
      <c r="N160" s="4">
        <f>COUNTIFS(EmployeeSkills!$A:$A, EmployeesTable[[#This Row],[User Name]],
          EmployeeSkills!$B:$B, EmployeesTable[[#This Row],[Succession Plan Job Code]],
          EmployeeSkills!$D:$D, "Competent")</f>
        <v>0</v>
      </c>
      <c r="O160" s="4" t="str">
        <f>IF(EmployeesTable[[#This Row],[Succession Skills Ready – Required Total]]=0,"",
   EmployeesTable[[#This Row],[Succession Skills Ready – Required Met]]/EmployeesTable[[#This Row],[Succession Skills Ready – Required Total]])</f>
        <v/>
      </c>
      <c r="P160" s="4" t="str" cm="1">
        <f t="array" ref="P160">_xlfn.IFS(EmployeesTable[[#This Row],[Succession Skills Readiness %]]="","",
     EmployeesTable[[#This Row],[Succession Skills Readiness %]]&lt;0.6,"Not Ready",
     EmployeesTable[[#This Row],[Succession Skills Readiness %]]&lt;0.8,"Developing",
     TRUE,"Ready")</f>
        <v/>
      </c>
      <c r="Q160" s="4" t="e" cm="1" vm="1">
        <f t="array" ref="Q160">_xlfn.TEXTJOIN(", ",TRUE,
  _xlfn._xlws.FILTER(JobCodeSkills!$G:$G,
    (JobCodeSkills!$B:$B=EmployeesTable[[#This Row],[Job Code]])*
    (JobCodeSkills!$K:$K="Required")
  )
)</f>
        <v>#VALUE!</v>
      </c>
      <c r="R160" s="4"/>
      <c r="S160" s="4"/>
      <c r="T160" s="4"/>
      <c r="U160" s="4"/>
      <c r="V160" s="4" t="str" cm="1">
        <f t="array" ref="V160">IF(EmployeesTable[[#This Row],[Additional Executive Role]]="","",
  _xlfn.TEXTJOIN(", ",TRUE,
    _xlfn._xlws.FILTER(ExecRoleSkills!$B:$B,
      ExecRoleSkills!$A:$A=EmployeesTable[[#This Row],[Additional Executive Role]]
    )
  )
)</f>
        <v/>
      </c>
    </row>
    <row r="161" spans="1:22" ht="30" x14ac:dyDescent="0.25">
      <c r="A161" s="19" t="s">
        <v>570</v>
      </c>
      <c r="B161" s="9">
        <v>10803</v>
      </c>
      <c r="C161" s="3" t="s">
        <v>272</v>
      </c>
      <c r="D161" s="9"/>
      <c r="E161" s="15">
        <v>44355</v>
      </c>
      <c r="F161" s="3" t="s">
        <v>571</v>
      </c>
      <c r="G161" s="3" t="s">
        <v>454</v>
      </c>
      <c r="H161" s="3" t="s">
        <v>12</v>
      </c>
      <c r="I161" s="9" t="s">
        <v>13</v>
      </c>
      <c r="J161" s="4"/>
      <c r="K161" s="4"/>
      <c r="L161" s="4"/>
      <c r="M161" s="4">
        <f>COUNTIFS(JobCodeSkills!$B:$B, EmployeesTable[[#This Row],[Succession Plan Job Code]],
          JobCodeSkills!$K:$K, "Required")</f>
        <v>0</v>
      </c>
      <c r="N161" s="4">
        <f>COUNTIFS(EmployeeSkills!$A:$A, EmployeesTable[[#This Row],[User Name]],
          EmployeeSkills!$B:$B, EmployeesTable[[#This Row],[Succession Plan Job Code]],
          EmployeeSkills!$D:$D, "Competent")</f>
        <v>0</v>
      </c>
      <c r="O161" s="4" t="str">
        <f>IF(EmployeesTable[[#This Row],[Succession Skills Ready – Required Total]]=0,"",
   EmployeesTable[[#This Row],[Succession Skills Ready – Required Met]]/EmployeesTable[[#This Row],[Succession Skills Ready – Required Total]])</f>
        <v/>
      </c>
      <c r="P161" s="4" t="str" cm="1">
        <f t="array" ref="P161">_xlfn.IFS(EmployeesTable[[#This Row],[Succession Skills Readiness %]]="","",
     EmployeesTable[[#This Row],[Succession Skills Readiness %]]&lt;0.6,"Not Ready",
     EmployeesTable[[#This Row],[Succession Skills Readiness %]]&lt;0.8,"Developing",
     TRUE,"Ready")</f>
        <v/>
      </c>
      <c r="Q161" s="4" t="e" cm="1" vm="1">
        <f t="array" ref="Q161">_xlfn.TEXTJOIN(", ",TRUE,
  _xlfn._xlws.FILTER(JobCodeSkills!$G:$G,
    (JobCodeSkills!$B:$B=EmployeesTable[[#This Row],[Job Code]])*
    (JobCodeSkills!$K:$K="Required")
  )
)</f>
        <v>#VALUE!</v>
      </c>
      <c r="R161" s="4"/>
      <c r="S161" s="4"/>
      <c r="T161" s="4"/>
      <c r="U161" s="4"/>
      <c r="V161" s="4" t="str" cm="1">
        <f t="array" ref="V161">IF(EmployeesTable[[#This Row],[Additional Executive Role]]="","",
  _xlfn.TEXTJOIN(", ",TRUE,
    _xlfn._xlws.FILTER(ExecRoleSkills!$B:$B,
      ExecRoleSkills!$A:$A=EmployeesTable[[#This Row],[Additional Executive Role]]
    )
  )
)</f>
        <v/>
      </c>
    </row>
    <row r="162" spans="1:22" ht="30" x14ac:dyDescent="0.25">
      <c r="A162" s="19" t="s">
        <v>63</v>
      </c>
      <c r="B162" s="9">
        <v>10905</v>
      </c>
      <c r="C162" s="3" t="s">
        <v>60</v>
      </c>
      <c r="D162" s="9"/>
      <c r="E162" s="15">
        <v>38642</v>
      </c>
      <c r="F162" s="3" t="s">
        <v>64</v>
      </c>
      <c r="G162" s="3" t="s">
        <v>62</v>
      </c>
      <c r="H162" s="3" t="s">
        <v>12</v>
      </c>
      <c r="I162" s="10" t="s">
        <v>712</v>
      </c>
      <c r="J162" s="4"/>
      <c r="K162" s="4"/>
      <c r="L162" s="4"/>
      <c r="M162" s="4">
        <f>COUNTIFS(JobCodeSkills!$B:$B, EmployeesTable[[#This Row],[Succession Plan Job Code]],
          JobCodeSkills!$K:$K, "Required")</f>
        <v>0</v>
      </c>
      <c r="N162" s="4">
        <f>COUNTIFS(EmployeeSkills!$A:$A, EmployeesTable[[#This Row],[User Name]],
          EmployeeSkills!$B:$B, EmployeesTable[[#This Row],[Succession Plan Job Code]],
          EmployeeSkills!$D:$D, "Competent")</f>
        <v>0</v>
      </c>
      <c r="O162" s="4" t="str">
        <f>IF(EmployeesTable[[#This Row],[Succession Skills Ready – Required Total]]=0,"",
   EmployeesTable[[#This Row],[Succession Skills Ready – Required Met]]/EmployeesTable[[#This Row],[Succession Skills Ready – Required Total]])</f>
        <v/>
      </c>
      <c r="P162" s="4" t="str" cm="1">
        <f t="array" ref="P162">_xlfn.IFS(EmployeesTable[[#This Row],[Succession Skills Readiness %]]="","",
     EmployeesTable[[#This Row],[Succession Skills Readiness %]]&lt;0.6,"Not Ready",
     EmployeesTable[[#This Row],[Succession Skills Readiness %]]&lt;0.8,"Developing",
     TRUE,"Ready")</f>
        <v/>
      </c>
      <c r="Q162" s="4" t="e" cm="1" vm="1">
        <f t="array" ref="Q162">_xlfn.TEXTJOIN(", ",TRUE,
  _xlfn._xlws.FILTER(JobCodeSkills!$G:$G,
    (JobCodeSkills!$B:$B=EmployeesTable[[#This Row],[Job Code]])*
    (JobCodeSkills!$K:$K="Required")
  )
)</f>
        <v>#VALUE!</v>
      </c>
      <c r="R162" s="4"/>
      <c r="S162" s="4"/>
      <c r="T162" s="4"/>
      <c r="U162" s="4"/>
      <c r="V162" s="4" t="str" cm="1">
        <f t="array" ref="V162">IF(EmployeesTable[[#This Row],[Additional Executive Role]]="","",
  _xlfn.TEXTJOIN(", ",TRUE,
    _xlfn._xlws.FILTER(ExecRoleSkills!$B:$B,
      ExecRoleSkills!$A:$A=EmployeesTable[[#This Row],[Additional Executive Role]]
    )
  )
)</f>
        <v/>
      </c>
    </row>
    <row r="163" spans="1:22" ht="30" x14ac:dyDescent="0.25">
      <c r="A163" s="19" t="s">
        <v>572</v>
      </c>
      <c r="B163" s="9">
        <v>10815</v>
      </c>
      <c r="C163" s="3" t="s">
        <v>480</v>
      </c>
      <c r="D163" s="9"/>
      <c r="E163" s="15">
        <v>37607</v>
      </c>
      <c r="F163" s="3" t="s">
        <v>573</v>
      </c>
      <c r="G163" s="3" t="s">
        <v>454</v>
      </c>
      <c r="H163" s="3" t="s">
        <v>12</v>
      </c>
      <c r="I163" s="9" t="s">
        <v>13</v>
      </c>
      <c r="J163" s="4"/>
      <c r="K163" s="4"/>
      <c r="L163" s="4"/>
      <c r="M163" s="4">
        <f>COUNTIFS(JobCodeSkills!$B:$B, EmployeesTable[[#This Row],[Succession Plan Job Code]],
          JobCodeSkills!$K:$K, "Required")</f>
        <v>0</v>
      </c>
      <c r="N163" s="4">
        <f>COUNTIFS(EmployeeSkills!$A:$A, EmployeesTable[[#This Row],[User Name]],
          EmployeeSkills!$B:$B, EmployeesTable[[#This Row],[Succession Plan Job Code]],
          EmployeeSkills!$D:$D, "Competent")</f>
        <v>0</v>
      </c>
      <c r="O163" s="4" t="str">
        <f>IF(EmployeesTable[[#This Row],[Succession Skills Ready – Required Total]]=0,"",
   EmployeesTable[[#This Row],[Succession Skills Ready – Required Met]]/EmployeesTable[[#This Row],[Succession Skills Ready – Required Total]])</f>
        <v/>
      </c>
      <c r="P163" s="4" t="str" cm="1">
        <f t="array" ref="P163">_xlfn.IFS(EmployeesTable[[#This Row],[Succession Skills Readiness %]]="","",
     EmployeesTable[[#This Row],[Succession Skills Readiness %]]&lt;0.6,"Not Ready",
     EmployeesTable[[#This Row],[Succession Skills Readiness %]]&lt;0.8,"Developing",
     TRUE,"Ready")</f>
        <v/>
      </c>
      <c r="Q163" s="4" t="e" cm="1" vm="1">
        <f t="array" ref="Q163">_xlfn.TEXTJOIN(", ",TRUE,
  _xlfn._xlws.FILTER(JobCodeSkills!$G:$G,
    (JobCodeSkills!$B:$B=EmployeesTable[[#This Row],[Job Code]])*
    (JobCodeSkills!$K:$K="Required")
  )
)</f>
        <v>#VALUE!</v>
      </c>
      <c r="R163" s="4"/>
      <c r="S163" s="4"/>
      <c r="T163" s="4"/>
      <c r="U163" s="4"/>
      <c r="V163" s="4" t="str" cm="1">
        <f t="array" ref="V163">IF(EmployeesTable[[#This Row],[Additional Executive Role]]="","",
  _xlfn.TEXTJOIN(", ",TRUE,
    _xlfn._xlws.FILTER(ExecRoleSkills!$B:$B,
      ExecRoleSkills!$A:$A=EmployeesTable[[#This Row],[Additional Executive Role]]
    )
  )
)</f>
        <v/>
      </c>
    </row>
    <row r="164" spans="1:22" ht="30" x14ac:dyDescent="0.25">
      <c r="A164" s="19" t="s">
        <v>574</v>
      </c>
      <c r="B164" s="9">
        <v>10802</v>
      </c>
      <c r="C164" s="3" t="s">
        <v>141</v>
      </c>
      <c r="D164" s="9"/>
      <c r="E164" s="15">
        <v>45489</v>
      </c>
      <c r="F164" s="3" t="s">
        <v>575</v>
      </c>
      <c r="G164" s="3" t="s">
        <v>454</v>
      </c>
      <c r="H164" s="3" t="s">
        <v>12</v>
      </c>
      <c r="I164" s="9" t="s">
        <v>13</v>
      </c>
      <c r="J164" s="4"/>
      <c r="K164" s="4"/>
      <c r="L164" s="4"/>
      <c r="M164" s="4">
        <f>COUNTIFS(JobCodeSkills!$B:$B, EmployeesTable[[#This Row],[Succession Plan Job Code]],
          JobCodeSkills!$K:$K, "Required")</f>
        <v>0</v>
      </c>
      <c r="N164" s="4">
        <f>COUNTIFS(EmployeeSkills!$A:$A, EmployeesTable[[#This Row],[User Name]],
          EmployeeSkills!$B:$B, EmployeesTable[[#This Row],[Succession Plan Job Code]],
          EmployeeSkills!$D:$D, "Competent")</f>
        <v>0</v>
      </c>
      <c r="O164" s="4" t="str">
        <f>IF(EmployeesTable[[#This Row],[Succession Skills Ready – Required Total]]=0,"",
   EmployeesTable[[#This Row],[Succession Skills Ready – Required Met]]/EmployeesTable[[#This Row],[Succession Skills Ready – Required Total]])</f>
        <v/>
      </c>
      <c r="P164" s="4" t="str" cm="1">
        <f t="array" ref="P164">_xlfn.IFS(EmployeesTable[[#This Row],[Succession Skills Readiness %]]="","",
     EmployeesTable[[#This Row],[Succession Skills Readiness %]]&lt;0.6,"Not Ready",
     EmployeesTable[[#This Row],[Succession Skills Readiness %]]&lt;0.8,"Developing",
     TRUE,"Ready")</f>
        <v/>
      </c>
      <c r="Q164" s="4" t="e" cm="1" vm="1">
        <f t="array" ref="Q164">_xlfn.TEXTJOIN(", ",TRUE,
  _xlfn._xlws.FILTER(JobCodeSkills!$G:$G,
    (JobCodeSkills!$B:$B=EmployeesTable[[#This Row],[Job Code]])*
    (JobCodeSkills!$K:$K="Required")
  )
)</f>
        <v>#VALUE!</v>
      </c>
      <c r="R164" s="4"/>
      <c r="S164" s="4"/>
      <c r="T164" s="4"/>
      <c r="U164" s="4"/>
      <c r="V164" s="4" t="str" cm="1">
        <f t="array" ref="V164">IF(EmployeesTable[[#This Row],[Additional Executive Role]]="","",
  _xlfn.TEXTJOIN(", ",TRUE,
    _xlfn._xlws.FILTER(ExecRoleSkills!$B:$B,
      ExecRoleSkills!$A:$A=EmployeesTable[[#This Row],[Additional Executive Role]]
    )
  )
)</f>
        <v/>
      </c>
    </row>
    <row r="165" spans="1:22" ht="30" x14ac:dyDescent="0.25">
      <c r="A165" s="19" t="s">
        <v>278</v>
      </c>
      <c r="B165" s="9">
        <v>10705</v>
      </c>
      <c r="C165" s="3" t="s">
        <v>136</v>
      </c>
      <c r="D165" s="9"/>
      <c r="E165" s="15">
        <v>45370</v>
      </c>
      <c r="F165" s="3" t="s">
        <v>279</v>
      </c>
      <c r="G165" s="3" t="s">
        <v>129</v>
      </c>
      <c r="H165" s="3" t="s">
        <v>12</v>
      </c>
      <c r="I165" s="10" t="s">
        <v>712</v>
      </c>
      <c r="J165" s="4"/>
      <c r="K165" s="4"/>
      <c r="L165" s="4"/>
      <c r="M165" s="4">
        <f>COUNTIFS(JobCodeSkills!$B:$B, EmployeesTable[[#This Row],[Succession Plan Job Code]],
          JobCodeSkills!$K:$K, "Required")</f>
        <v>0</v>
      </c>
      <c r="N165" s="4">
        <f>COUNTIFS(EmployeeSkills!$A:$A, EmployeesTable[[#This Row],[User Name]],
          EmployeeSkills!$B:$B, EmployeesTable[[#This Row],[Succession Plan Job Code]],
          EmployeeSkills!$D:$D, "Competent")</f>
        <v>0</v>
      </c>
      <c r="O165" s="4" t="str">
        <f>IF(EmployeesTable[[#This Row],[Succession Skills Ready – Required Total]]=0,"",
   EmployeesTable[[#This Row],[Succession Skills Ready – Required Met]]/EmployeesTable[[#This Row],[Succession Skills Ready – Required Total]])</f>
        <v/>
      </c>
      <c r="P165" s="4" t="str" cm="1">
        <f t="array" ref="P165">_xlfn.IFS(EmployeesTable[[#This Row],[Succession Skills Readiness %]]="","",
     EmployeesTable[[#This Row],[Succession Skills Readiness %]]&lt;0.6,"Not Ready",
     EmployeesTable[[#This Row],[Succession Skills Readiness %]]&lt;0.8,"Developing",
     TRUE,"Ready")</f>
        <v/>
      </c>
      <c r="Q165" s="4" t="e" cm="1" vm="1">
        <f t="array" ref="Q165">_xlfn.TEXTJOIN(", ",TRUE,
  _xlfn._xlws.FILTER(JobCodeSkills!$G:$G,
    (JobCodeSkills!$B:$B=EmployeesTable[[#This Row],[Job Code]])*
    (JobCodeSkills!$K:$K="Required")
  )
)</f>
        <v>#VALUE!</v>
      </c>
      <c r="R165" s="4"/>
      <c r="S165" s="4"/>
      <c r="T165" s="4"/>
      <c r="U165" s="4"/>
      <c r="V165" s="4" t="str" cm="1">
        <f t="array" ref="V165">IF(EmployeesTable[[#This Row],[Additional Executive Role]]="","",
  _xlfn.TEXTJOIN(", ",TRUE,
    _xlfn._xlws.FILTER(ExecRoleSkills!$B:$B,
      ExecRoleSkills!$A:$A=EmployeesTable[[#This Row],[Additional Executive Role]]
    )
  )
)</f>
        <v/>
      </c>
    </row>
    <row r="166" spans="1:22" ht="30" x14ac:dyDescent="0.25">
      <c r="A166" s="19" t="s">
        <v>80</v>
      </c>
      <c r="B166" s="9">
        <v>5110</v>
      </c>
      <c r="C166" s="3" t="s">
        <v>81</v>
      </c>
      <c r="D166" s="9"/>
      <c r="E166" s="15">
        <v>44543</v>
      </c>
      <c r="F166" s="3" t="s">
        <v>82</v>
      </c>
      <c r="G166" s="3" t="s">
        <v>83</v>
      </c>
      <c r="H166" s="3" t="s">
        <v>12</v>
      </c>
      <c r="I166" s="10" t="s">
        <v>712</v>
      </c>
      <c r="J166" s="4"/>
      <c r="K166" s="4"/>
      <c r="L166" s="4"/>
      <c r="M166" s="4">
        <f>COUNTIFS(JobCodeSkills!$B:$B, EmployeesTable[[#This Row],[Succession Plan Job Code]],
          JobCodeSkills!$K:$K, "Required")</f>
        <v>0</v>
      </c>
      <c r="N166" s="4">
        <f>COUNTIFS(EmployeeSkills!$A:$A, EmployeesTable[[#This Row],[User Name]],
          EmployeeSkills!$B:$B, EmployeesTable[[#This Row],[Succession Plan Job Code]],
          EmployeeSkills!$D:$D, "Competent")</f>
        <v>0</v>
      </c>
      <c r="O166" s="4" t="str">
        <f>IF(EmployeesTable[[#This Row],[Succession Skills Ready – Required Total]]=0,"",
   EmployeesTable[[#This Row],[Succession Skills Ready – Required Met]]/EmployeesTable[[#This Row],[Succession Skills Ready – Required Total]])</f>
        <v/>
      </c>
      <c r="P166" s="4" t="str" cm="1">
        <f t="array" ref="P166">_xlfn.IFS(EmployeesTable[[#This Row],[Succession Skills Readiness %]]="","",
     EmployeesTable[[#This Row],[Succession Skills Readiness %]]&lt;0.6,"Not Ready",
     EmployeesTable[[#This Row],[Succession Skills Readiness %]]&lt;0.8,"Developing",
     TRUE,"Ready")</f>
        <v/>
      </c>
      <c r="Q166" s="4" t="e" cm="1" vm="1">
        <f t="array" ref="Q166">_xlfn.TEXTJOIN(", ",TRUE,
  _xlfn._xlws.FILTER(JobCodeSkills!$G:$G,
    (JobCodeSkills!$B:$B=EmployeesTable[[#This Row],[Job Code]])*
    (JobCodeSkills!$K:$K="Required")
  )
)</f>
        <v>#VALUE!</v>
      </c>
      <c r="R166" s="4"/>
      <c r="S166" s="4"/>
      <c r="T166" s="4"/>
      <c r="U166" s="4"/>
      <c r="V166" s="4" t="str" cm="1">
        <f t="array" ref="V166">IF(EmployeesTable[[#This Row],[Additional Executive Role]]="","",
  _xlfn.TEXTJOIN(", ",TRUE,
    _xlfn._xlws.FILTER(ExecRoleSkills!$B:$B,
      ExecRoleSkills!$A:$A=EmployeesTable[[#This Row],[Additional Executive Role]]
    )
  )
)</f>
        <v/>
      </c>
    </row>
    <row r="167" spans="1:22" ht="30" x14ac:dyDescent="0.25">
      <c r="A167" s="19" t="s">
        <v>416</v>
      </c>
      <c r="B167" s="9">
        <v>1105</v>
      </c>
      <c r="C167" s="3" t="s">
        <v>417</v>
      </c>
      <c r="D167" s="9"/>
      <c r="E167" s="15">
        <v>34498</v>
      </c>
      <c r="F167" s="3" t="s">
        <v>418</v>
      </c>
      <c r="G167" s="3" t="s">
        <v>405</v>
      </c>
      <c r="H167" s="3" t="s">
        <v>12</v>
      </c>
      <c r="I167" s="9" t="s">
        <v>711</v>
      </c>
      <c r="J167" s="4"/>
      <c r="K167" s="4"/>
      <c r="L167" s="4"/>
      <c r="M167" s="4">
        <f>COUNTIFS(JobCodeSkills!$B:$B, EmployeesTable[[#This Row],[Succession Plan Job Code]],
          JobCodeSkills!$K:$K, "Required")</f>
        <v>0</v>
      </c>
      <c r="N167" s="4">
        <f>COUNTIFS(EmployeeSkills!$A:$A, EmployeesTable[[#This Row],[User Name]],
          EmployeeSkills!$B:$B, EmployeesTable[[#This Row],[Succession Plan Job Code]],
          EmployeeSkills!$D:$D, "Competent")</f>
        <v>0</v>
      </c>
      <c r="O167" s="4" t="str">
        <f>IF(EmployeesTable[[#This Row],[Succession Skills Ready – Required Total]]=0,"",
   EmployeesTable[[#This Row],[Succession Skills Ready – Required Met]]/EmployeesTable[[#This Row],[Succession Skills Ready – Required Total]])</f>
        <v/>
      </c>
      <c r="P167" s="4" t="str" cm="1">
        <f t="array" ref="P167">_xlfn.IFS(EmployeesTable[[#This Row],[Succession Skills Readiness %]]="","",
     EmployeesTable[[#This Row],[Succession Skills Readiness %]]&lt;0.6,"Not Ready",
     EmployeesTable[[#This Row],[Succession Skills Readiness %]]&lt;0.8,"Developing",
     TRUE,"Ready")</f>
        <v/>
      </c>
      <c r="Q167" s="4" t="e" cm="1" vm="1">
        <f t="array" ref="Q167">_xlfn.TEXTJOIN(", ",TRUE,
  _xlfn._xlws.FILTER(JobCodeSkills!$G:$G,
    (JobCodeSkills!$B:$B=EmployeesTable[[#This Row],[Job Code]])*
    (JobCodeSkills!$K:$K="Required")
  )
)</f>
        <v>#VALUE!</v>
      </c>
      <c r="R167" s="4"/>
      <c r="S167" s="4"/>
      <c r="T167" s="4"/>
      <c r="U167" s="4"/>
      <c r="V167" s="4" t="str" cm="1">
        <f t="array" ref="V167">IF(EmployeesTable[[#This Row],[Additional Executive Role]]="","",
  _xlfn.TEXTJOIN(", ",TRUE,
    _xlfn._xlws.FILTER(ExecRoleSkills!$B:$B,
      ExecRoleSkills!$A:$A=EmployeesTable[[#This Row],[Additional Executive Role]]
    )
  )
)</f>
        <v/>
      </c>
    </row>
    <row r="168" spans="1:22" ht="30" x14ac:dyDescent="0.25">
      <c r="A168" s="19" t="s">
        <v>576</v>
      </c>
      <c r="B168" s="9">
        <v>10815</v>
      </c>
      <c r="C168" s="3" t="s">
        <v>480</v>
      </c>
      <c r="D168" s="9"/>
      <c r="E168" s="15">
        <v>44434</v>
      </c>
      <c r="F168" s="3" t="s">
        <v>577</v>
      </c>
      <c r="G168" s="3" t="s">
        <v>454</v>
      </c>
      <c r="H168" s="3" t="s">
        <v>12</v>
      </c>
      <c r="I168" s="9" t="s">
        <v>13</v>
      </c>
      <c r="J168" s="4"/>
      <c r="K168" s="4"/>
      <c r="L168" s="4"/>
      <c r="M168" s="4">
        <f>COUNTIFS(JobCodeSkills!$B:$B, EmployeesTable[[#This Row],[Succession Plan Job Code]],
          JobCodeSkills!$K:$K, "Required")</f>
        <v>0</v>
      </c>
      <c r="N168" s="4">
        <f>COUNTIFS(EmployeeSkills!$A:$A, EmployeesTable[[#This Row],[User Name]],
          EmployeeSkills!$B:$B, EmployeesTable[[#This Row],[Succession Plan Job Code]],
          EmployeeSkills!$D:$D, "Competent")</f>
        <v>0</v>
      </c>
      <c r="O168" s="4" t="str">
        <f>IF(EmployeesTable[[#This Row],[Succession Skills Ready – Required Total]]=0,"",
   EmployeesTable[[#This Row],[Succession Skills Ready – Required Met]]/EmployeesTable[[#This Row],[Succession Skills Ready – Required Total]])</f>
        <v/>
      </c>
      <c r="P168" s="4" t="str" cm="1">
        <f t="array" ref="P168">_xlfn.IFS(EmployeesTable[[#This Row],[Succession Skills Readiness %]]="","",
     EmployeesTable[[#This Row],[Succession Skills Readiness %]]&lt;0.6,"Not Ready",
     EmployeesTable[[#This Row],[Succession Skills Readiness %]]&lt;0.8,"Developing",
     TRUE,"Ready")</f>
        <v/>
      </c>
      <c r="Q168" s="4" t="e" cm="1" vm="1">
        <f t="array" ref="Q168">_xlfn.TEXTJOIN(", ",TRUE,
  _xlfn._xlws.FILTER(JobCodeSkills!$G:$G,
    (JobCodeSkills!$B:$B=EmployeesTable[[#This Row],[Job Code]])*
    (JobCodeSkills!$K:$K="Required")
  )
)</f>
        <v>#VALUE!</v>
      </c>
      <c r="R168" s="4"/>
      <c r="S168" s="4"/>
      <c r="T168" s="4"/>
      <c r="U168" s="4"/>
      <c r="V168" s="4" t="str" cm="1">
        <f t="array" ref="V168">IF(EmployeesTable[[#This Row],[Additional Executive Role]]="","",
  _xlfn.TEXTJOIN(", ",TRUE,
    _xlfn._xlws.FILTER(ExecRoleSkills!$B:$B,
      ExecRoleSkills!$A:$A=EmployeesTable[[#This Row],[Additional Executive Role]]
    )
  )
)</f>
        <v/>
      </c>
    </row>
    <row r="169" spans="1:22" ht="30" x14ac:dyDescent="0.25">
      <c r="A169" s="19" t="s">
        <v>280</v>
      </c>
      <c r="B169" s="9">
        <v>10701</v>
      </c>
      <c r="C169" s="3" t="s">
        <v>153</v>
      </c>
      <c r="D169" s="9"/>
      <c r="E169" s="15">
        <v>45398</v>
      </c>
      <c r="F169" s="3" t="s">
        <v>281</v>
      </c>
      <c r="G169" s="3" t="s">
        <v>129</v>
      </c>
      <c r="H169" s="3" t="s">
        <v>12</v>
      </c>
      <c r="I169" s="10" t="s">
        <v>712</v>
      </c>
      <c r="J169" s="4"/>
      <c r="K169" s="4"/>
      <c r="L169" s="4"/>
      <c r="M169" s="4">
        <f>COUNTIFS(JobCodeSkills!$B:$B, EmployeesTable[[#This Row],[Succession Plan Job Code]],
          JobCodeSkills!$K:$K, "Required")</f>
        <v>0</v>
      </c>
      <c r="N169" s="4">
        <f>COUNTIFS(EmployeeSkills!$A:$A, EmployeesTable[[#This Row],[User Name]],
          EmployeeSkills!$B:$B, EmployeesTable[[#This Row],[Succession Plan Job Code]],
          EmployeeSkills!$D:$D, "Competent")</f>
        <v>0</v>
      </c>
      <c r="O169" s="4" t="str">
        <f>IF(EmployeesTable[[#This Row],[Succession Skills Ready – Required Total]]=0,"",
   EmployeesTable[[#This Row],[Succession Skills Ready – Required Met]]/EmployeesTable[[#This Row],[Succession Skills Ready – Required Total]])</f>
        <v/>
      </c>
      <c r="P169" s="4" t="str" cm="1">
        <f t="array" ref="P169">_xlfn.IFS(EmployeesTable[[#This Row],[Succession Skills Readiness %]]="","",
     EmployeesTable[[#This Row],[Succession Skills Readiness %]]&lt;0.6,"Not Ready",
     EmployeesTable[[#This Row],[Succession Skills Readiness %]]&lt;0.8,"Developing",
     TRUE,"Ready")</f>
        <v/>
      </c>
      <c r="Q169" s="4" t="e" cm="1" vm="1">
        <f t="array" ref="Q169">_xlfn.TEXTJOIN(", ",TRUE,
  _xlfn._xlws.FILTER(JobCodeSkills!$G:$G,
    (JobCodeSkills!$B:$B=EmployeesTable[[#This Row],[Job Code]])*
    (JobCodeSkills!$K:$K="Required")
  )
)</f>
        <v>#VALUE!</v>
      </c>
      <c r="R169" s="4"/>
      <c r="S169" s="4"/>
      <c r="T169" s="4"/>
      <c r="U169" s="4"/>
      <c r="V169" s="4" t="str" cm="1">
        <f t="array" ref="V169">IF(EmployeesTable[[#This Row],[Additional Executive Role]]="","",
  _xlfn.TEXTJOIN(", ",TRUE,
    _xlfn._xlws.FILTER(ExecRoleSkills!$B:$B,
      ExecRoleSkills!$A:$A=EmployeesTable[[#This Row],[Additional Executive Role]]
    )
  )
)</f>
        <v/>
      </c>
    </row>
    <row r="170" spans="1:22" ht="30" x14ac:dyDescent="0.25">
      <c r="A170" s="19" t="s">
        <v>65</v>
      </c>
      <c r="B170" s="9">
        <v>5115</v>
      </c>
      <c r="C170" s="3" t="s">
        <v>66</v>
      </c>
      <c r="D170" s="9"/>
      <c r="E170" s="15">
        <v>45321</v>
      </c>
      <c r="F170" s="3" t="s">
        <v>67</v>
      </c>
      <c r="G170" s="3" t="s">
        <v>62</v>
      </c>
      <c r="H170" s="3" t="s">
        <v>12</v>
      </c>
      <c r="I170" s="10" t="s">
        <v>712</v>
      </c>
      <c r="J170" s="4"/>
      <c r="K170" s="4"/>
      <c r="L170" s="4"/>
      <c r="M170" s="4">
        <f>COUNTIFS(JobCodeSkills!$B:$B, EmployeesTable[[#This Row],[Succession Plan Job Code]],
          JobCodeSkills!$K:$K, "Required")</f>
        <v>0</v>
      </c>
      <c r="N170" s="4">
        <f>COUNTIFS(EmployeeSkills!$A:$A, EmployeesTable[[#This Row],[User Name]],
          EmployeeSkills!$B:$B, EmployeesTable[[#This Row],[Succession Plan Job Code]],
          EmployeeSkills!$D:$D, "Competent")</f>
        <v>0</v>
      </c>
      <c r="O170" s="4" t="str">
        <f>IF(EmployeesTable[[#This Row],[Succession Skills Ready – Required Total]]=0,"",
   EmployeesTable[[#This Row],[Succession Skills Ready – Required Met]]/EmployeesTable[[#This Row],[Succession Skills Ready – Required Total]])</f>
        <v/>
      </c>
      <c r="P170" s="4" t="str" cm="1">
        <f t="array" ref="P170">_xlfn.IFS(EmployeesTable[[#This Row],[Succession Skills Readiness %]]="","",
     EmployeesTable[[#This Row],[Succession Skills Readiness %]]&lt;0.6,"Not Ready",
     EmployeesTable[[#This Row],[Succession Skills Readiness %]]&lt;0.8,"Developing",
     TRUE,"Ready")</f>
        <v/>
      </c>
      <c r="Q170" s="4" t="e" cm="1" vm="1">
        <f t="array" ref="Q170">_xlfn.TEXTJOIN(", ",TRUE,
  _xlfn._xlws.FILTER(JobCodeSkills!$G:$G,
    (JobCodeSkills!$B:$B=EmployeesTable[[#This Row],[Job Code]])*
    (JobCodeSkills!$K:$K="Required")
  )
)</f>
        <v>#VALUE!</v>
      </c>
      <c r="R170" s="4"/>
      <c r="S170" s="4"/>
      <c r="T170" s="4"/>
      <c r="U170" s="4"/>
      <c r="V170" s="4" t="str" cm="1">
        <f t="array" ref="V170">IF(EmployeesTable[[#This Row],[Additional Executive Role]]="","",
  _xlfn.TEXTJOIN(", ",TRUE,
    _xlfn._xlws.FILTER(ExecRoleSkills!$B:$B,
      ExecRoleSkills!$A:$A=EmployeesTable[[#This Row],[Additional Executive Role]]
    )
  )
)</f>
        <v/>
      </c>
    </row>
    <row r="171" spans="1:22" ht="30" x14ac:dyDescent="0.25">
      <c r="A171" s="19" t="s">
        <v>282</v>
      </c>
      <c r="B171" s="9">
        <v>10814</v>
      </c>
      <c r="C171" s="3" t="s">
        <v>167</v>
      </c>
      <c r="D171" s="9"/>
      <c r="E171" s="15">
        <v>44348</v>
      </c>
      <c r="F171" s="3" t="s">
        <v>283</v>
      </c>
      <c r="G171" s="3" t="s">
        <v>129</v>
      </c>
      <c r="H171" s="3" t="s">
        <v>12</v>
      </c>
      <c r="I171" s="10" t="s">
        <v>712</v>
      </c>
      <c r="J171" s="4"/>
      <c r="K171" s="4"/>
      <c r="L171" s="4"/>
      <c r="M171" s="4">
        <f>COUNTIFS(JobCodeSkills!$B:$B, EmployeesTable[[#This Row],[Succession Plan Job Code]],
          JobCodeSkills!$K:$K, "Required")</f>
        <v>0</v>
      </c>
      <c r="N171" s="4">
        <f>COUNTIFS(EmployeeSkills!$A:$A, EmployeesTable[[#This Row],[User Name]],
          EmployeeSkills!$B:$B, EmployeesTable[[#This Row],[Succession Plan Job Code]],
          EmployeeSkills!$D:$D, "Competent")</f>
        <v>0</v>
      </c>
      <c r="O171" s="4" t="str">
        <f>IF(EmployeesTable[[#This Row],[Succession Skills Ready – Required Total]]=0,"",
   EmployeesTable[[#This Row],[Succession Skills Ready – Required Met]]/EmployeesTable[[#This Row],[Succession Skills Ready – Required Total]])</f>
        <v/>
      </c>
      <c r="P171" s="4" t="str" cm="1">
        <f t="array" ref="P171">_xlfn.IFS(EmployeesTable[[#This Row],[Succession Skills Readiness %]]="","",
     EmployeesTable[[#This Row],[Succession Skills Readiness %]]&lt;0.6,"Not Ready",
     EmployeesTable[[#This Row],[Succession Skills Readiness %]]&lt;0.8,"Developing",
     TRUE,"Ready")</f>
        <v/>
      </c>
      <c r="Q171" s="4" t="e" cm="1" vm="1">
        <f t="array" ref="Q171">_xlfn.TEXTJOIN(", ",TRUE,
  _xlfn._xlws.FILTER(JobCodeSkills!$G:$G,
    (JobCodeSkills!$B:$B=EmployeesTable[[#This Row],[Job Code]])*
    (JobCodeSkills!$K:$K="Required")
  )
)</f>
        <v>#VALUE!</v>
      </c>
      <c r="R171" s="4"/>
      <c r="S171" s="4"/>
      <c r="T171" s="4"/>
      <c r="U171" s="4"/>
      <c r="V171" s="4" t="str" cm="1">
        <f t="array" ref="V171">IF(EmployeesTable[[#This Row],[Additional Executive Role]]="","",
  _xlfn.TEXTJOIN(", ",TRUE,
    _xlfn._xlws.FILTER(ExecRoleSkills!$B:$B,
      ExecRoleSkills!$A:$A=EmployeesTable[[#This Row],[Additional Executive Role]]
    )
  )
)</f>
        <v/>
      </c>
    </row>
    <row r="172" spans="1:22" ht="30" x14ac:dyDescent="0.25">
      <c r="A172" s="19" t="s">
        <v>284</v>
      </c>
      <c r="B172" s="9">
        <v>10601</v>
      </c>
      <c r="C172" s="3" t="s">
        <v>219</v>
      </c>
      <c r="D172" s="9"/>
      <c r="E172" s="15">
        <v>45328</v>
      </c>
      <c r="F172" s="3" t="s">
        <v>285</v>
      </c>
      <c r="G172" s="3" t="s">
        <v>129</v>
      </c>
      <c r="H172" s="3" t="s">
        <v>12</v>
      </c>
      <c r="I172" s="10" t="s">
        <v>712</v>
      </c>
      <c r="J172" s="4"/>
      <c r="K172" s="4"/>
      <c r="L172" s="4"/>
      <c r="M172" s="4">
        <f>COUNTIFS(JobCodeSkills!$B:$B, EmployeesTable[[#This Row],[Succession Plan Job Code]],
          JobCodeSkills!$K:$K, "Required")</f>
        <v>0</v>
      </c>
      <c r="N172" s="4">
        <f>COUNTIFS(EmployeeSkills!$A:$A, EmployeesTable[[#This Row],[User Name]],
          EmployeeSkills!$B:$B, EmployeesTable[[#This Row],[Succession Plan Job Code]],
          EmployeeSkills!$D:$D, "Competent")</f>
        <v>0</v>
      </c>
      <c r="O172" s="4" t="str">
        <f>IF(EmployeesTable[[#This Row],[Succession Skills Ready – Required Total]]=0,"",
   EmployeesTable[[#This Row],[Succession Skills Ready – Required Met]]/EmployeesTable[[#This Row],[Succession Skills Ready – Required Total]])</f>
        <v/>
      </c>
      <c r="P172" s="4" t="str" cm="1">
        <f t="array" ref="P172">_xlfn.IFS(EmployeesTable[[#This Row],[Succession Skills Readiness %]]="","",
     EmployeesTable[[#This Row],[Succession Skills Readiness %]]&lt;0.6,"Not Ready",
     EmployeesTable[[#This Row],[Succession Skills Readiness %]]&lt;0.8,"Developing",
     TRUE,"Ready")</f>
        <v/>
      </c>
      <c r="Q172" s="4" t="e" cm="1" vm="1">
        <f t="array" ref="Q172">_xlfn.TEXTJOIN(", ",TRUE,
  _xlfn._xlws.FILTER(JobCodeSkills!$G:$G,
    (JobCodeSkills!$B:$B=EmployeesTable[[#This Row],[Job Code]])*
    (JobCodeSkills!$K:$K="Required")
  )
)</f>
        <v>#VALUE!</v>
      </c>
      <c r="R172" s="4"/>
      <c r="S172" s="4"/>
      <c r="T172" s="4"/>
      <c r="U172" s="4"/>
      <c r="V172" s="4" t="str" cm="1">
        <f t="array" ref="V172">IF(EmployeesTable[[#This Row],[Additional Executive Role]]="","",
  _xlfn.TEXTJOIN(", ",TRUE,
    _xlfn._xlws.FILTER(ExecRoleSkills!$B:$B,
      ExecRoleSkills!$A:$A=EmployeesTable[[#This Row],[Additional Executive Role]]
    )
  )
)</f>
        <v/>
      </c>
    </row>
    <row r="173" spans="1:22" ht="30" x14ac:dyDescent="0.25">
      <c r="A173" s="19" t="s">
        <v>578</v>
      </c>
      <c r="B173" s="9">
        <v>10301</v>
      </c>
      <c r="C173" s="3" t="s">
        <v>222</v>
      </c>
      <c r="D173" s="9"/>
      <c r="E173" s="15">
        <v>37410</v>
      </c>
      <c r="F173" s="3" t="s">
        <v>579</v>
      </c>
      <c r="G173" s="3" t="s">
        <v>454</v>
      </c>
      <c r="H173" s="3" t="s">
        <v>12</v>
      </c>
      <c r="I173" s="9" t="s">
        <v>13</v>
      </c>
      <c r="J173" s="4"/>
      <c r="K173" s="4"/>
      <c r="L173" s="4"/>
      <c r="M173" s="4">
        <f>COUNTIFS(JobCodeSkills!$B:$B, EmployeesTable[[#This Row],[Succession Plan Job Code]],
          JobCodeSkills!$K:$K, "Required")</f>
        <v>0</v>
      </c>
      <c r="N173" s="4">
        <f>COUNTIFS(EmployeeSkills!$A:$A, EmployeesTable[[#This Row],[User Name]],
          EmployeeSkills!$B:$B, EmployeesTable[[#This Row],[Succession Plan Job Code]],
          EmployeeSkills!$D:$D, "Competent")</f>
        <v>0</v>
      </c>
      <c r="O173" s="4" t="str">
        <f>IF(EmployeesTable[[#This Row],[Succession Skills Ready – Required Total]]=0,"",
   EmployeesTable[[#This Row],[Succession Skills Ready – Required Met]]/EmployeesTable[[#This Row],[Succession Skills Ready – Required Total]])</f>
        <v/>
      </c>
      <c r="P173" s="4" t="str" cm="1">
        <f t="array" ref="P173">_xlfn.IFS(EmployeesTable[[#This Row],[Succession Skills Readiness %]]="","",
     EmployeesTable[[#This Row],[Succession Skills Readiness %]]&lt;0.6,"Not Ready",
     EmployeesTable[[#This Row],[Succession Skills Readiness %]]&lt;0.8,"Developing",
     TRUE,"Ready")</f>
        <v/>
      </c>
      <c r="Q173" s="4" t="e" cm="1" vm="1">
        <f t="array" ref="Q173">_xlfn.TEXTJOIN(", ",TRUE,
  _xlfn._xlws.FILTER(JobCodeSkills!$G:$G,
    (JobCodeSkills!$B:$B=EmployeesTable[[#This Row],[Job Code]])*
    (JobCodeSkills!$K:$K="Required")
  )
)</f>
        <v>#VALUE!</v>
      </c>
      <c r="R173" s="4"/>
      <c r="S173" s="4"/>
      <c r="T173" s="4"/>
      <c r="U173" s="4"/>
      <c r="V173" s="4" t="str" cm="1">
        <f t="array" ref="V173">IF(EmployeesTable[[#This Row],[Additional Executive Role]]="","",
  _xlfn.TEXTJOIN(", ",TRUE,
    _xlfn._xlws.FILTER(ExecRoleSkills!$B:$B,
      ExecRoleSkills!$A:$A=EmployeesTable[[#This Row],[Additional Executive Role]]
    )
  )
)</f>
        <v/>
      </c>
    </row>
    <row r="174" spans="1:22" ht="30" x14ac:dyDescent="0.25">
      <c r="A174" s="19" t="s">
        <v>580</v>
      </c>
      <c r="B174" s="9">
        <v>10804</v>
      </c>
      <c r="C174" s="3" t="s">
        <v>167</v>
      </c>
      <c r="D174" s="9"/>
      <c r="E174" s="15">
        <v>44235</v>
      </c>
      <c r="F174" s="3" t="s">
        <v>581</v>
      </c>
      <c r="G174" s="3" t="s">
        <v>454</v>
      </c>
      <c r="H174" s="3" t="s">
        <v>12</v>
      </c>
      <c r="I174" s="9" t="s">
        <v>13</v>
      </c>
      <c r="J174" s="4"/>
      <c r="K174" s="4"/>
      <c r="L174" s="4"/>
      <c r="M174" s="4">
        <f>COUNTIFS(JobCodeSkills!$B:$B, EmployeesTable[[#This Row],[Succession Plan Job Code]],
          JobCodeSkills!$K:$K, "Required")</f>
        <v>0</v>
      </c>
      <c r="N174" s="4">
        <f>COUNTIFS(EmployeeSkills!$A:$A, EmployeesTable[[#This Row],[User Name]],
          EmployeeSkills!$B:$B, EmployeesTable[[#This Row],[Succession Plan Job Code]],
          EmployeeSkills!$D:$D, "Competent")</f>
        <v>0</v>
      </c>
      <c r="O174" s="4" t="str">
        <f>IF(EmployeesTable[[#This Row],[Succession Skills Ready – Required Total]]=0,"",
   EmployeesTable[[#This Row],[Succession Skills Ready – Required Met]]/EmployeesTable[[#This Row],[Succession Skills Ready – Required Total]])</f>
        <v/>
      </c>
      <c r="P174" s="4" t="str" cm="1">
        <f t="array" ref="P174">_xlfn.IFS(EmployeesTable[[#This Row],[Succession Skills Readiness %]]="","",
     EmployeesTable[[#This Row],[Succession Skills Readiness %]]&lt;0.6,"Not Ready",
     EmployeesTable[[#This Row],[Succession Skills Readiness %]]&lt;0.8,"Developing",
     TRUE,"Ready")</f>
        <v/>
      </c>
      <c r="Q174" s="4" t="e" cm="1" vm="1">
        <f t="array" ref="Q174">_xlfn.TEXTJOIN(", ",TRUE,
  _xlfn._xlws.FILTER(JobCodeSkills!$G:$G,
    (JobCodeSkills!$B:$B=EmployeesTable[[#This Row],[Job Code]])*
    (JobCodeSkills!$K:$K="Required")
  )
)</f>
        <v>#VALUE!</v>
      </c>
      <c r="R174" s="4"/>
      <c r="S174" s="4"/>
      <c r="T174" s="4"/>
      <c r="U174" s="4"/>
      <c r="V174" s="4" t="str" cm="1">
        <f t="array" ref="V174">IF(EmployeesTable[[#This Row],[Additional Executive Role]]="","",
  _xlfn.TEXTJOIN(", ",TRUE,
    _xlfn._xlws.FILTER(ExecRoleSkills!$B:$B,
      ExecRoleSkills!$A:$A=EmployeesTable[[#This Row],[Additional Executive Role]]
    )
  )
)</f>
        <v/>
      </c>
    </row>
    <row r="175" spans="1:22" ht="30" x14ac:dyDescent="0.25">
      <c r="A175" s="19" t="s">
        <v>286</v>
      </c>
      <c r="B175" s="9">
        <v>10503</v>
      </c>
      <c r="C175" s="3" t="s">
        <v>164</v>
      </c>
      <c r="D175" s="9"/>
      <c r="E175" s="15">
        <v>45195</v>
      </c>
      <c r="F175" s="3" t="s">
        <v>287</v>
      </c>
      <c r="G175" s="3" t="s">
        <v>129</v>
      </c>
      <c r="H175" s="3" t="s">
        <v>12</v>
      </c>
      <c r="I175" s="10" t="s">
        <v>712</v>
      </c>
      <c r="J175" s="4"/>
      <c r="K175" s="4"/>
      <c r="L175" s="4"/>
      <c r="M175" s="4">
        <f>COUNTIFS(JobCodeSkills!$B:$B, EmployeesTable[[#This Row],[Succession Plan Job Code]],
          JobCodeSkills!$K:$K, "Required")</f>
        <v>0</v>
      </c>
      <c r="N175" s="4">
        <f>COUNTIFS(EmployeeSkills!$A:$A, EmployeesTable[[#This Row],[User Name]],
          EmployeeSkills!$B:$B, EmployeesTable[[#This Row],[Succession Plan Job Code]],
          EmployeeSkills!$D:$D, "Competent")</f>
        <v>0</v>
      </c>
      <c r="O175" s="4" t="str">
        <f>IF(EmployeesTable[[#This Row],[Succession Skills Ready – Required Total]]=0,"",
   EmployeesTable[[#This Row],[Succession Skills Ready – Required Met]]/EmployeesTable[[#This Row],[Succession Skills Ready – Required Total]])</f>
        <v/>
      </c>
      <c r="P175" s="4" t="str" cm="1">
        <f t="array" ref="P175">_xlfn.IFS(EmployeesTable[[#This Row],[Succession Skills Readiness %]]="","",
     EmployeesTable[[#This Row],[Succession Skills Readiness %]]&lt;0.6,"Not Ready",
     EmployeesTable[[#This Row],[Succession Skills Readiness %]]&lt;0.8,"Developing",
     TRUE,"Ready")</f>
        <v/>
      </c>
      <c r="Q175" s="4" t="e" cm="1" vm="1">
        <f t="array" ref="Q175">_xlfn.TEXTJOIN(", ",TRUE,
  _xlfn._xlws.FILTER(JobCodeSkills!$G:$G,
    (JobCodeSkills!$B:$B=EmployeesTable[[#This Row],[Job Code]])*
    (JobCodeSkills!$K:$K="Required")
  )
)</f>
        <v>#VALUE!</v>
      </c>
      <c r="R175" s="4"/>
      <c r="S175" s="4"/>
      <c r="T175" s="4"/>
      <c r="U175" s="4"/>
      <c r="V175" s="4" t="str" cm="1">
        <f t="array" ref="V175">IF(EmployeesTable[[#This Row],[Additional Executive Role]]="","",
  _xlfn.TEXTJOIN(", ",TRUE,
    _xlfn._xlws.FILTER(ExecRoleSkills!$B:$B,
      ExecRoleSkills!$A:$A=EmployeesTable[[#This Row],[Additional Executive Role]]
    )
  )
)</f>
        <v/>
      </c>
    </row>
    <row r="176" spans="1:22" ht="30" x14ac:dyDescent="0.25">
      <c r="A176" s="19" t="s">
        <v>582</v>
      </c>
      <c r="B176" s="9">
        <v>10401</v>
      </c>
      <c r="C176" s="3" t="s">
        <v>184</v>
      </c>
      <c r="D176" s="9"/>
      <c r="E176" s="15">
        <v>43830</v>
      </c>
      <c r="F176" s="3" t="s">
        <v>583</v>
      </c>
      <c r="G176" s="3" t="s">
        <v>454</v>
      </c>
      <c r="H176" s="3" t="s">
        <v>12</v>
      </c>
      <c r="I176" s="9" t="s">
        <v>13</v>
      </c>
      <c r="J176" s="4"/>
      <c r="K176" s="4"/>
      <c r="L176" s="4"/>
      <c r="M176" s="4">
        <f>COUNTIFS(JobCodeSkills!$B:$B, EmployeesTable[[#This Row],[Succession Plan Job Code]],
          JobCodeSkills!$K:$K, "Required")</f>
        <v>0</v>
      </c>
      <c r="N176" s="4">
        <f>COUNTIFS(EmployeeSkills!$A:$A, EmployeesTable[[#This Row],[User Name]],
          EmployeeSkills!$B:$B, EmployeesTable[[#This Row],[Succession Plan Job Code]],
          EmployeeSkills!$D:$D, "Competent")</f>
        <v>0</v>
      </c>
      <c r="O176" s="4" t="str">
        <f>IF(EmployeesTable[[#This Row],[Succession Skills Ready – Required Total]]=0,"",
   EmployeesTable[[#This Row],[Succession Skills Ready – Required Met]]/EmployeesTable[[#This Row],[Succession Skills Ready – Required Total]])</f>
        <v/>
      </c>
      <c r="P176" s="4" t="str" cm="1">
        <f t="array" ref="P176">_xlfn.IFS(EmployeesTable[[#This Row],[Succession Skills Readiness %]]="","",
     EmployeesTable[[#This Row],[Succession Skills Readiness %]]&lt;0.6,"Not Ready",
     EmployeesTable[[#This Row],[Succession Skills Readiness %]]&lt;0.8,"Developing",
     TRUE,"Ready")</f>
        <v/>
      </c>
      <c r="Q176" s="4" t="e" cm="1" vm="1">
        <f t="array" ref="Q176">_xlfn.TEXTJOIN(", ",TRUE,
  _xlfn._xlws.FILTER(JobCodeSkills!$G:$G,
    (JobCodeSkills!$B:$B=EmployeesTable[[#This Row],[Job Code]])*
    (JobCodeSkills!$K:$K="Required")
  )
)</f>
        <v>#VALUE!</v>
      </c>
      <c r="R176" s="4"/>
      <c r="S176" s="4"/>
      <c r="T176" s="4"/>
      <c r="U176" s="4"/>
      <c r="V176" s="4" t="str" cm="1">
        <f t="array" ref="V176">IF(EmployeesTable[[#This Row],[Additional Executive Role]]="","",
  _xlfn.TEXTJOIN(", ",TRUE,
    _xlfn._xlws.FILTER(ExecRoleSkills!$B:$B,
      ExecRoleSkills!$A:$A=EmployeesTable[[#This Row],[Additional Executive Role]]
    )
  )
)</f>
        <v/>
      </c>
    </row>
    <row r="177" spans="1:22" ht="30" x14ac:dyDescent="0.25">
      <c r="A177" s="19" t="s">
        <v>288</v>
      </c>
      <c r="B177" s="9">
        <v>10812</v>
      </c>
      <c r="C177" s="3" t="s">
        <v>141</v>
      </c>
      <c r="D177" s="9"/>
      <c r="E177" s="15">
        <v>45309</v>
      </c>
      <c r="F177" s="3" t="s">
        <v>289</v>
      </c>
      <c r="G177" s="3" t="s">
        <v>129</v>
      </c>
      <c r="H177" s="3" t="s">
        <v>12</v>
      </c>
      <c r="I177" s="10" t="s">
        <v>712</v>
      </c>
      <c r="J177" s="4"/>
      <c r="K177" s="4"/>
      <c r="L177" s="4"/>
      <c r="M177" s="4">
        <f>COUNTIFS(JobCodeSkills!$B:$B, EmployeesTable[[#This Row],[Succession Plan Job Code]],
          JobCodeSkills!$K:$K, "Required")</f>
        <v>0</v>
      </c>
      <c r="N177" s="4">
        <f>COUNTIFS(EmployeeSkills!$A:$A, EmployeesTable[[#This Row],[User Name]],
          EmployeeSkills!$B:$B, EmployeesTable[[#This Row],[Succession Plan Job Code]],
          EmployeeSkills!$D:$D, "Competent")</f>
        <v>0</v>
      </c>
      <c r="O177" s="4" t="str">
        <f>IF(EmployeesTable[[#This Row],[Succession Skills Ready – Required Total]]=0,"",
   EmployeesTable[[#This Row],[Succession Skills Ready – Required Met]]/EmployeesTable[[#This Row],[Succession Skills Ready – Required Total]])</f>
        <v/>
      </c>
      <c r="P177" s="4" t="str" cm="1">
        <f t="array" ref="P177">_xlfn.IFS(EmployeesTable[[#This Row],[Succession Skills Readiness %]]="","",
     EmployeesTable[[#This Row],[Succession Skills Readiness %]]&lt;0.6,"Not Ready",
     EmployeesTable[[#This Row],[Succession Skills Readiness %]]&lt;0.8,"Developing",
     TRUE,"Ready")</f>
        <v/>
      </c>
      <c r="Q177" s="4" t="e" cm="1" vm="1">
        <f t="array" ref="Q177">_xlfn.TEXTJOIN(", ",TRUE,
  _xlfn._xlws.FILTER(JobCodeSkills!$G:$G,
    (JobCodeSkills!$B:$B=EmployeesTable[[#This Row],[Job Code]])*
    (JobCodeSkills!$K:$K="Required")
  )
)</f>
        <v>#VALUE!</v>
      </c>
      <c r="R177" s="4"/>
      <c r="S177" s="4"/>
      <c r="T177" s="4"/>
      <c r="U177" s="4"/>
      <c r="V177" s="4" t="str" cm="1">
        <f t="array" ref="V177">IF(EmployeesTable[[#This Row],[Additional Executive Role]]="","",
  _xlfn.TEXTJOIN(", ",TRUE,
    _xlfn._xlws.FILTER(ExecRoleSkills!$B:$B,
      ExecRoleSkills!$A:$A=EmployeesTable[[#This Row],[Additional Executive Role]]
    )
  )
)</f>
        <v/>
      </c>
    </row>
    <row r="178" spans="1:22" ht="30" x14ac:dyDescent="0.25">
      <c r="A178" s="19" t="s">
        <v>68</v>
      </c>
      <c r="B178" s="9">
        <v>10802</v>
      </c>
      <c r="C178" s="3" t="s">
        <v>66</v>
      </c>
      <c r="D178" s="9"/>
      <c r="E178" s="15">
        <v>45538</v>
      </c>
      <c r="F178" s="3" t="s">
        <v>69</v>
      </c>
      <c r="G178" s="3" t="s">
        <v>70</v>
      </c>
      <c r="H178" s="3" t="s">
        <v>12</v>
      </c>
      <c r="I178" s="10" t="s">
        <v>13</v>
      </c>
      <c r="J178" s="4"/>
      <c r="K178" s="4"/>
      <c r="L178" s="4"/>
      <c r="M178" s="4">
        <f>COUNTIFS(JobCodeSkills!$B:$B, EmployeesTable[[#This Row],[Succession Plan Job Code]],
          JobCodeSkills!$K:$K, "Required")</f>
        <v>0</v>
      </c>
      <c r="N178" s="4">
        <f>COUNTIFS(EmployeeSkills!$A:$A, EmployeesTable[[#This Row],[User Name]],
          EmployeeSkills!$B:$B, EmployeesTable[[#This Row],[Succession Plan Job Code]],
          EmployeeSkills!$D:$D, "Competent")</f>
        <v>0</v>
      </c>
      <c r="O178" s="4" t="str">
        <f>IF(EmployeesTable[[#This Row],[Succession Skills Ready – Required Total]]=0,"",
   EmployeesTable[[#This Row],[Succession Skills Ready – Required Met]]/EmployeesTable[[#This Row],[Succession Skills Ready – Required Total]])</f>
        <v/>
      </c>
      <c r="P178" s="4" t="str" cm="1">
        <f t="array" ref="P178">_xlfn.IFS(EmployeesTable[[#This Row],[Succession Skills Readiness %]]="","",
     EmployeesTable[[#This Row],[Succession Skills Readiness %]]&lt;0.6,"Not Ready",
     EmployeesTable[[#This Row],[Succession Skills Readiness %]]&lt;0.8,"Developing",
     TRUE,"Ready")</f>
        <v/>
      </c>
      <c r="Q178" s="4" t="e" cm="1" vm="1">
        <f t="array" ref="Q178">_xlfn.TEXTJOIN(", ",TRUE,
  _xlfn._xlws.FILTER(JobCodeSkills!$G:$G,
    (JobCodeSkills!$B:$B=EmployeesTable[[#This Row],[Job Code]])*
    (JobCodeSkills!$K:$K="Required")
  )
)</f>
        <v>#VALUE!</v>
      </c>
      <c r="R178" s="4"/>
      <c r="S178" s="4"/>
      <c r="T178" s="4"/>
      <c r="U178" s="4"/>
      <c r="V178" s="4" t="str" cm="1">
        <f t="array" ref="V178">IF(EmployeesTable[[#This Row],[Additional Executive Role]]="","",
  _xlfn.TEXTJOIN(", ",TRUE,
    _xlfn._xlws.FILTER(ExecRoleSkills!$B:$B,
      ExecRoleSkills!$A:$A=EmployeesTable[[#This Row],[Additional Executive Role]]
    )
  )
)</f>
        <v/>
      </c>
    </row>
    <row r="179" spans="1:22" x14ac:dyDescent="0.25">
      <c r="A179" s="19" t="s">
        <v>14</v>
      </c>
      <c r="B179" s="10">
        <v>40101</v>
      </c>
      <c r="C179" s="4" t="s">
        <v>15</v>
      </c>
      <c r="D179" s="10"/>
      <c r="E179" s="15">
        <v>44742</v>
      </c>
      <c r="F179" s="4" t="s">
        <v>16</v>
      </c>
      <c r="G179" s="4" t="s">
        <v>11</v>
      </c>
      <c r="H179" s="4" t="s">
        <v>12</v>
      </c>
      <c r="I179" s="10" t="s">
        <v>13</v>
      </c>
      <c r="J179" s="4"/>
      <c r="K179" s="4"/>
      <c r="L179" s="4"/>
      <c r="M179" s="4">
        <f>COUNTIFS(JobCodeSkills!$B:$B, EmployeesTable[[#This Row],[Succession Plan Job Code]],
          JobCodeSkills!$K:$K, "Required")</f>
        <v>0</v>
      </c>
      <c r="N179" s="4">
        <f>COUNTIFS(EmployeeSkills!$A:$A, EmployeesTable[[#This Row],[User Name]],
          EmployeeSkills!$B:$B, EmployeesTable[[#This Row],[Succession Plan Job Code]],
          EmployeeSkills!$D:$D, "Competent")</f>
        <v>0</v>
      </c>
      <c r="O179" s="4" t="str">
        <f>IF(EmployeesTable[[#This Row],[Succession Skills Ready – Required Total]]=0,"",
   EmployeesTable[[#This Row],[Succession Skills Ready – Required Met]]/EmployeesTable[[#This Row],[Succession Skills Ready – Required Total]])</f>
        <v/>
      </c>
      <c r="P179" s="4" t="str" cm="1">
        <f t="array" ref="P179">_xlfn.IFS(EmployeesTable[[#This Row],[Succession Skills Readiness %]]="","",
     EmployeesTable[[#This Row],[Succession Skills Readiness %]]&lt;0.6,"Not Ready",
     EmployeesTable[[#This Row],[Succession Skills Readiness %]]&lt;0.8,"Developing",
     TRUE,"Ready")</f>
        <v/>
      </c>
      <c r="Q179" s="4" t="e" cm="1" vm="1">
        <f t="array" ref="Q179">_xlfn.TEXTJOIN(", ",TRUE,
  _xlfn._xlws.FILTER(JobCodeSkills!$G:$G,
    (JobCodeSkills!$B:$B=EmployeesTable[[#This Row],[Job Code]])*
    (JobCodeSkills!$K:$K="Required")
  )
)</f>
        <v>#VALUE!</v>
      </c>
      <c r="R179" s="4"/>
      <c r="S179" s="4"/>
      <c r="T179" s="4"/>
      <c r="U179" s="4"/>
      <c r="V179" s="4" t="str" cm="1">
        <f t="array" ref="V179">IF(EmployeesTable[[#This Row],[Additional Executive Role]]="","",
  _xlfn.TEXTJOIN(", ",TRUE,
    _xlfn._xlws.FILTER(ExecRoleSkills!$B:$B,
      ExecRoleSkills!$A:$A=EmployeesTable[[#This Row],[Additional Executive Role]]
    )
  )
)</f>
        <v/>
      </c>
    </row>
    <row r="180" spans="1:22" ht="30" x14ac:dyDescent="0.25">
      <c r="A180" s="19" t="s">
        <v>290</v>
      </c>
      <c r="B180" s="9">
        <v>10502</v>
      </c>
      <c r="C180" s="3" t="s">
        <v>187</v>
      </c>
      <c r="D180" s="9"/>
      <c r="E180" s="15">
        <v>43956</v>
      </c>
      <c r="F180" s="3" t="s">
        <v>291</v>
      </c>
      <c r="G180" s="3" t="s">
        <v>129</v>
      </c>
      <c r="H180" s="3" t="s">
        <v>12</v>
      </c>
      <c r="I180" s="10" t="s">
        <v>712</v>
      </c>
      <c r="J180" s="4"/>
      <c r="K180" s="4"/>
      <c r="L180" s="4"/>
      <c r="M180" s="4">
        <f>COUNTIFS(JobCodeSkills!$B:$B, EmployeesTable[[#This Row],[Succession Plan Job Code]],
          JobCodeSkills!$K:$K, "Required")</f>
        <v>0</v>
      </c>
      <c r="N180" s="4">
        <f>COUNTIFS(EmployeeSkills!$A:$A, EmployeesTable[[#This Row],[User Name]],
          EmployeeSkills!$B:$B, EmployeesTable[[#This Row],[Succession Plan Job Code]],
          EmployeeSkills!$D:$D, "Competent")</f>
        <v>0</v>
      </c>
      <c r="O180" s="4" t="str">
        <f>IF(EmployeesTable[[#This Row],[Succession Skills Ready – Required Total]]=0,"",
   EmployeesTable[[#This Row],[Succession Skills Ready – Required Met]]/EmployeesTable[[#This Row],[Succession Skills Ready – Required Total]])</f>
        <v/>
      </c>
      <c r="P180" s="4" t="str" cm="1">
        <f t="array" ref="P180">_xlfn.IFS(EmployeesTable[[#This Row],[Succession Skills Readiness %]]="","",
     EmployeesTable[[#This Row],[Succession Skills Readiness %]]&lt;0.6,"Not Ready",
     EmployeesTable[[#This Row],[Succession Skills Readiness %]]&lt;0.8,"Developing",
     TRUE,"Ready")</f>
        <v/>
      </c>
      <c r="Q180" s="4" t="e" cm="1" vm="1">
        <f t="array" ref="Q180">_xlfn.TEXTJOIN(", ",TRUE,
  _xlfn._xlws.FILTER(JobCodeSkills!$G:$G,
    (JobCodeSkills!$B:$B=EmployeesTable[[#This Row],[Job Code]])*
    (JobCodeSkills!$K:$K="Required")
  )
)</f>
        <v>#VALUE!</v>
      </c>
      <c r="R180" s="4"/>
      <c r="S180" s="4"/>
      <c r="T180" s="4"/>
      <c r="U180" s="4"/>
      <c r="V180" s="4" t="str" cm="1">
        <f t="array" ref="V180">IF(EmployeesTable[[#This Row],[Additional Executive Role]]="","",
  _xlfn.TEXTJOIN(", ",TRUE,
    _xlfn._xlws.FILTER(ExecRoleSkills!$B:$B,
      ExecRoleSkills!$A:$A=EmployeesTable[[#This Row],[Additional Executive Role]]
    )
  )
)</f>
        <v/>
      </c>
    </row>
    <row r="181" spans="1:22" ht="30" x14ac:dyDescent="0.25">
      <c r="A181" s="19" t="s">
        <v>292</v>
      </c>
      <c r="B181" s="9">
        <v>10812</v>
      </c>
      <c r="C181" s="3" t="s">
        <v>141</v>
      </c>
      <c r="D181" s="9"/>
      <c r="E181" s="15">
        <v>45370</v>
      </c>
      <c r="F181" s="3" t="s">
        <v>293</v>
      </c>
      <c r="G181" s="3" t="s">
        <v>129</v>
      </c>
      <c r="H181" s="3" t="s">
        <v>12</v>
      </c>
      <c r="I181" s="10" t="s">
        <v>712</v>
      </c>
      <c r="J181" s="4"/>
      <c r="K181" s="4"/>
      <c r="L181" s="4"/>
      <c r="M181" s="4">
        <f>COUNTIFS(JobCodeSkills!$B:$B, EmployeesTable[[#This Row],[Succession Plan Job Code]],
          JobCodeSkills!$K:$K, "Required")</f>
        <v>0</v>
      </c>
      <c r="N181" s="4">
        <f>COUNTIFS(EmployeeSkills!$A:$A, EmployeesTable[[#This Row],[User Name]],
          EmployeeSkills!$B:$B, EmployeesTable[[#This Row],[Succession Plan Job Code]],
          EmployeeSkills!$D:$D, "Competent")</f>
        <v>0</v>
      </c>
      <c r="O181" s="4" t="str">
        <f>IF(EmployeesTable[[#This Row],[Succession Skills Ready – Required Total]]=0,"",
   EmployeesTable[[#This Row],[Succession Skills Ready – Required Met]]/EmployeesTable[[#This Row],[Succession Skills Ready – Required Total]])</f>
        <v/>
      </c>
      <c r="P181" s="4" t="str" cm="1">
        <f t="array" ref="P181">_xlfn.IFS(EmployeesTable[[#This Row],[Succession Skills Readiness %]]="","",
     EmployeesTable[[#This Row],[Succession Skills Readiness %]]&lt;0.6,"Not Ready",
     EmployeesTable[[#This Row],[Succession Skills Readiness %]]&lt;0.8,"Developing",
     TRUE,"Ready")</f>
        <v/>
      </c>
      <c r="Q181" s="4" t="e" cm="1" vm="1">
        <f t="array" ref="Q181">_xlfn.TEXTJOIN(", ",TRUE,
  _xlfn._xlws.FILTER(JobCodeSkills!$G:$G,
    (JobCodeSkills!$B:$B=EmployeesTable[[#This Row],[Job Code]])*
    (JobCodeSkills!$K:$K="Required")
  )
)</f>
        <v>#VALUE!</v>
      </c>
      <c r="R181" s="4"/>
      <c r="S181" s="4"/>
      <c r="T181" s="4"/>
      <c r="U181" s="4"/>
      <c r="V181" s="4" t="str" cm="1">
        <f t="array" ref="V181">IF(EmployeesTable[[#This Row],[Additional Executive Role]]="","",
  _xlfn.TEXTJOIN(", ",TRUE,
    _xlfn._xlws.FILTER(ExecRoleSkills!$B:$B,
      ExecRoleSkills!$A:$A=EmployeesTable[[#This Row],[Additional Executive Role]]
    )
  )
)</f>
        <v/>
      </c>
    </row>
    <row r="182" spans="1:22" ht="30" x14ac:dyDescent="0.25">
      <c r="A182" s="19" t="s">
        <v>584</v>
      </c>
      <c r="B182" s="9">
        <v>10401</v>
      </c>
      <c r="C182" s="3" t="s">
        <v>184</v>
      </c>
      <c r="D182" s="9"/>
      <c r="E182" s="15">
        <v>37060</v>
      </c>
      <c r="F182" s="3" t="s">
        <v>585</v>
      </c>
      <c r="G182" s="3" t="s">
        <v>454</v>
      </c>
      <c r="H182" s="3" t="s">
        <v>12</v>
      </c>
      <c r="I182" s="9" t="s">
        <v>13</v>
      </c>
      <c r="J182" s="4"/>
      <c r="K182" s="4"/>
      <c r="L182" s="4"/>
      <c r="M182" s="4">
        <f>COUNTIFS(JobCodeSkills!$B:$B, EmployeesTable[[#This Row],[Succession Plan Job Code]],
          JobCodeSkills!$K:$K, "Required")</f>
        <v>0</v>
      </c>
      <c r="N182" s="4">
        <f>COUNTIFS(EmployeeSkills!$A:$A, EmployeesTable[[#This Row],[User Name]],
          EmployeeSkills!$B:$B, EmployeesTable[[#This Row],[Succession Plan Job Code]],
          EmployeeSkills!$D:$D, "Competent")</f>
        <v>0</v>
      </c>
      <c r="O182" s="4" t="str">
        <f>IF(EmployeesTable[[#This Row],[Succession Skills Ready – Required Total]]=0,"",
   EmployeesTable[[#This Row],[Succession Skills Ready – Required Met]]/EmployeesTable[[#This Row],[Succession Skills Ready – Required Total]])</f>
        <v/>
      </c>
      <c r="P182" s="4" t="str" cm="1">
        <f t="array" ref="P182">_xlfn.IFS(EmployeesTable[[#This Row],[Succession Skills Readiness %]]="","",
     EmployeesTable[[#This Row],[Succession Skills Readiness %]]&lt;0.6,"Not Ready",
     EmployeesTable[[#This Row],[Succession Skills Readiness %]]&lt;0.8,"Developing",
     TRUE,"Ready")</f>
        <v/>
      </c>
      <c r="Q182" s="4" t="e" cm="1" vm="1">
        <f t="array" ref="Q182">_xlfn.TEXTJOIN(", ",TRUE,
  _xlfn._xlws.FILTER(JobCodeSkills!$G:$G,
    (JobCodeSkills!$B:$B=EmployeesTable[[#This Row],[Job Code]])*
    (JobCodeSkills!$K:$K="Required")
  )
)</f>
        <v>#VALUE!</v>
      </c>
      <c r="R182" s="4"/>
      <c r="S182" s="4"/>
      <c r="T182" s="4"/>
      <c r="U182" s="4"/>
      <c r="V182" s="4" t="str" cm="1">
        <f t="array" ref="V182">IF(EmployeesTable[[#This Row],[Additional Executive Role]]="","",
  _xlfn.TEXTJOIN(", ",TRUE,
    _xlfn._xlws.FILTER(ExecRoleSkills!$B:$B,
      ExecRoleSkills!$A:$A=EmployeesTable[[#This Row],[Additional Executive Role]]
    )
  )
)</f>
        <v/>
      </c>
    </row>
    <row r="183" spans="1:22" ht="30" x14ac:dyDescent="0.25">
      <c r="A183" s="19" t="s">
        <v>294</v>
      </c>
      <c r="B183" s="9">
        <v>10705</v>
      </c>
      <c r="C183" s="3" t="s">
        <v>136</v>
      </c>
      <c r="D183" s="9"/>
      <c r="E183" s="15">
        <v>45370</v>
      </c>
      <c r="F183" s="3" t="s">
        <v>295</v>
      </c>
      <c r="G183" s="3" t="s">
        <v>129</v>
      </c>
      <c r="H183" s="3" t="s">
        <v>12</v>
      </c>
      <c r="I183" s="10" t="s">
        <v>712</v>
      </c>
      <c r="J183" s="4"/>
      <c r="K183" s="4"/>
      <c r="L183" s="4"/>
      <c r="M183" s="4">
        <f>COUNTIFS(JobCodeSkills!$B:$B, EmployeesTable[[#This Row],[Succession Plan Job Code]],
          JobCodeSkills!$K:$K, "Required")</f>
        <v>0</v>
      </c>
      <c r="N183" s="4">
        <f>COUNTIFS(EmployeeSkills!$A:$A, EmployeesTable[[#This Row],[User Name]],
          EmployeeSkills!$B:$B, EmployeesTable[[#This Row],[Succession Plan Job Code]],
          EmployeeSkills!$D:$D, "Competent")</f>
        <v>0</v>
      </c>
      <c r="O183" s="4" t="str">
        <f>IF(EmployeesTable[[#This Row],[Succession Skills Ready – Required Total]]=0,"",
   EmployeesTable[[#This Row],[Succession Skills Ready – Required Met]]/EmployeesTable[[#This Row],[Succession Skills Ready – Required Total]])</f>
        <v/>
      </c>
      <c r="P183" s="4" t="str" cm="1">
        <f t="array" ref="P183">_xlfn.IFS(EmployeesTable[[#This Row],[Succession Skills Readiness %]]="","",
     EmployeesTable[[#This Row],[Succession Skills Readiness %]]&lt;0.6,"Not Ready",
     EmployeesTable[[#This Row],[Succession Skills Readiness %]]&lt;0.8,"Developing",
     TRUE,"Ready")</f>
        <v/>
      </c>
      <c r="Q183" s="4" t="e" cm="1" vm="1">
        <f t="array" ref="Q183">_xlfn.TEXTJOIN(", ",TRUE,
  _xlfn._xlws.FILTER(JobCodeSkills!$G:$G,
    (JobCodeSkills!$B:$B=EmployeesTable[[#This Row],[Job Code]])*
    (JobCodeSkills!$K:$K="Required")
  )
)</f>
        <v>#VALUE!</v>
      </c>
      <c r="R183" s="4"/>
      <c r="S183" s="4"/>
      <c r="T183" s="4"/>
      <c r="U183" s="4"/>
      <c r="V183" s="4" t="str" cm="1">
        <f t="array" ref="V183">IF(EmployeesTable[[#This Row],[Additional Executive Role]]="","",
  _xlfn.TEXTJOIN(", ",TRUE,
    _xlfn._xlws.FILTER(ExecRoleSkills!$B:$B,
      ExecRoleSkills!$A:$A=EmployeesTable[[#This Row],[Additional Executive Role]]
    )
  )
)</f>
        <v/>
      </c>
    </row>
    <row r="184" spans="1:22" ht="30" x14ac:dyDescent="0.25">
      <c r="A184" s="19" t="s">
        <v>296</v>
      </c>
      <c r="B184" s="9">
        <v>10602</v>
      </c>
      <c r="C184" s="3" t="s">
        <v>297</v>
      </c>
      <c r="D184" s="9"/>
      <c r="E184" s="15">
        <v>45237</v>
      </c>
      <c r="F184" s="3" t="s">
        <v>298</v>
      </c>
      <c r="G184" s="3" t="s">
        <v>129</v>
      </c>
      <c r="H184" s="3" t="s">
        <v>12</v>
      </c>
      <c r="I184" s="10" t="s">
        <v>712</v>
      </c>
      <c r="J184" s="4"/>
      <c r="K184" s="4"/>
      <c r="L184" s="4"/>
      <c r="M184" s="4">
        <f>COUNTIFS(JobCodeSkills!$B:$B, EmployeesTable[[#This Row],[Succession Plan Job Code]],
          JobCodeSkills!$K:$K, "Required")</f>
        <v>0</v>
      </c>
      <c r="N184" s="4">
        <f>COUNTIFS(EmployeeSkills!$A:$A, EmployeesTable[[#This Row],[User Name]],
          EmployeeSkills!$B:$B, EmployeesTable[[#This Row],[Succession Plan Job Code]],
          EmployeeSkills!$D:$D, "Competent")</f>
        <v>0</v>
      </c>
      <c r="O184" s="4" t="str">
        <f>IF(EmployeesTable[[#This Row],[Succession Skills Ready – Required Total]]=0,"",
   EmployeesTable[[#This Row],[Succession Skills Ready – Required Met]]/EmployeesTable[[#This Row],[Succession Skills Ready – Required Total]])</f>
        <v/>
      </c>
      <c r="P184" s="4" t="str" cm="1">
        <f t="array" ref="P184">_xlfn.IFS(EmployeesTable[[#This Row],[Succession Skills Readiness %]]="","",
     EmployeesTable[[#This Row],[Succession Skills Readiness %]]&lt;0.6,"Not Ready",
     EmployeesTable[[#This Row],[Succession Skills Readiness %]]&lt;0.8,"Developing",
     TRUE,"Ready")</f>
        <v/>
      </c>
      <c r="Q184" s="4" t="e" cm="1" vm="1">
        <f t="array" ref="Q184">_xlfn.TEXTJOIN(", ",TRUE,
  _xlfn._xlws.FILTER(JobCodeSkills!$G:$G,
    (JobCodeSkills!$B:$B=EmployeesTable[[#This Row],[Job Code]])*
    (JobCodeSkills!$K:$K="Required")
  )
)</f>
        <v>#VALUE!</v>
      </c>
      <c r="R184" s="4"/>
      <c r="S184" s="4"/>
      <c r="T184" s="4"/>
      <c r="U184" s="4"/>
      <c r="V184" s="4" t="str" cm="1">
        <f t="array" ref="V184">IF(EmployeesTable[[#This Row],[Additional Executive Role]]="","",
  _xlfn.TEXTJOIN(", ",TRUE,
    _xlfn._xlws.FILTER(ExecRoleSkills!$B:$B,
      ExecRoleSkills!$A:$A=EmployeesTable[[#This Row],[Additional Executive Role]]
    )
  )
)</f>
        <v/>
      </c>
    </row>
    <row r="185" spans="1:22" ht="30" x14ac:dyDescent="0.25">
      <c r="A185" s="19" t="s">
        <v>109</v>
      </c>
      <c r="B185" s="9">
        <v>30401</v>
      </c>
      <c r="C185" s="3" t="s">
        <v>110</v>
      </c>
      <c r="D185" s="9"/>
      <c r="E185" s="15">
        <v>43970</v>
      </c>
      <c r="F185" s="3" t="s">
        <v>111</v>
      </c>
      <c r="G185" s="3" t="s">
        <v>103</v>
      </c>
      <c r="H185" s="3" t="s">
        <v>12</v>
      </c>
      <c r="I185" s="10" t="s">
        <v>712</v>
      </c>
      <c r="J185" s="4"/>
      <c r="K185" s="4"/>
      <c r="L185" s="4"/>
      <c r="M185" s="4">
        <f>COUNTIFS(JobCodeSkills!$B:$B, EmployeesTable[[#This Row],[Succession Plan Job Code]],
          JobCodeSkills!$K:$K, "Required")</f>
        <v>0</v>
      </c>
      <c r="N185" s="4">
        <f>COUNTIFS(EmployeeSkills!$A:$A, EmployeesTable[[#This Row],[User Name]],
          EmployeeSkills!$B:$B, EmployeesTable[[#This Row],[Succession Plan Job Code]],
          EmployeeSkills!$D:$D, "Competent")</f>
        <v>0</v>
      </c>
      <c r="O185" s="4" t="str">
        <f>IF(EmployeesTable[[#This Row],[Succession Skills Ready – Required Total]]=0,"",
   EmployeesTable[[#This Row],[Succession Skills Ready – Required Met]]/EmployeesTable[[#This Row],[Succession Skills Ready – Required Total]])</f>
        <v/>
      </c>
      <c r="P185" s="4" t="str" cm="1">
        <f t="array" ref="P185">_xlfn.IFS(EmployeesTable[[#This Row],[Succession Skills Readiness %]]="","",
     EmployeesTable[[#This Row],[Succession Skills Readiness %]]&lt;0.6,"Not Ready",
     EmployeesTable[[#This Row],[Succession Skills Readiness %]]&lt;0.8,"Developing",
     TRUE,"Ready")</f>
        <v/>
      </c>
      <c r="Q185" s="4" t="e" cm="1" vm="1">
        <f t="array" ref="Q185">_xlfn.TEXTJOIN(", ",TRUE,
  _xlfn._xlws.FILTER(JobCodeSkills!$G:$G,
    (JobCodeSkills!$B:$B=EmployeesTable[[#This Row],[Job Code]])*
    (JobCodeSkills!$K:$K="Required")
  )
)</f>
        <v>#VALUE!</v>
      </c>
      <c r="R185" s="4"/>
      <c r="S185" s="4"/>
      <c r="T185" s="4"/>
      <c r="U185" s="4"/>
      <c r="V185" s="4" t="str" cm="1">
        <f t="array" ref="V185">IF(EmployeesTable[[#This Row],[Additional Executive Role]]="","",
  _xlfn.TEXTJOIN(", ",TRUE,
    _xlfn._xlws.FILTER(ExecRoleSkills!$B:$B,
      ExecRoleSkills!$A:$A=EmployeesTable[[#This Row],[Additional Executive Role]]
    )
  )
)</f>
        <v/>
      </c>
    </row>
    <row r="186" spans="1:22" ht="30" x14ac:dyDescent="0.25">
      <c r="A186" s="19" t="s">
        <v>586</v>
      </c>
      <c r="B186" s="9">
        <v>5115</v>
      </c>
      <c r="C186" s="3" t="s">
        <v>161</v>
      </c>
      <c r="D186" s="9"/>
      <c r="E186" s="15">
        <v>45489</v>
      </c>
      <c r="F186" s="3" t="s">
        <v>587</v>
      </c>
      <c r="G186" s="3" t="s">
        <v>454</v>
      </c>
      <c r="H186" s="3" t="s">
        <v>12</v>
      </c>
      <c r="I186" s="9" t="s">
        <v>13</v>
      </c>
      <c r="J186" s="4"/>
      <c r="K186" s="4"/>
      <c r="L186" s="4"/>
      <c r="M186" s="4">
        <f>COUNTIFS(JobCodeSkills!$B:$B, EmployeesTable[[#This Row],[Succession Plan Job Code]],
          JobCodeSkills!$K:$K, "Required")</f>
        <v>0</v>
      </c>
      <c r="N186" s="4">
        <f>COUNTIFS(EmployeeSkills!$A:$A, EmployeesTable[[#This Row],[User Name]],
          EmployeeSkills!$B:$B, EmployeesTable[[#This Row],[Succession Plan Job Code]],
          EmployeeSkills!$D:$D, "Competent")</f>
        <v>0</v>
      </c>
      <c r="O186" s="4" t="str">
        <f>IF(EmployeesTable[[#This Row],[Succession Skills Ready – Required Total]]=0,"",
   EmployeesTable[[#This Row],[Succession Skills Ready – Required Met]]/EmployeesTable[[#This Row],[Succession Skills Ready – Required Total]])</f>
        <v/>
      </c>
      <c r="P186" s="4" t="str" cm="1">
        <f t="array" ref="P186">_xlfn.IFS(EmployeesTable[[#This Row],[Succession Skills Readiness %]]="","",
     EmployeesTable[[#This Row],[Succession Skills Readiness %]]&lt;0.6,"Not Ready",
     EmployeesTable[[#This Row],[Succession Skills Readiness %]]&lt;0.8,"Developing",
     TRUE,"Ready")</f>
        <v/>
      </c>
      <c r="Q186" s="4" t="e" cm="1" vm="1">
        <f t="array" ref="Q186">_xlfn.TEXTJOIN(", ",TRUE,
  _xlfn._xlws.FILTER(JobCodeSkills!$G:$G,
    (JobCodeSkills!$B:$B=EmployeesTable[[#This Row],[Job Code]])*
    (JobCodeSkills!$K:$K="Required")
  )
)</f>
        <v>#VALUE!</v>
      </c>
      <c r="R186" s="4"/>
      <c r="S186" s="4"/>
      <c r="T186" s="4"/>
      <c r="U186" s="4"/>
      <c r="V186" s="4" t="str" cm="1">
        <f t="array" ref="V186">IF(EmployeesTable[[#This Row],[Additional Executive Role]]="","",
  _xlfn.TEXTJOIN(", ",TRUE,
    _xlfn._xlws.FILTER(ExecRoleSkills!$B:$B,
      ExecRoleSkills!$A:$A=EmployeesTable[[#This Row],[Additional Executive Role]]
    )
  )
)</f>
        <v/>
      </c>
    </row>
    <row r="187" spans="1:22" ht="30" x14ac:dyDescent="0.25">
      <c r="A187" s="19" t="s">
        <v>299</v>
      </c>
      <c r="B187" s="9">
        <v>10701</v>
      </c>
      <c r="C187" s="3" t="s">
        <v>153</v>
      </c>
      <c r="D187" s="9"/>
      <c r="E187" s="15">
        <v>45426</v>
      </c>
      <c r="F187" s="3" t="s">
        <v>300</v>
      </c>
      <c r="G187" s="3" t="s">
        <v>129</v>
      </c>
      <c r="H187" s="3" t="s">
        <v>12</v>
      </c>
      <c r="I187" s="10" t="s">
        <v>712</v>
      </c>
      <c r="J187" s="4"/>
      <c r="K187" s="4"/>
      <c r="L187" s="4"/>
      <c r="M187" s="4">
        <f>COUNTIFS(JobCodeSkills!$B:$B, EmployeesTable[[#This Row],[Succession Plan Job Code]],
          JobCodeSkills!$K:$K, "Required")</f>
        <v>0</v>
      </c>
      <c r="N187" s="4">
        <f>COUNTIFS(EmployeeSkills!$A:$A, EmployeesTable[[#This Row],[User Name]],
          EmployeeSkills!$B:$B, EmployeesTable[[#This Row],[Succession Plan Job Code]],
          EmployeeSkills!$D:$D, "Competent")</f>
        <v>0</v>
      </c>
      <c r="O187" s="4" t="str">
        <f>IF(EmployeesTable[[#This Row],[Succession Skills Ready – Required Total]]=0,"",
   EmployeesTable[[#This Row],[Succession Skills Ready – Required Met]]/EmployeesTable[[#This Row],[Succession Skills Ready – Required Total]])</f>
        <v/>
      </c>
      <c r="P187" s="4" t="str" cm="1">
        <f t="array" ref="P187">_xlfn.IFS(EmployeesTable[[#This Row],[Succession Skills Readiness %]]="","",
     EmployeesTable[[#This Row],[Succession Skills Readiness %]]&lt;0.6,"Not Ready",
     EmployeesTable[[#This Row],[Succession Skills Readiness %]]&lt;0.8,"Developing",
     TRUE,"Ready")</f>
        <v/>
      </c>
      <c r="Q187" s="4" t="e" cm="1" vm="1">
        <f t="array" ref="Q187">_xlfn.TEXTJOIN(", ",TRUE,
  _xlfn._xlws.FILTER(JobCodeSkills!$G:$G,
    (JobCodeSkills!$B:$B=EmployeesTable[[#This Row],[Job Code]])*
    (JobCodeSkills!$K:$K="Required")
  )
)</f>
        <v>#VALUE!</v>
      </c>
      <c r="R187" s="4"/>
      <c r="S187" s="4"/>
      <c r="T187" s="4"/>
      <c r="U187" s="4"/>
      <c r="V187" s="4" t="str" cm="1">
        <f t="array" ref="V187">IF(EmployeesTable[[#This Row],[Additional Executive Role]]="","",
  _xlfn.TEXTJOIN(", ",TRUE,
    _xlfn._xlws.FILTER(ExecRoleSkills!$B:$B,
      ExecRoleSkills!$A:$A=EmployeesTable[[#This Row],[Additional Executive Role]]
    )
  )
)</f>
        <v/>
      </c>
    </row>
    <row r="188" spans="1:22" ht="30" x14ac:dyDescent="0.25">
      <c r="A188" s="19" t="s">
        <v>301</v>
      </c>
      <c r="B188" s="9">
        <v>10701</v>
      </c>
      <c r="C188" s="3" t="s">
        <v>153</v>
      </c>
      <c r="D188" s="9"/>
      <c r="E188" s="15">
        <v>45433</v>
      </c>
      <c r="F188" s="3" t="s">
        <v>302</v>
      </c>
      <c r="G188" s="3" t="s">
        <v>129</v>
      </c>
      <c r="H188" s="3" t="s">
        <v>12</v>
      </c>
      <c r="I188" s="10" t="s">
        <v>712</v>
      </c>
      <c r="J188" s="4"/>
      <c r="K188" s="4"/>
      <c r="L188" s="4"/>
      <c r="M188" s="4">
        <f>COUNTIFS(JobCodeSkills!$B:$B, EmployeesTable[[#This Row],[Succession Plan Job Code]],
          JobCodeSkills!$K:$K, "Required")</f>
        <v>0</v>
      </c>
      <c r="N188" s="4">
        <f>COUNTIFS(EmployeeSkills!$A:$A, EmployeesTable[[#This Row],[User Name]],
          EmployeeSkills!$B:$B, EmployeesTable[[#This Row],[Succession Plan Job Code]],
          EmployeeSkills!$D:$D, "Competent")</f>
        <v>0</v>
      </c>
      <c r="O188" s="4" t="str">
        <f>IF(EmployeesTable[[#This Row],[Succession Skills Ready – Required Total]]=0,"",
   EmployeesTable[[#This Row],[Succession Skills Ready – Required Met]]/EmployeesTable[[#This Row],[Succession Skills Ready – Required Total]])</f>
        <v/>
      </c>
      <c r="P188" s="4" t="str" cm="1">
        <f t="array" ref="P188">_xlfn.IFS(EmployeesTable[[#This Row],[Succession Skills Readiness %]]="","",
     EmployeesTable[[#This Row],[Succession Skills Readiness %]]&lt;0.6,"Not Ready",
     EmployeesTable[[#This Row],[Succession Skills Readiness %]]&lt;0.8,"Developing",
     TRUE,"Ready")</f>
        <v/>
      </c>
      <c r="Q188" s="4" t="e" cm="1" vm="1">
        <f t="array" ref="Q188">_xlfn.TEXTJOIN(", ",TRUE,
  _xlfn._xlws.FILTER(JobCodeSkills!$G:$G,
    (JobCodeSkills!$B:$B=EmployeesTable[[#This Row],[Job Code]])*
    (JobCodeSkills!$K:$K="Required")
  )
)</f>
        <v>#VALUE!</v>
      </c>
      <c r="R188" s="4"/>
      <c r="S188" s="4"/>
      <c r="T188" s="4"/>
      <c r="U188" s="4"/>
      <c r="V188" s="4" t="str" cm="1">
        <f t="array" ref="V188">IF(EmployeesTable[[#This Row],[Additional Executive Role]]="","",
  _xlfn.TEXTJOIN(", ",TRUE,
    _xlfn._xlws.FILTER(ExecRoleSkills!$B:$B,
      ExecRoleSkills!$A:$A=EmployeesTable[[#This Row],[Additional Executive Role]]
    )
  )
)</f>
        <v/>
      </c>
    </row>
    <row r="189" spans="1:22" ht="30" x14ac:dyDescent="0.25">
      <c r="A189" s="19" t="s">
        <v>112</v>
      </c>
      <c r="B189" s="9">
        <v>11503</v>
      </c>
      <c r="C189" s="3" t="s">
        <v>113</v>
      </c>
      <c r="D189" s="9"/>
      <c r="E189" s="15">
        <v>43727</v>
      </c>
      <c r="F189" s="3" t="s">
        <v>114</v>
      </c>
      <c r="G189" s="3" t="s">
        <v>103</v>
      </c>
      <c r="H189" s="3" t="s">
        <v>12</v>
      </c>
      <c r="I189" s="10" t="s">
        <v>712</v>
      </c>
      <c r="J189" s="4"/>
      <c r="K189" s="4"/>
      <c r="L189" s="4"/>
      <c r="M189" s="4">
        <f>COUNTIFS(JobCodeSkills!$B:$B, EmployeesTable[[#This Row],[Succession Plan Job Code]],
          JobCodeSkills!$K:$K, "Required")</f>
        <v>0</v>
      </c>
      <c r="N189" s="4">
        <f>COUNTIFS(EmployeeSkills!$A:$A, EmployeesTable[[#This Row],[User Name]],
          EmployeeSkills!$B:$B, EmployeesTable[[#This Row],[Succession Plan Job Code]],
          EmployeeSkills!$D:$D, "Competent")</f>
        <v>0</v>
      </c>
      <c r="O189" s="4" t="str">
        <f>IF(EmployeesTable[[#This Row],[Succession Skills Ready – Required Total]]=0,"",
   EmployeesTable[[#This Row],[Succession Skills Ready – Required Met]]/EmployeesTable[[#This Row],[Succession Skills Ready – Required Total]])</f>
        <v/>
      </c>
      <c r="P189" s="4" t="str" cm="1">
        <f t="array" ref="P189">_xlfn.IFS(EmployeesTable[[#This Row],[Succession Skills Readiness %]]="","",
     EmployeesTable[[#This Row],[Succession Skills Readiness %]]&lt;0.6,"Not Ready",
     EmployeesTable[[#This Row],[Succession Skills Readiness %]]&lt;0.8,"Developing",
     TRUE,"Ready")</f>
        <v/>
      </c>
      <c r="Q189" s="4" t="e" cm="1" vm="1">
        <f t="array" ref="Q189">_xlfn.TEXTJOIN(", ",TRUE,
  _xlfn._xlws.FILTER(JobCodeSkills!$G:$G,
    (JobCodeSkills!$B:$B=EmployeesTable[[#This Row],[Job Code]])*
    (JobCodeSkills!$K:$K="Required")
  )
)</f>
        <v>#VALUE!</v>
      </c>
      <c r="R189" s="4"/>
      <c r="S189" s="4"/>
      <c r="T189" s="4"/>
      <c r="U189" s="4"/>
      <c r="V189" s="4" t="str" cm="1">
        <f t="array" ref="V189">IF(EmployeesTable[[#This Row],[Additional Executive Role]]="","",
  _xlfn.TEXTJOIN(", ",TRUE,
    _xlfn._xlws.FILTER(ExecRoleSkills!$B:$B,
      ExecRoleSkills!$A:$A=EmployeesTable[[#This Row],[Additional Executive Role]]
    )
  )
)</f>
        <v/>
      </c>
    </row>
    <row r="190" spans="1:22" ht="45" x14ac:dyDescent="0.25">
      <c r="A190" s="19" t="s">
        <v>40</v>
      </c>
      <c r="B190" s="9">
        <v>30100</v>
      </c>
      <c r="C190" s="3" t="s">
        <v>41</v>
      </c>
      <c r="D190" s="9"/>
      <c r="E190" s="15">
        <v>35178</v>
      </c>
      <c r="F190" s="3" t="s">
        <v>42</v>
      </c>
      <c r="G190" s="3" t="s">
        <v>20</v>
      </c>
      <c r="H190" s="3" t="s">
        <v>12</v>
      </c>
      <c r="I190" s="10" t="s">
        <v>13</v>
      </c>
      <c r="J190" s="4"/>
      <c r="K190" s="4"/>
      <c r="L190" s="4"/>
      <c r="M190" s="4">
        <f>COUNTIFS(JobCodeSkills!$B:$B, EmployeesTable[[#This Row],[Succession Plan Job Code]],
          JobCodeSkills!$K:$K, "Required")</f>
        <v>0</v>
      </c>
      <c r="N190" s="4">
        <f>COUNTIFS(EmployeeSkills!$A:$A, EmployeesTable[[#This Row],[User Name]],
          EmployeeSkills!$B:$B, EmployeesTable[[#This Row],[Succession Plan Job Code]],
          EmployeeSkills!$D:$D, "Competent")</f>
        <v>0</v>
      </c>
      <c r="O190" s="4" t="str">
        <f>IF(EmployeesTable[[#This Row],[Succession Skills Ready – Required Total]]=0,"",
   EmployeesTable[[#This Row],[Succession Skills Ready – Required Met]]/EmployeesTable[[#This Row],[Succession Skills Ready – Required Total]])</f>
        <v/>
      </c>
      <c r="P190" s="4" t="str" cm="1">
        <f t="array" ref="P190">_xlfn.IFS(EmployeesTable[[#This Row],[Succession Skills Readiness %]]="","",
     EmployeesTable[[#This Row],[Succession Skills Readiness %]]&lt;0.6,"Not Ready",
     EmployeesTable[[#This Row],[Succession Skills Readiness %]]&lt;0.8,"Developing",
     TRUE,"Ready")</f>
        <v/>
      </c>
      <c r="Q190" s="4" t="e" cm="1" vm="1">
        <f t="array" ref="Q190">_xlfn.TEXTJOIN(", ",TRUE,
  _xlfn._xlws.FILTER(JobCodeSkills!$G:$G,
    (JobCodeSkills!$B:$B=EmployeesTable[[#This Row],[Job Code]])*
    (JobCodeSkills!$K:$K="Required")
  )
)</f>
        <v>#VALUE!</v>
      </c>
      <c r="R190" s="4"/>
      <c r="S190" s="4"/>
      <c r="T190" s="4"/>
      <c r="U190" s="4"/>
      <c r="V190" s="4" t="str" cm="1">
        <f t="array" ref="V190">IF(EmployeesTable[[#This Row],[Additional Executive Role]]="","",
  _xlfn.TEXTJOIN(", ",TRUE,
    _xlfn._xlws.FILTER(ExecRoleSkills!$B:$B,
      ExecRoleSkills!$A:$A=EmployeesTable[[#This Row],[Additional Executive Role]]
    )
  )
)</f>
        <v/>
      </c>
    </row>
    <row r="191" spans="1:22" ht="30" x14ac:dyDescent="0.25">
      <c r="A191" s="19" t="s">
        <v>588</v>
      </c>
      <c r="B191" s="9">
        <v>10501</v>
      </c>
      <c r="C191" s="3" t="s">
        <v>156</v>
      </c>
      <c r="D191" s="9"/>
      <c r="E191" s="15">
        <v>45300</v>
      </c>
      <c r="F191" s="3" t="s">
        <v>589</v>
      </c>
      <c r="G191" s="3" t="s">
        <v>454</v>
      </c>
      <c r="H191" s="3" t="s">
        <v>12</v>
      </c>
      <c r="I191" s="9" t="s">
        <v>13</v>
      </c>
      <c r="J191" s="4"/>
      <c r="K191" s="4"/>
      <c r="L191" s="4"/>
      <c r="M191" s="4">
        <f>COUNTIFS(JobCodeSkills!$B:$B, EmployeesTable[[#This Row],[Succession Plan Job Code]],
          JobCodeSkills!$K:$K, "Required")</f>
        <v>0</v>
      </c>
      <c r="N191" s="4">
        <f>COUNTIFS(EmployeeSkills!$A:$A, EmployeesTable[[#This Row],[User Name]],
          EmployeeSkills!$B:$B, EmployeesTable[[#This Row],[Succession Plan Job Code]],
          EmployeeSkills!$D:$D, "Competent")</f>
        <v>0</v>
      </c>
      <c r="O191" s="4" t="str">
        <f>IF(EmployeesTable[[#This Row],[Succession Skills Ready – Required Total]]=0,"",
   EmployeesTable[[#This Row],[Succession Skills Ready – Required Met]]/EmployeesTable[[#This Row],[Succession Skills Ready – Required Total]])</f>
        <v/>
      </c>
      <c r="P191" s="4" t="str" cm="1">
        <f t="array" ref="P191">_xlfn.IFS(EmployeesTable[[#This Row],[Succession Skills Readiness %]]="","",
     EmployeesTable[[#This Row],[Succession Skills Readiness %]]&lt;0.6,"Not Ready",
     EmployeesTable[[#This Row],[Succession Skills Readiness %]]&lt;0.8,"Developing",
     TRUE,"Ready")</f>
        <v/>
      </c>
      <c r="Q191" s="4" t="e" cm="1" vm="1">
        <f t="array" ref="Q191">_xlfn.TEXTJOIN(", ",TRUE,
  _xlfn._xlws.FILTER(JobCodeSkills!$G:$G,
    (JobCodeSkills!$B:$B=EmployeesTable[[#This Row],[Job Code]])*
    (JobCodeSkills!$K:$K="Required")
  )
)</f>
        <v>#VALUE!</v>
      </c>
      <c r="R191" s="4"/>
      <c r="S191" s="4"/>
      <c r="T191" s="4"/>
      <c r="U191" s="4"/>
      <c r="V191" s="4" t="str" cm="1">
        <f t="array" ref="V191">IF(EmployeesTable[[#This Row],[Additional Executive Role]]="","",
  _xlfn.TEXTJOIN(", ",TRUE,
    _xlfn._xlws.FILTER(ExecRoleSkills!$B:$B,
      ExecRoleSkills!$A:$A=EmployeesTable[[#This Row],[Additional Executive Role]]
    )
  )
)</f>
        <v/>
      </c>
    </row>
    <row r="192" spans="1:22" ht="30" x14ac:dyDescent="0.25">
      <c r="A192" s="19" t="s">
        <v>590</v>
      </c>
      <c r="B192" s="9">
        <v>10804</v>
      </c>
      <c r="C192" s="3" t="s">
        <v>167</v>
      </c>
      <c r="D192" s="9"/>
      <c r="E192" s="15">
        <v>44588</v>
      </c>
      <c r="F192" s="3" t="s">
        <v>591</v>
      </c>
      <c r="G192" s="3" t="s">
        <v>454</v>
      </c>
      <c r="H192" s="3" t="s">
        <v>12</v>
      </c>
      <c r="I192" s="9" t="s">
        <v>13</v>
      </c>
      <c r="J192" s="4"/>
      <c r="K192" s="4"/>
      <c r="L192" s="4"/>
      <c r="M192" s="4">
        <f>COUNTIFS(JobCodeSkills!$B:$B, EmployeesTable[[#This Row],[Succession Plan Job Code]],
          JobCodeSkills!$K:$K, "Required")</f>
        <v>0</v>
      </c>
      <c r="N192" s="4">
        <f>COUNTIFS(EmployeeSkills!$A:$A, EmployeesTable[[#This Row],[User Name]],
          EmployeeSkills!$B:$B, EmployeesTable[[#This Row],[Succession Plan Job Code]],
          EmployeeSkills!$D:$D, "Competent")</f>
        <v>0</v>
      </c>
      <c r="O192" s="4" t="str">
        <f>IF(EmployeesTable[[#This Row],[Succession Skills Ready – Required Total]]=0,"",
   EmployeesTable[[#This Row],[Succession Skills Ready – Required Met]]/EmployeesTable[[#This Row],[Succession Skills Ready – Required Total]])</f>
        <v/>
      </c>
      <c r="P192" s="4" t="str" cm="1">
        <f t="array" ref="P192">_xlfn.IFS(EmployeesTable[[#This Row],[Succession Skills Readiness %]]="","",
     EmployeesTable[[#This Row],[Succession Skills Readiness %]]&lt;0.6,"Not Ready",
     EmployeesTable[[#This Row],[Succession Skills Readiness %]]&lt;0.8,"Developing",
     TRUE,"Ready")</f>
        <v/>
      </c>
      <c r="Q192" s="4" t="e" cm="1" vm="1">
        <f t="array" ref="Q192">_xlfn.TEXTJOIN(", ",TRUE,
  _xlfn._xlws.FILTER(JobCodeSkills!$G:$G,
    (JobCodeSkills!$B:$B=EmployeesTable[[#This Row],[Job Code]])*
    (JobCodeSkills!$K:$K="Required")
  )
)</f>
        <v>#VALUE!</v>
      </c>
      <c r="R192" s="4"/>
      <c r="S192" s="4"/>
      <c r="T192" s="4"/>
      <c r="U192" s="4"/>
      <c r="V192" s="4" t="str" cm="1">
        <f t="array" ref="V192">IF(EmployeesTable[[#This Row],[Additional Executive Role]]="","",
  _xlfn.TEXTJOIN(", ",TRUE,
    _xlfn._xlws.FILTER(ExecRoleSkills!$B:$B,
      ExecRoleSkills!$A:$A=EmployeesTable[[#This Row],[Additional Executive Role]]
    )
  )
)</f>
        <v/>
      </c>
    </row>
    <row r="193" spans="1:22" ht="30" x14ac:dyDescent="0.25">
      <c r="A193" s="19" t="s">
        <v>592</v>
      </c>
      <c r="B193" s="9">
        <v>10812</v>
      </c>
      <c r="C193" s="3" t="s">
        <v>141</v>
      </c>
      <c r="D193" s="9"/>
      <c r="E193" s="15">
        <v>45442</v>
      </c>
      <c r="F193" s="3" t="s">
        <v>593</v>
      </c>
      <c r="G193" s="3" t="s">
        <v>454</v>
      </c>
      <c r="H193" s="3" t="s">
        <v>12</v>
      </c>
      <c r="I193" s="9" t="s">
        <v>13</v>
      </c>
      <c r="J193" s="4"/>
      <c r="K193" s="4"/>
      <c r="L193" s="4"/>
      <c r="M193" s="4">
        <f>COUNTIFS(JobCodeSkills!$B:$B, EmployeesTable[[#This Row],[Succession Plan Job Code]],
          JobCodeSkills!$K:$K, "Required")</f>
        <v>0</v>
      </c>
      <c r="N193" s="4">
        <f>COUNTIFS(EmployeeSkills!$A:$A, EmployeesTable[[#This Row],[User Name]],
          EmployeeSkills!$B:$B, EmployeesTable[[#This Row],[Succession Plan Job Code]],
          EmployeeSkills!$D:$D, "Competent")</f>
        <v>0</v>
      </c>
      <c r="O193" s="4" t="str">
        <f>IF(EmployeesTable[[#This Row],[Succession Skills Ready – Required Total]]=0,"",
   EmployeesTable[[#This Row],[Succession Skills Ready – Required Met]]/EmployeesTable[[#This Row],[Succession Skills Ready – Required Total]])</f>
        <v/>
      </c>
      <c r="P193" s="4" t="str" cm="1">
        <f t="array" ref="P193">_xlfn.IFS(EmployeesTable[[#This Row],[Succession Skills Readiness %]]="","",
     EmployeesTable[[#This Row],[Succession Skills Readiness %]]&lt;0.6,"Not Ready",
     EmployeesTable[[#This Row],[Succession Skills Readiness %]]&lt;0.8,"Developing",
     TRUE,"Ready")</f>
        <v/>
      </c>
      <c r="Q193" s="4" t="e" cm="1" vm="1">
        <f t="array" ref="Q193">_xlfn.TEXTJOIN(", ",TRUE,
  _xlfn._xlws.FILTER(JobCodeSkills!$G:$G,
    (JobCodeSkills!$B:$B=EmployeesTable[[#This Row],[Job Code]])*
    (JobCodeSkills!$K:$K="Required")
  )
)</f>
        <v>#VALUE!</v>
      </c>
      <c r="R193" s="4"/>
      <c r="S193" s="4"/>
      <c r="T193" s="4"/>
      <c r="U193" s="4"/>
      <c r="V193" s="4" t="str" cm="1">
        <f t="array" ref="V193">IF(EmployeesTable[[#This Row],[Additional Executive Role]]="","",
  _xlfn.TEXTJOIN(", ",TRUE,
    _xlfn._xlws.FILTER(ExecRoleSkills!$B:$B,
      ExecRoleSkills!$A:$A=EmployeesTable[[#This Row],[Additional Executive Role]]
    )
  )
)</f>
        <v/>
      </c>
    </row>
    <row r="194" spans="1:22" ht="30" x14ac:dyDescent="0.25">
      <c r="A194" s="19" t="s">
        <v>303</v>
      </c>
      <c r="B194" s="9">
        <v>10401</v>
      </c>
      <c r="C194" s="3" t="s">
        <v>184</v>
      </c>
      <c r="D194" s="9"/>
      <c r="E194" s="15">
        <v>44260</v>
      </c>
      <c r="F194" s="3" t="s">
        <v>304</v>
      </c>
      <c r="G194" s="3" t="s">
        <v>129</v>
      </c>
      <c r="H194" s="3" t="s">
        <v>12</v>
      </c>
      <c r="I194" s="10" t="s">
        <v>712</v>
      </c>
      <c r="J194" s="4"/>
      <c r="K194" s="4"/>
      <c r="L194" s="4"/>
      <c r="M194" s="4">
        <f>COUNTIFS(JobCodeSkills!$B:$B, EmployeesTable[[#This Row],[Succession Plan Job Code]],
          JobCodeSkills!$K:$K, "Required")</f>
        <v>0</v>
      </c>
      <c r="N194" s="4">
        <f>COUNTIFS(EmployeeSkills!$A:$A, EmployeesTable[[#This Row],[User Name]],
          EmployeeSkills!$B:$B, EmployeesTable[[#This Row],[Succession Plan Job Code]],
          EmployeeSkills!$D:$D, "Competent")</f>
        <v>0</v>
      </c>
      <c r="O194" s="4" t="str">
        <f>IF(EmployeesTable[[#This Row],[Succession Skills Ready – Required Total]]=0,"",
   EmployeesTable[[#This Row],[Succession Skills Ready – Required Met]]/EmployeesTable[[#This Row],[Succession Skills Ready – Required Total]])</f>
        <v/>
      </c>
      <c r="P194" s="4" t="str" cm="1">
        <f t="array" ref="P194">_xlfn.IFS(EmployeesTable[[#This Row],[Succession Skills Readiness %]]="","",
     EmployeesTable[[#This Row],[Succession Skills Readiness %]]&lt;0.6,"Not Ready",
     EmployeesTable[[#This Row],[Succession Skills Readiness %]]&lt;0.8,"Developing",
     TRUE,"Ready")</f>
        <v/>
      </c>
      <c r="Q194" s="4" t="e" cm="1" vm="1">
        <f t="array" ref="Q194">_xlfn.TEXTJOIN(", ",TRUE,
  _xlfn._xlws.FILTER(JobCodeSkills!$G:$G,
    (JobCodeSkills!$B:$B=EmployeesTable[[#This Row],[Job Code]])*
    (JobCodeSkills!$K:$K="Required")
  )
)</f>
        <v>#VALUE!</v>
      </c>
      <c r="R194" s="4"/>
      <c r="S194" s="4"/>
      <c r="T194" s="4"/>
      <c r="U194" s="4"/>
      <c r="V194" s="4" t="str" cm="1">
        <f t="array" ref="V194">IF(EmployeesTable[[#This Row],[Additional Executive Role]]="","",
  _xlfn.TEXTJOIN(", ",TRUE,
    _xlfn._xlws.FILTER(ExecRoleSkills!$B:$B,
      ExecRoleSkills!$A:$A=EmployeesTable[[#This Row],[Additional Executive Role]]
    )
  )
)</f>
        <v/>
      </c>
    </row>
    <row r="195" spans="1:22" ht="30" x14ac:dyDescent="0.25">
      <c r="A195" s="19" t="s">
        <v>594</v>
      </c>
      <c r="B195" s="9">
        <v>10501</v>
      </c>
      <c r="C195" s="3" t="s">
        <v>156</v>
      </c>
      <c r="D195" s="9"/>
      <c r="E195" s="15">
        <v>39650</v>
      </c>
      <c r="F195" s="3" t="s">
        <v>595</v>
      </c>
      <c r="G195" s="3" t="s">
        <v>454</v>
      </c>
      <c r="H195" s="3" t="s">
        <v>12</v>
      </c>
      <c r="I195" s="9" t="s">
        <v>13</v>
      </c>
      <c r="J195" s="4"/>
      <c r="K195" s="4"/>
      <c r="L195" s="4"/>
      <c r="M195" s="4">
        <f>COUNTIFS(JobCodeSkills!$B:$B, EmployeesTable[[#This Row],[Succession Plan Job Code]],
          JobCodeSkills!$K:$K, "Required")</f>
        <v>0</v>
      </c>
      <c r="N195" s="4">
        <f>COUNTIFS(EmployeeSkills!$A:$A, EmployeesTable[[#This Row],[User Name]],
          EmployeeSkills!$B:$B, EmployeesTable[[#This Row],[Succession Plan Job Code]],
          EmployeeSkills!$D:$D, "Competent")</f>
        <v>0</v>
      </c>
      <c r="O195" s="4" t="str">
        <f>IF(EmployeesTable[[#This Row],[Succession Skills Ready – Required Total]]=0,"",
   EmployeesTable[[#This Row],[Succession Skills Ready – Required Met]]/EmployeesTable[[#This Row],[Succession Skills Ready – Required Total]])</f>
        <v/>
      </c>
      <c r="P195" s="4" t="str" cm="1">
        <f t="array" ref="P195">_xlfn.IFS(EmployeesTable[[#This Row],[Succession Skills Readiness %]]="","",
     EmployeesTable[[#This Row],[Succession Skills Readiness %]]&lt;0.6,"Not Ready",
     EmployeesTable[[#This Row],[Succession Skills Readiness %]]&lt;0.8,"Developing",
     TRUE,"Ready")</f>
        <v/>
      </c>
      <c r="Q195" s="4" t="e" cm="1" vm="1">
        <f t="array" ref="Q195">_xlfn.TEXTJOIN(", ",TRUE,
  _xlfn._xlws.FILTER(JobCodeSkills!$G:$G,
    (JobCodeSkills!$B:$B=EmployeesTable[[#This Row],[Job Code]])*
    (JobCodeSkills!$K:$K="Required")
  )
)</f>
        <v>#VALUE!</v>
      </c>
      <c r="R195" s="4"/>
      <c r="S195" s="4"/>
      <c r="T195" s="4"/>
      <c r="U195" s="4"/>
      <c r="V195" s="4" t="str" cm="1">
        <f t="array" ref="V195">IF(EmployeesTable[[#This Row],[Additional Executive Role]]="","",
  _xlfn.TEXTJOIN(", ",TRUE,
    _xlfn._xlws.FILTER(ExecRoleSkills!$B:$B,
      ExecRoleSkills!$A:$A=EmployeesTable[[#This Row],[Additional Executive Role]]
    )
  )
)</f>
        <v/>
      </c>
    </row>
    <row r="196" spans="1:22" ht="30" x14ac:dyDescent="0.25">
      <c r="A196" s="19" t="s">
        <v>305</v>
      </c>
      <c r="B196" s="9">
        <v>10502</v>
      </c>
      <c r="C196" s="3" t="s">
        <v>187</v>
      </c>
      <c r="D196" s="9"/>
      <c r="E196" s="15">
        <v>45377</v>
      </c>
      <c r="F196" s="3" t="s">
        <v>306</v>
      </c>
      <c r="G196" s="3" t="s">
        <v>129</v>
      </c>
      <c r="H196" s="3" t="s">
        <v>12</v>
      </c>
      <c r="I196" s="10" t="s">
        <v>712</v>
      </c>
      <c r="J196" s="4"/>
      <c r="K196" s="4"/>
      <c r="L196" s="4"/>
      <c r="M196" s="4">
        <f>COUNTIFS(JobCodeSkills!$B:$B, EmployeesTable[[#This Row],[Succession Plan Job Code]],
          JobCodeSkills!$K:$K, "Required")</f>
        <v>0</v>
      </c>
      <c r="N196" s="4">
        <f>COUNTIFS(EmployeeSkills!$A:$A, EmployeesTable[[#This Row],[User Name]],
          EmployeeSkills!$B:$B, EmployeesTable[[#This Row],[Succession Plan Job Code]],
          EmployeeSkills!$D:$D, "Competent")</f>
        <v>0</v>
      </c>
      <c r="O196" s="4" t="str">
        <f>IF(EmployeesTable[[#This Row],[Succession Skills Ready – Required Total]]=0,"",
   EmployeesTable[[#This Row],[Succession Skills Ready – Required Met]]/EmployeesTable[[#This Row],[Succession Skills Ready – Required Total]])</f>
        <v/>
      </c>
      <c r="P196" s="4" t="str" cm="1">
        <f t="array" ref="P196">_xlfn.IFS(EmployeesTable[[#This Row],[Succession Skills Readiness %]]="","",
     EmployeesTable[[#This Row],[Succession Skills Readiness %]]&lt;0.6,"Not Ready",
     EmployeesTable[[#This Row],[Succession Skills Readiness %]]&lt;0.8,"Developing",
     TRUE,"Ready")</f>
        <v/>
      </c>
      <c r="Q196" s="4" t="e" cm="1" vm="1">
        <f t="array" ref="Q196">_xlfn.TEXTJOIN(", ",TRUE,
  _xlfn._xlws.FILTER(JobCodeSkills!$G:$G,
    (JobCodeSkills!$B:$B=EmployeesTable[[#This Row],[Job Code]])*
    (JobCodeSkills!$K:$K="Required")
  )
)</f>
        <v>#VALUE!</v>
      </c>
      <c r="R196" s="4"/>
      <c r="S196" s="4"/>
      <c r="T196" s="4"/>
      <c r="U196" s="4"/>
      <c r="V196" s="4" t="str" cm="1">
        <f t="array" ref="V196">IF(EmployeesTable[[#This Row],[Additional Executive Role]]="","",
  _xlfn.TEXTJOIN(", ",TRUE,
    _xlfn._xlws.FILTER(ExecRoleSkills!$B:$B,
      ExecRoleSkills!$A:$A=EmployeesTable[[#This Row],[Additional Executive Role]]
    )
  )
)</f>
        <v/>
      </c>
    </row>
    <row r="197" spans="1:22" ht="30" x14ac:dyDescent="0.25">
      <c r="A197" s="19" t="s">
        <v>307</v>
      </c>
      <c r="B197" s="9">
        <v>10502</v>
      </c>
      <c r="C197" s="3" t="s">
        <v>156</v>
      </c>
      <c r="D197" s="9"/>
      <c r="E197" s="15">
        <v>45223</v>
      </c>
      <c r="F197" s="3" t="s">
        <v>308</v>
      </c>
      <c r="G197" s="3" t="s">
        <v>129</v>
      </c>
      <c r="H197" s="3" t="s">
        <v>12</v>
      </c>
      <c r="I197" s="10" t="s">
        <v>712</v>
      </c>
      <c r="J197" s="4"/>
      <c r="K197" s="4"/>
      <c r="L197" s="4"/>
      <c r="M197" s="4">
        <f>COUNTIFS(JobCodeSkills!$B:$B, EmployeesTable[[#This Row],[Succession Plan Job Code]],
          JobCodeSkills!$K:$K, "Required")</f>
        <v>0</v>
      </c>
      <c r="N197" s="4">
        <f>COUNTIFS(EmployeeSkills!$A:$A, EmployeesTable[[#This Row],[User Name]],
          EmployeeSkills!$B:$B, EmployeesTable[[#This Row],[Succession Plan Job Code]],
          EmployeeSkills!$D:$D, "Competent")</f>
        <v>0</v>
      </c>
      <c r="O197" s="4" t="str">
        <f>IF(EmployeesTable[[#This Row],[Succession Skills Ready – Required Total]]=0,"",
   EmployeesTable[[#This Row],[Succession Skills Ready – Required Met]]/EmployeesTable[[#This Row],[Succession Skills Ready – Required Total]])</f>
        <v/>
      </c>
      <c r="P197" s="4" t="str" cm="1">
        <f t="array" ref="P197">_xlfn.IFS(EmployeesTable[[#This Row],[Succession Skills Readiness %]]="","",
     EmployeesTable[[#This Row],[Succession Skills Readiness %]]&lt;0.6,"Not Ready",
     EmployeesTable[[#This Row],[Succession Skills Readiness %]]&lt;0.8,"Developing",
     TRUE,"Ready")</f>
        <v/>
      </c>
      <c r="Q197" s="4" t="e" cm="1" vm="1">
        <f t="array" ref="Q197">_xlfn.TEXTJOIN(", ",TRUE,
  _xlfn._xlws.FILTER(JobCodeSkills!$G:$G,
    (JobCodeSkills!$B:$B=EmployeesTable[[#This Row],[Job Code]])*
    (JobCodeSkills!$K:$K="Required")
  )
)</f>
        <v>#VALUE!</v>
      </c>
      <c r="R197" s="4"/>
      <c r="S197" s="4"/>
      <c r="T197" s="4"/>
      <c r="U197" s="4"/>
      <c r="V197" s="4" t="str" cm="1">
        <f t="array" ref="V197">IF(EmployeesTable[[#This Row],[Additional Executive Role]]="","",
  _xlfn.TEXTJOIN(", ",TRUE,
    _xlfn._xlws.FILTER(ExecRoleSkills!$B:$B,
      ExecRoleSkills!$A:$A=EmployeesTable[[#This Row],[Additional Executive Role]]
    )
  )
)</f>
        <v/>
      </c>
    </row>
    <row r="198" spans="1:22" ht="30" x14ac:dyDescent="0.25">
      <c r="A198" s="19" t="s">
        <v>309</v>
      </c>
      <c r="B198" s="9">
        <v>10705</v>
      </c>
      <c r="C198" s="3" t="s">
        <v>127</v>
      </c>
      <c r="D198" s="9"/>
      <c r="E198" s="15">
        <v>44903</v>
      </c>
      <c r="F198" s="3" t="s">
        <v>310</v>
      </c>
      <c r="G198" s="3" t="s">
        <v>129</v>
      </c>
      <c r="H198" s="3" t="s">
        <v>12</v>
      </c>
      <c r="I198" s="10" t="s">
        <v>712</v>
      </c>
      <c r="J198" s="4"/>
      <c r="K198" s="4"/>
      <c r="L198" s="4"/>
      <c r="M198" s="4">
        <f>COUNTIFS(JobCodeSkills!$B:$B, EmployeesTable[[#This Row],[Succession Plan Job Code]],
          JobCodeSkills!$K:$K, "Required")</f>
        <v>0</v>
      </c>
      <c r="N198" s="4">
        <f>COUNTIFS(EmployeeSkills!$A:$A, EmployeesTable[[#This Row],[User Name]],
          EmployeeSkills!$B:$B, EmployeesTable[[#This Row],[Succession Plan Job Code]],
          EmployeeSkills!$D:$D, "Competent")</f>
        <v>0</v>
      </c>
      <c r="O198" s="4" t="str">
        <f>IF(EmployeesTable[[#This Row],[Succession Skills Ready – Required Total]]=0,"",
   EmployeesTable[[#This Row],[Succession Skills Ready – Required Met]]/EmployeesTable[[#This Row],[Succession Skills Ready – Required Total]])</f>
        <v/>
      </c>
      <c r="P198" s="4" t="str" cm="1">
        <f t="array" ref="P198">_xlfn.IFS(EmployeesTable[[#This Row],[Succession Skills Readiness %]]="","",
     EmployeesTable[[#This Row],[Succession Skills Readiness %]]&lt;0.6,"Not Ready",
     EmployeesTable[[#This Row],[Succession Skills Readiness %]]&lt;0.8,"Developing",
     TRUE,"Ready")</f>
        <v/>
      </c>
      <c r="Q198" s="4" t="e" cm="1" vm="1">
        <f t="array" ref="Q198">_xlfn.TEXTJOIN(", ",TRUE,
  _xlfn._xlws.FILTER(JobCodeSkills!$G:$G,
    (JobCodeSkills!$B:$B=EmployeesTable[[#This Row],[Job Code]])*
    (JobCodeSkills!$K:$K="Required")
  )
)</f>
        <v>#VALUE!</v>
      </c>
      <c r="R198" s="4"/>
      <c r="S198" s="4"/>
      <c r="T198" s="4"/>
      <c r="U198" s="4"/>
      <c r="V198" s="4" t="str" cm="1">
        <f t="array" ref="V198">IF(EmployeesTable[[#This Row],[Additional Executive Role]]="","",
  _xlfn.TEXTJOIN(", ",TRUE,
    _xlfn._xlws.FILTER(ExecRoleSkills!$B:$B,
      ExecRoleSkills!$A:$A=EmployeesTable[[#This Row],[Additional Executive Role]]
    )
  )
)</f>
        <v/>
      </c>
    </row>
    <row r="199" spans="1:22" ht="30" x14ac:dyDescent="0.25">
      <c r="A199" s="19" t="s">
        <v>695</v>
      </c>
      <c r="B199" s="9">
        <v>10200</v>
      </c>
      <c r="C199" s="3" t="s">
        <v>22</v>
      </c>
      <c r="D199" s="9"/>
      <c r="E199" s="15">
        <v>43468</v>
      </c>
      <c r="F199" s="3" t="s">
        <v>696</v>
      </c>
      <c r="G199" s="3" t="s">
        <v>687</v>
      </c>
      <c r="H199" s="3" t="s">
        <v>12</v>
      </c>
      <c r="I199" s="9" t="s">
        <v>712</v>
      </c>
      <c r="J199" s="4"/>
      <c r="K199" s="4"/>
      <c r="L199" s="4"/>
      <c r="M199" s="4">
        <f>COUNTIFS(JobCodeSkills!$B:$B, EmployeesTable[[#This Row],[Succession Plan Job Code]],
          JobCodeSkills!$K:$K, "Required")</f>
        <v>0</v>
      </c>
      <c r="N199" s="4">
        <f>COUNTIFS(EmployeeSkills!$A:$A, EmployeesTable[[#This Row],[User Name]],
          EmployeeSkills!$B:$B, EmployeesTable[[#This Row],[Succession Plan Job Code]],
          EmployeeSkills!$D:$D, "Competent")</f>
        <v>0</v>
      </c>
      <c r="O199" s="4" t="str">
        <f>IF(EmployeesTable[[#This Row],[Succession Skills Ready – Required Total]]=0,"",
   EmployeesTable[[#This Row],[Succession Skills Ready – Required Met]]/EmployeesTable[[#This Row],[Succession Skills Ready – Required Total]])</f>
        <v/>
      </c>
      <c r="P199" s="4" t="str" cm="1">
        <f t="array" ref="P199">_xlfn.IFS(EmployeesTable[[#This Row],[Succession Skills Readiness %]]="","",
     EmployeesTable[[#This Row],[Succession Skills Readiness %]]&lt;0.6,"Not Ready",
     EmployeesTable[[#This Row],[Succession Skills Readiness %]]&lt;0.8,"Developing",
     TRUE,"Ready")</f>
        <v/>
      </c>
      <c r="Q199" s="4" t="e" cm="1" vm="1">
        <f t="array" ref="Q199">_xlfn.TEXTJOIN(", ",TRUE,
  _xlfn._xlws.FILTER(JobCodeSkills!$G:$G,
    (JobCodeSkills!$B:$B=EmployeesTable[[#This Row],[Job Code]])*
    (JobCodeSkills!$K:$K="Required")
  )
)</f>
        <v>#VALUE!</v>
      </c>
      <c r="R199" s="4"/>
      <c r="S199" s="4"/>
      <c r="T199" s="4"/>
      <c r="U199" s="4"/>
      <c r="V199" s="4" t="str" cm="1">
        <f t="array" ref="V199">IF(EmployeesTable[[#This Row],[Additional Executive Role]]="","",
  _xlfn.TEXTJOIN(", ",TRUE,
    _xlfn._xlws.FILTER(ExecRoleSkills!$B:$B,
      ExecRoleSkills!$A:$A=EmployeesTable[[#This Row],[Additional Executive Role]]
    )
  )
)</f>
        <v/>
      </c>
    </row>
    <row r="200" spans="1:22" ht="45" x14ac:dyDescent="0.25">
      <c r="A200" s="19" t="s">
        <v>115</v>
      </c>
      <c r="B200" s="9">
        <v>30302</v>
      </c>
      <c r="C200" s="3" t="s">
        <v>116</v>
      </c>
      <c r="D200" s="9"/>
      <c r="E200" s="15">
        <v>42303</v>
      </c>
      <c r="F200" s="3" t="s">
        <v>117</v>
      </c>
      <c r="G200" s="3" t="s">
        <v>103</v>
      </c>
      <c r="H200" s="3" t="s">
        <v>12</v>
      </c>
      <c r="I200" s="10" t="s">
        <v>712</v>
      </c>
      <c r="J200" s="4"/>
      <c r="K200" s="4"/>
      <c r="L200" s="4"/>
      <c r="M200" s="4">
        <f>COUNTIFS(JobCodeSkills!$B:$B, EmployeesTable[[#This Row],[Succession Plan Job Code]],
          JobCodeSkills!$K:$K, "Required")</f>
        <v>0</v>
      </c>
      <c r="N200" s="4">
        <f>COUNTIFS(EmployeeSkills!$A:$A, EmployeesTable[[#This Row],[User Name]],
          EmployeeSkills!$B:$B, EmployeesTable[[#This Row],[Succession Plan Job Code]],
          EmployeeSkills!$D:$D, "Competent")</f>
        <v>0</v>
      </c>
      <c r="O200" s="4" t="str">
        <f>IF(EmployeesTable[[#This Row],[Succession Skills Ready – Required Total]]=0,"",
   EmployeesTable[[#This Row],[Succession Skills Ready – Required Met]]/EmployeesTable[[#This Row],[Succession Skills Ready – Required Total]])</f>
        <v/>
      </c>
      <c r="P200" s="4" t="str" cm="1">
        <f t="array" ref="P200">_xlfn.IFS(EmployeesTable[[#This Row],[Succession Skills Readiness %]]="","",
     EmployeesTable[[#This Row],[Succession Skills Readiness %]]&lt;0.6,"Not Ready",
     EmployeesTable[[#This Row],[Succession Skills Readiness %]]&lt;0.8,"Developing",
     TRUE,"Ready")</f>
        <v/>
      </c>
      <c r="Q200" s="4" t="e" cm="1" vm="1">
        <f t="array" ref="Q200">_xlfn.TEXTJOIN(", ",TRUE,
  _xlfn._xlws.FILTER(JobCodeSkills!$G:$G,
    (JobCodeSkills!$B:$B=EmployeesTable[[#This Row],[Job Code]])*
    (JobCodeSkills!$K:$K="Required")
  )
)</f>
        <v>#VALUE!</v>
      </c>
      <c r="R200" s="4"/>
      <c r="S200" s="4"/>
      <c r="T200" s="4"/>
      <c r="U200" s="4"/>
      <c r="V200" s="4" t="str" cm="1">
        <f t="array" ref="V200">IF(EmployeesTable[[#This Row],[Additional Executive Role]]="","",
  _xlfn.TEXTJOIN(", ",TRUE,
    _xlfn._xlws.FILTER(ExecRoleSkills!$B:$B,
      ExecRoleSkills!$A:$A=EmployeesTable[[#This Row],[Additional Executive Role]]
    )
  )
)</f>
        <v/>
      </c>
    </row>
    <row r="201" spans="1:22" ht="30" x14ac:dyDescent="0.25">
      <c r="A201" s="19" t="s">
        <v>596</v>
      </c>
      <c r="B201" s="9">
        <v>10402</v>
      </c>
      <c r="C201" s="3" t="s">
        <v>458</v>
      </c>
      <c r="D201" s="9"/>
      <c r="E201" s="15">
        <v>42241</v>
      </c>
      <c r="F201" s="3" t="s">
        <v>597</v>
      </c>
      <c r="G201" s="3" t="s">
        <v>454</v>
      </c>
      <c r="H201" s="3" t="s">
        <v>12</v>
      </c>
      <c r="I201" s="9" t="s">
        <v>13</v>
      </c>
      <c r="J201" s="4"/>
      <c r="K201" s="4"/>
      <c r="L201" s="4"/>
      <c r="M201" s="4">
        <f>COUNTIFS(JobCodeSkills!$B:$B, EmployeesTable[[#This Row],[Succession Plan Job Code]],
          JobCodeSkills!$K:$K, "Required")</f>
        <v>0</v>
      </c>
      <c r="N201" s="4">
        <f>COUNTIFS(EmployeeSkills!$A:$A, EmployeesTable[[#This Row],[User Name]],
          EmployeeSkills!$B:$B, EmployeesTable[[#This Row],[Succession Plan Job Code]],
          EmployeeSkills!$D:$D, "Competent")</f>
        <v>0</v>
      </c>
      <c r="O201" s="4" t="str">
        <f>IF(EmployeesTable[[#This Row],[Succession Skills Ready – Required Total]]=0,"",
   EmployeesTable[[#This Row],[Succession Skills Ready – Required Met]]/EmployeesTable[[#This Row],[Succession Skills Ready – Required Total]])</f>
        <v/>
      </c>
      <c r="P201" s="4" t="str" cm="1">
        <f t="array" ref="P201">_xlfn.IFS(EmployeesTable[[#This Row],[Succession Skills Readiness %]]="","",
     EmployeesTable[[#This Row],[Succession Skills Readiness %]]&lt;0.6,"Not Ready",
     EmployeesTable[[#This Row],[Succession Skills Readiness %]]&lt;0.8,"Developing",
     TRUE,"Ready")</f>
        <v/>
      </c>
      <c r="Q201" s="4" t="e" cm="1" vm="1">
        <f t="array" ref="Q201">_xlfn.TEXTJOIN(", ",TRUE,
  _xlfn._xlws.FILTER(JobCodeSkills!$G:$G,
    (JobCodeSkills!$B:$B=EmployeesTable[[#This Row],[Job Code]])*
    (JobCodeSkills!$K:$K="Required")
  )
)</f>
        <v>#VALUE!</v>
      </c>
      <c r="R201" s="4"/>
      <c r="S201" s="4"/>
      <c r="T201" s="4"/>
      <c r="U201" s="4"/>
      <c r="V201" s="4" t="str" cm="1">
        <f t="array" ref="V201">IF(EmployeesTable[[#This Row],[Additional Executive Role]]="","",
  _xlfn.TEXTJOIN(", ",TRUE,
    _xlfn._xlws.FILTER(ExecRoleSkills!$B:$B,
      ExecRoleSkills!$A:$A=EmployeesTable[[#This Row],[Additional Executive Role]]
    )
  )
)</f>
        <v/>
      </c>
    </row>
    <row r="202" spans="1:22" ht="30" x14ac:dyDescent="0.25">
      <c r="A202" s="19" t="s">
        <v>598</v>
      </c>
      <c r="B202" s="9">
        <v>10402</v>
      </c>
      <c r="C202" s="3" t="s">
        <v>458</v>
      </c>
      <c r="D202" s="9"/>
      <c r="E202" s="15">
        <v>42332</v>
      </c>
      <c r="F202" s="3" t="s">
        <v>599</v>
      </c>
      <c r="G202" s="3" t="s">
        <v>454</v>
      </c>
      <c r="H202" s="3" t="s">
        <v>12</v>
      </c>
      <c r="I202" s="9" t="s">
        <v>13</v>
      </c>
      <c r="J202" s="4"/>
      <c r="K202" s="4"/>
      <c r="L202" s="4"/>
      <c r="M202" s="4">
        <f>COUNTIFS(JobCodeSkills!$B:$B, EmployeesTable[[#This Row],[Succession Plan Job Code]],
          JobCodeSkills!$K:$K, "Required")</f>
        <v>0</v>
      </c>
      <c r="N202" s="4">
        <f>COUNTIFS(EmployeeSkills!$A:$A, EmployeesTable[[#This Row],[User Name]],
          EmployeeSkills!$B:$B, EmployeesTable[[#This Row],[Succession Plan Job Code]],
          EmployeeSkills!$D:$D, "Competent")</f>
        <v>0</v>
      </c>
      <c r="O202" s="4" t="str">
        <f>IF(EmployeesTable[[#This Row],[Succession Skills Ready – Required Total]]=0,"",
   EmployeesTable[[#This Row],[Succession Skills Ready – Required Met]]/EmployeesTable[[#This Row],[Succession Skills Ready – Required Total]])</f>
        <v/>
      </c>
      <c r="P202" s="4" t="str" cm="1">
        <f t="array" ref="P202">_xlfn.IFS(EmployeesTable[[#This Row],[Succession Skills Readiness %]]="","",
     EmployeesTable[[#This Row],[Succession Skills Readiness %]]&lt;0.6,"Not Ready",
     EmployeesTable[[#This Row],[Succession Skills Readiness %]]&lt;0.8,"Developing",
     TRUE,"Ready")</f>
        <v/>
      </c>
      <c r="Q202" s="4" t="e" cm="1" vm="1">
        <f t="array" ref="Q202">_xlfn.TEXTJOIN(", ",TRUE,
  _xlfn._xlws.FILTER(JobCodeSkills!$G:$G,
    (JobCodeSkills!$B:$B=EmployeesTable[[#This Row],[Job Code]])*
    (JobCodeSkills!$K:$K="Required")
  )
)</f>
        <v>#VALUE!</v>
      </c>
      <c r="R202" s="4"/>
      <c r="S202" s="4"/>
      <c r="T202" s="4"/>
      <c r="U202" s="4"/>
      <c r="V202" s="4" t="str" cm="1">
        <f t="array" ref="V202">IF(EmployeesTable[[#This Row],[Additional Executive Role]]="","",
  _xlfn.TEXTJOIN(", ",TRUE,
    _xlfn._xlws.FILTER(ExecRoleSkills!$B:$B,
      ExecRoleSkills!$A:$A=EmployeesTable[[#This Row],[Additional Executive Role]]
    )
  )
)</f>
        <v/>
      </c>
    </row>
    <row r="203" spans="1:22" ht="30" x14ac:dyDescent="0.25">
      <c r="A203" s="19" t="s">
        <v>600</v>
      </c>
      <c r="B203" s="9">
        <v>10804</v>
      </c>
      <c r="C203" s="3" t="s">
        <v>167</v>
      </c>
      <c r="D203" s="9"/>
      <c r="E203" s="15">
        <v>43914</v>
      </c>
      <c r="F203" s="3" t="s">
        <v>601</v>
      </c>
      <c r="G203" s="3" t="s">
        <v>454</v>
      </c>
      <c r="H203" s="3" t="s">
        <v>12</v>
      </c>
      <c r="I203" s="9" t="s">
        <v>13</v>
      </c>
      <c r="J203" s="4"/>
      <c r="K203" s="4"/>
      <c r="L203" s="4"/>
      <c r="M203" s="4">
        <f>COUNTIFS(JobCodeSkills!$B:$B, EmployeesTable[[#This Row],[Succession Plan Job Code]],
          JobCodeSkills!$K:$K, "Required")</f>
        <v>0</v>
      </c>
      <c r="N203" s="4">
        <f>COUNTIFS(EmployeeSkills!$A:$A, EmployeesTable[[#This Row],[User Name]],
          EmployeeSkills!$B:$B, EmployeesTable[[#This Row],[Succession Plan Job Code]],
          EmployeeSkills!$D:$D, "Competent")</f>
        <v>0</v>
      </c>
      <c r="O203" s="4" t="str">
        <f>IF(EmployeesTable[[#This Row],[Succession Skills Ready – Required Total]]=0,"",
   EmployeesTable[[#This Row],[Succession Skills Ready – Required Met]]/EmployeesTable[[#This Row],[Succession Skills Ready – Required Total]])</f>
        <v/>
      </c>
      <c r="P203" s="4" t="str" cm="1">
        <f t="array" ref="P203">_xlfn.IFS(EmployeesTable[[#This Row],[Succession Skills Readiness %]]="","",
     EmployeesTable[[#This Row],[Succession Skills Readiness %]]&lt;0.6,"Not Ready",
     EmployeesTable[[#This Row],[Succession Skills Readiness %]]&lt;0.8,"Developing",
     TRUE,"Ready")</f>
        <v/>
      </c>
      <c r="Q203" s="4" t="e" cm="1" vm="1">
        <f t="array" ref="Q203">_xlfn.TEXTJOIN(", ",TRUE,
  _xlfn._xlws.FILTER(JobCodeSkills!$G:$G,
    (JobCodeSkills!$B:$B=EmployeesTable[[#This Row],[Job Code]])*
    (JobCodeSkills!$K:$K="Required")
  )
)</f>
        <v>#VALUE!</v>
      </c>
      <c r="R203" s="4"/>
      <c r="S203" s="4"/>
      <c r="T203" s="4"/>
      <c r="U203" s="4"/>
      <c r="V203" s="4" t="str" cm="1">
        <f t="array" ref="V203">IF(EmployeesTable[[#This Row],[Additional Executive Role]]="","",
  _xlfn.TEXTJOIN(", ",TRUE,
    _xlfn._xlws.FILTER(ExecRoleSkills!$B:$B,
      ExecRoleSkills!$A:$A=EmployeesTable[[#This Row],[Additional Executive Role]]
    )
  )
)</f>
        <v/>
      </c>
    </row>
    <row r="204" spans="1:22" ht="30" x14ac:dyDescent="0.25">
      <c r="A204" s="19" t="s">
        <v>91</v>
      </c>
      <c r="B204" s="9">
        <v>20202</v>
      </c>
      <c r="C204" s="3" t="s">
        <v>92</v>
      </c>
      <c r="D204" s="9"/>
      <c r="E204" s="15">
        <v>44943</v>
      </c>
      <c r="F204" s="3" t="s">
        <v>93</v>
      </c>
      <c r="G204" s="3" t="s">
        <v>87</v>
      </c>
      <c r="H204" s="3" t="s">
        <v>12</v>
      </c>
      <c r="I204" s="10" t="s">
        <v>713</v>
      </c>
      <c r="J204" s="4"/>
      <c r="K204" s="4"/>
      <c r="L204" s="4"/>
      <c r="M204" s="4">
        <f>COUNTIFS(JobCodeSkills!$B:$B, EmployeesTable[[#This Row],[Succession Plan Job Code]],
          JobCodeSkills!$K:$K, "Required")</f>
        <v>0</v>
      </c>
      <c r="N204" s="4">
        <f>COUNTIFS(EmployeeSkills!$A:$A, EmployeesTable[[#This Row],[User Name]],
          EmployeeSkills!$B:$B, EmployeesTable[[#This Row],[Succession Plan Job Code]],
          EmployeeSkills!$D:$D, "Competent")</f>
        <v>0</v>
      </c>
      <c r="O204" s="4" t="str">
        <f>IF(EmployeesTable[[#This Row],[Succession Skills Ready – Required Total]]=0,"",
   EmployeesTable[[#This Row],[Succession Skills Ready – Required Met]]/EmployeesTable[[#This Row],[Succession Skills Ready – Required Total]])</f>
        <v/>
      </c>
      <c r="P204" s="4" t="str" cm="1">
        <f t="array" ref="P204">_xlfn.IFS(EmployeesTable[[#This Row],[Succession Skills Readiness %]]="","",
     EmployeesTable[[#This Row],[Succession Skills Readiness %]]&lt;0.6,"Not Ready",
     EmployeesTable[[#This Row],[Succession Skills Readiness %]]&lt;0.8,"Developing",
     TRUE,"Ready")</f>
        <v/>
      </c>
      <c r="Q204" s="4" t="e" cm="1" vm="1">
        <f t="array" ref="Q204">_xlfn.TEXTJOIN(", ",TRUE,
  _xlfn._xlws.FILTER(JobCodeSkills!$G:$G,
    (JobCodeSkills!$B:$B=EmployeesTable[[#This Row],[Job Code]])*
    (JobCodeSkills!$K:$K="Required")
  )
)</f>
        <v>#VALUE!</v>
      </c>
      <c r="R204" s="4"/>
      <c r="S204" s="4"/>
      <c r="T204" s="4"/>
      <c r="U204" s="4"/>
      <c r="V204" s="4" t="str" cm="1">
        <f t="array" ref="V204">IF(EmployeesTable[[#This Row],[Additional Executive Role]]="","",
  _xlfn.TEXTJOIN(", ",TRUE,
    _xlfn._xlws.FILTER(ExecRoleSkills!$B:$B,
      ExecRoleSkills!$A:$A=EmployeesTable[[#This Row],[Additional Executive Role]]
    )
  )
)</f>
        <v/>
      </c>
    </row>
    <row r="205" spans="1:22" ht="30" x14ac:dyDescent="0.25">
      <c r="A205" s="19" t="s">
        <v>311</v>
      </c>
      <c r="B205" s="9">
        <v>10705</v>
      </c>
      <c r="C205" s="3" t="s">
        <v>136</v>
      </c>
      <c r="D205" s="9"/>
      <c r="E205" s="15">
        <v>43682</v>
      </c>
      <c r="F205" s="3" t="s">
        <v>312</v>
      </c>
      <c r="G205" s="3" t="s">
        <v>129</v>
      </c>
      <c r="H205" s="3" t="s">
        <v>12</v>
      </c>
      <c r="I205" s="10" t="s">
        <v>712</v>
      </c>
      <c r="J205" s="4"/>
      <c r="K205" s="4"/>
      <c r="L205" s="4"/>
      <c r="M205" s="4">
        <f>COUNTIFS(JobCodeSkills!$B:$B, EmployeesTable[[#This Row],[Succession Plan Job Code]],
          JobCodeSkills!$K:$K, "Required")</f>
        <v>0</v>
      </c>
      <c r="N205" s="4">
        <f>COUNTIFS(EmployeeSkills!$A:$A, EmployeesTable[[#This Row],[User Name]],
          EmployeeSkills!$B:$B, EmployeesTable[[#This Row],[Succession Plan Job Code]],
          EmployeeSkills!$D:$D, "Competent")</f>
        <v>0</v>
      </c>
      <c r="O205" s="4" t="str">
        <f>IF(EmployeesTable[[#This Row],[Succession Skills Ready – Required Total]]=0,"",
   EmployeesTable[[#This Row],[Succession Skills Ready – Required Met]]/EmployeesTable[[#This Row],[Succession Skills Ready – Required Total]])</f>
        <v/>
      </c>
      <c r="P205" s="4" t="str" cm="1">
        <f t="array" ref="P205">_xlfn.IFS(EmployeesTable[[#This Row],[Succession Skills Readiness %]]="","",
     EmployeesTable[[#This Row],[Succession Skills Readiness %]]&lt;0.6,"Not Ready",
     EmployeesTable[[#This Row],[Succession Skills Readiness %]]&lt;0.8,"Developing",
     TRUE,"Ready")</f>
        <v/>
      </c>
      <c r="Q205" s="4" t="e" cm="1" vm="1">
        <f t="array" ref="Q205">_xlfn.TEXTJOIN(", ",TRUE,
  _xlfn._xlws.FILTER(JobCodeSkills!$G:$G,
    (JobCodeSkills!$B:$B=EmployeesTable[[#This Row],[Job Code]])*
    (JobCodeSkills!$K:$K="Required")
  )
)</f>
        <v>#VALUE!</v>
      </c>
      <c r="R205" s="4"/>
      <c r="S205" s="4"/>
      <c r="T205" s="4"/>
      <c r="U205" s="4"/>
      <c r="V205" s="4" t="str" cm="1">
        <f t="array" ref="V205">IF(EmployeesTable[[#This Row],[Additional Executive Role]]="","",
  _xlfn.TEXTJOIN(", ",TRUE,
    _xlfn._xlws.FILTER(ExecRoleSkills!$B:$B,
      ExecRoleSkills!$A:$A=EmployeesTable[[#This Row],[Additional Executive Role]]
    )
  )
)</f>
        <v/>
      </c>
    </row>
    <row r="206" spans="1:22" ht="30" x14ac:dyDescent="0.25">
      <c r="A206" s="19" t="s">
        <v>602</v>
      </c>
      <c r="B206" s="9">
        <v>10301</v>
      </c>
      <c r="C206" s="3" t="s">
        <v>222</v>
      </c>
      <c r="D206" s="9"/>
      <c r="E206" s="15">
        <v>36003</v>
      </c>
      <c r="F206" s="3" t="s">
        <v>603</v>
      </c>
      <c r="G206" s="3" t="s">
        <v>454</v>
      </c>
      <c r="H206" s="3" t="s">
        <v>12</v>
      </c>
      <c r="I206" s="9" t="s">
        <v>13</v>
      </c>
      <c r="J206" s="4"/>
      <c r="K206" s="4"/>
      <c r="L206" s="4"/>
      <c r="M206" s="4">
        <f>COUNTIFS(JobCodeSkills!$B:$B, EmployeesTable[[#This Row],[Succession Plan Job Code]],
          JobCodeSkills!$K:$K, "Required")</f>
        <v>0</v>
      </c>
      <c r="N206" s="4">
        <f>COUNTIFS(EmployeeSkills!$A:$A, EmployeesTable[[#This Row],[User Name]],
          EmployeeSkills!$B:$B, EmployeesTable[[#This Row],[Succession Plan Job Code]],
          EmployeeSkills!$D:$D, "Competent")</f>
        <v>0</v>
      </c>
      <c r="O206" s="4" t="str">
        <f>IF(EmployeesTable[[#This Row],[Succession Skills Ready – Required Total]]=0,"",
   EmployeesTable[[#This Row],[Succession Skills Ready – Required Met]]/EmployeesTable[[#This Row],[Succession Skills Ready – Required Total]])</f>
        <v/>
      </c>
      <c r="P206" s="4" t="str" cm="1">
        <f t="array" ref="P206">_xlfn.IFS(EmployeesTable[[#This Row],[Succession Skills Readiness %]]="","",
     EmployeesTable[[#This Row],[Succession Skills Readiness %]]&lt;0.6,"Not Ready",
     EmployeesTable[[#This Row],[Succession Skills Readiness %]]&lt;0.8,"Developing",
     TRUE,"Ready")</f>
        <v/>
      </c>
      <c r="Q206" s="4" t="e" cm="1" vm="1">
        <f t="array" ref="Q206">_xlfn.TEXTJOIN(", ",TRUE,
  _xlfn._xlws.FILTER(JobCodeSkills!$G:$G,
    (JobCodeSkills!$B:$B=EmployeesTable[[#This Row],[Job Code]])*
    (JobCodeSkills!$K:$K="Required")
  )
)</f>
        <v>#VALUE!</v>
      </c>
      <c r="R206" s="4"/>
      <c r="S206" s="4"/>
      <c r="T206" s="4"/>
      <c r="U206" s="4"/>
      <c r="V206" s="4" t="str" cm="1">
        <f t="array" ref="V206">IF(EmployeesTable[[#This Row],[Additional Executive Role]]="","",
  _xlfn.TEXTJOIN(", ",TRUE,
    _xlfn._xlws.FILTER(ExecRoleSkills!$B:$B,
      ExecRoleSkills!$A:$A=EmployeesTable[[#This Row],[Additional Executive Role]]
    )
  )
)</f>
        <v/>
      </c>
    </row>
    <row r="207" spans="1:22" ht="30" x14ac:dyDescent="0.25">
      <c r="A207" s="19" t="s">
        <v>313</v>
      </c>
      <c r="B207" s="9">
        <v>10501</v>
      </c>
      <c r="C207" s="3" t="s">
        <v>156</v>
      </c>
      <c r="D207" s="9"/>
      <c r="E207" s="15">
        <v>39071</v>
      </c>
      <c r="F207" s="3" t="s">
        <v>314</v>
      </c>
      <c r="G207" s="3" t="s">
        <v>129</v>
      </c>
      <c r="H207" s="3" t="s">
        <v>12</v>
      </c>
      <c r="I207" s="10" t="s">
        <v>712</v>
      </c>
      <c r="J207" s="4"/>
      <c r="K207" s="4"/>
      <c r="L207" s="4"/>
      <c r="M207" s="4">
        <f>COUNTIFS(JobCodeSkills!$B:$B, EmployeesTable[[#This Row],[Succession Plan Job Code]],
          JobCodeSkills!$K:$K, "Required")</f>
        <v>0</v>
      </c>
      <c r="N207" s="4">
        <f>COUNTIFS(EmployeeSkills!$A:$A, EmployeesTable[[#This Row],[User Name]],
          EmployeeSkills!$B:$B, EmployeesTable[[#This Row],[Succession Plan Job Code]],
          EmployeeSkills!$D:$D, "Competent")</f>
        <v>0</v>
      </c>
      <c r="O207" s="4" t="str">
        <f>IF(EmployeesTable[[#This Row],[Succession Skills Ready – Required Total]]=0,"",
   EmployeesTable[[#This Row],[Succession Skills Ready – Required Met]]/EmployeesTable[[#This Row],[Succession Skills Ready – Required Total]])</f>
        <v/>
      </c>
      <c r="P207" s="4" t="str" cm="1">
        <f t="array" ref="P207">_xlfn.IFS(EmployeesTable[[#This Row],[Succession Skills Readiness %]]="","",
     EmployeesTable[[#This Row],[Succession Skills Readiness %]]&lt;0.6,"Not Ready",
     EmployeesTable[[#This Row],[Succession Skills Readiness %]]&lt;0.8,"Developing",
     TRUE,"Ready")</f>
        <v/>
      </c>
      <c r="Q207" s="4" t="e" cm="1" vm="1">
        <f t="array" ref="Q207">_xlfn.TEXTJOIN(", ",TRUE,
  _xlfn._xlws.FILTER(JobCodeSkills!$G:$G,
    (JobCodeSkills!$B:$B=EmployeesTable[[#This Row],[Job Code]])*
    (JobCodeSkills!$K:$K="Required")
  )
)</f>
        <v>#VALUE!</v>
      </c>
      <c r="R207" s="4"/>
      <c r="S207" s="4"/>
      <c r="T207" s="4"/>
      <c r="U207" s="4"/>
      <c r="V207" s="4" t="str" cm="1">
        <f t="array" ref="V207">IF(EmployeesTable[[#This Row],[Additional Executive Role]]="","",
  _xlfn.TEXTJOIN(", ",TRUE,
    _xlfn._xlws.FILTER(ExecRoleSkills!$B:$B,
      ExecRoleSkills!$A:$A=EmployeesTable[[#This Row],[Additional Executive Role]]
    )
  )
)</f>
        <v/>
      </c>
    </row>
    <row r="208" spans="1:22" ht="30" x14ac:dyDescent="0.25">
      <c r="A208" s="19" t="s">
        <v>604</v>
      </c>
      <c r="B208" s="9">
        <v>10802</v>
      </c>
      <c r="C208" s="3" t="s">
        <v>141</v>
      </c>
      <c r="D208" s="9"/>
      <c r="E208" s="15">
        <v>45482</v>
      </c>
      <c r="F208" s="3" t="s">
        <v>605</v>
      </c>
      <c r="G208" s="3" t="s">
        <v>454</v>
      </c>
      <c r="H208" s="3" t="s">
        <v>12</v>
      </c>
      <c r="I208" s="9" t="s">
        <v>13</v>
      </c>
      <c r="J208" s="4"/>
      <c r="K208" s="4"/>
      <c r="L208" s="4"/>
      <c r="M208" s="4">
        <f>COUNTIFS(JobCodeSkills!$B:$B, EmployeesTable[[#This Row],[Succession Plan Job Code]],
          JobCodeSkills!$K:$K, "Required")</f>
        <v>0</v>
      </c>
      <c r="N208" s="4">
        <f>COUNTIFS(EmployeeSkills!$A:$A, EmployeesTable[[#This Row],[User Name]],
          EmployeeSkills!$B:$B, EmployeesTable[[#This Row],[Succession Plan Job Code]],
          EmployeeSkills!$D:$D, "Competent")</f>
        <v>0</v>
      </c>
      <c r="O208" s="4" t="str">
        <f>IF(EmployeesTable[[#This Row],[Succession Skills Ready – Required Total]]=0,"",
   EmployeesTable[[#This Row],[Succession Skills Ready – Required Met]]/EmployeesTable[[#This Row],[Succession Skills Ready – Required Total]])</f>
        <v/>
      </c>
      <c r="P208" s="4" t="str" cm="1">
        <f t="array" ref="P208">_xlfn.IFS(EmployeesTable[[#This Row],[Succession Skills Readiness %]]="","",
     EmployeesTable[[#This Row],[Succession Skills Readiness %]]&lt;0.6,"Not Ready",
     EmployeesTable[[#This Row],[Succession Skills Readiness %]]&lt;0.8,"Developing",
     TRUE,"Ready")</f>
        <v/>
      </c>
      <c r="Q208" s="4" t="e" cm="1" vm="1">
        <f t="array" ref="Q208">_xlfn.TEXTJOIN(", ",TRUE,
  _xlfn._xlws.FILTER(JobCodeSkills!$G:$G,
    (JobCodeSkills!$B:$B=EmployeesTable[[#This Row],[Job Code]])*
    (JobCodeSkills!$K:$K="Required")
  )
)</f>
        <v>#VALUE!</v>
      </c>
      <c r="R208" s="4"/>
      <c r="S208" s="4"/>
      <c r="T208" s="4"/>
      <c r="U208" s="4"/>
      <c r="V208" s="4" t="str" cm="1">
        <f t="array" ref="V208">IF(EmployeesTable[[#This Row],[Additional Executive Role]]="","",
  _xlfn.TEXTJOIN(", ",TRUE,
    _xlfn._xlws.FILTER(ExecRoleSkills!$B:$B,
      ExecRoleSkills!$A:$A=EmployeesTable[[#This Row],[Additional Executive Role]]
    )
  )
)</f>
        <v/>
      </c>
    </row>
    <row r="209" spans="1:22" ht="30" x14ac:dyDescent="0.25">
      <c r="A209" s="19" t="s">
        <v>419</v>
      </c>
      <c r="B209" s="9">
        <v>3100</v>
      </c>
      <c r="C209" s="3" t="s">
        <v>420</v>
      </c>
      <c r="D209" s="9"/>
      <c r="E209" s="15">
        <v>40963</v>
      </c>
      <c r="F209" s="3" t="s">
        <v>421</v>
      </c>
      <c r="G209" s="3" t="s">
        <v>405</v>
      </c>
      <c r="H209" s="3" t="s">
        <v>12</v>
      </c>
      <c r="I209" s="9" t="s">
        <v>711</v>
      </c>
      <c r="J209" s="4"/>
      <c r="K209" s="4"/>
      <c r="L209" s="4"/>
      <c r="M209" s="4">
        <f>COUNTIFS(JobCodeSkills!$B:$B, EmployeesTable[[#This Row],[Succession Plan Job Code]],
          JobCodeSkills!$K:$K, "Required")</f>
        <v>0</v>
      </c>
      <c r="N209" s="4">
        <f>COUNTIFS(EmployeeSkills!$A:$A, EmployeesTable[[#This Row],[User Name]],
          EmployeeSkills!$B:$B, EmployeesTable[[#This Row],[Succession Plan Job Code]],
          EmployeeSkills!$D:$D, "Competent")</f>
        <v>0</v>
      </c>
      <c r="O209" s="4" t="str">
        <f>IF(EmployeesTable[[#This Row],[Succession Skills Ready – Required Total]]=0,"",
   EmployeesTable[[#This Row],[Succession Skills Ready – Required Met]]/EmployeesTable[[#This Row],[Succession Skills Ready – Required Total]])</f>
        <v/>
      </c>
      <c r="P209" s="4" t="str" cm="1">
        <f t="array" ref="P209">_xlfn.IFS(EmployeesTable[[#This Row],[Succession Skills Readiness %]]="","",
     EmployeesTable[[#This Row],[Succession Skills Readiness %]]&lt;0.6,"Not Ready",
     EmployeesTable[[#This Row],[Succession Skills Readiness %]]&lt;0.8,"Developing",
     TRUE,"Ready")</f>
        <v/>
      </c>
      <c r="Q209" s="4" t="e" cm="1" vm="1">
        <f t="array" ref="Q209">_xlfn.TEXTJOIN(", ",TRUE,
  _xlfn._xlws.FILTER(JobCodeSkills!$G:$G,
    (JobCodeSkills!$B:$B=EmployeesTable[[#This Row],[Job Code]])*
    (JobCodeSkills!$K:$K="Required")
  )
)</f>
        <v>#VALUE!</v>
      </c>
      <c r="R209" s="4"/>
      <c r="S209" s="4"/>
      <c r="T209" s="4"/>
      <c r="U209" s="4"/>
      <c r="V209" s="4" t="str" cm="1">
        <f t="array" ref="V209">IF(EmployeesTable[[#This Row],[Additional Executive Role]]="","",
  _xlfn.TEXTJOIN(", ",TRUE,
    _xlfn._xlws.FILTER(ExecRoleSkills!$B:$B,
      ExecRoleSkills!$A:$A=EmployeesTable[[#This Row],[Additional Executive Role]]
    )
  )
)</f>
        <v/>
      </c>
    </row>
    <row r="210" spans="1:22" ht="30" x14ac:dyDescent="0.25">
      <c r="A210" s="19" t="s">
        <v>697</v>
      </c>
      <c r="B210" s="9">
        <v>40100</v>
      </c>
      <c r="C210" s="3" t="s">
        <v>698</v>
      </c>
      <c r="D210" s="9"/>
      <c r="E210" s="15">
        <v>37151</v>
      </c>
      <c r="F210" s="3" t="s">
        <v>699</v>
      </c>
      <c r="G210" s="3" t="s">
        <v>687</v>
      </c>
      <c r="H210" s="3" t="s">
        <v>12</v>
      </c>
      <c r="I210" s="9" t="s">
        <v>712</v>
      </c>
      <c r="J210" s="4"/>
      <c r="K210" s="4"/>
      <c r="L210" s="4"/>
      <c r="M210" s="4">
        <f>COUNTIFS(JobCodeSkills!$B:$B, EmployeesTable[[#This Row],[Succession Plan Job Code]],
          JobCodeSkills!$K:$K, "Required")</f>
        <v>0</v>
      </c>
      <c r="N210" s="4">
        <f>COUNTIFS(EmployeeSkills!$A:$A, EmployeesTable[[#This Row],[User Name]],
          EmployeeSkills!$B:$B, EmployeesTable[[#This Row],[Succession Plan Job Code]],
          EmployeeSkills!$D:$D, "Competent")</f>
        <v>0</v>
      </c>
      <c r="O210" s="4" t="str">
        <f>IF(EmployeesTable[[#This Row],[Succession Skills Ready – Required Total]]=0,"",
   EmployeesTable[[#This Row],[Succession Skills Ready – Required Met]]/EmployeesTable[[#This Row],[Succession Skills Ready – Required Total]])</f>
        <v/>
      </c>
      <c r="P210" s="4" t="str" cm="1">
        <f t="array" ref="P210">_xlfn.IFS(EmployeesTable[[#This Row],[Succession Skills Readiness %]]="","",
     EmployeesTable[[#This Row],[Succession Skills Readiness %]]&lt;0.6,"Not Ready",
     EmployeesTable[[#This Row],[Succession Skills Readiness %]]&lt;0.8,"Developing",
     TRUE,"Ready")</f>
        <v/>
      </c>
      <c r="Q210" s="4" t="e" cm="1" vm="1">
        <f t="array" ref="Q210">_xlfn.TEXTJOIN(", ",TRUE,
  _xlfn._xlws.FILTER(JobCodeSkills!$G:$G,
    (JobCodeSkills!$B:$B=EmployeesTable[[#This Row],[Job Code]])*
    (JobCodeSkills!$K:$K="Required")
  )
)</f>
        <v>#VALUE!</v>
      </c>
      <c r="R210" s="4"/>
      <c r="S210" s="4"/>
      <c r="T210" s="4"/>
      <c r="U210" s="4"/>
      <c r="V210" s="4" t="str" cm="1">
        <f t="array" ref="V210">IF(EmployeesTable[[#This Row],[Additional Executive Role]]="","",
  _xlfn.TEXTJOIN(", ",TRUE,
    _xlfn._xlws.FILTER(ExecRoleSkills!$B:$B,
      ExecRoleSkills!$A:$A=EmployeesTable[[#This Row],[Additional Executive Role]]
    )
  )
)</f>
        <v/>
      </c>
    </row>
    <row r="211" spans="1:22" ht="30" x14ac:dyDescent="0.25">
      <c r="A211" s="19" t="s">
        <v>606</v>
      </c>
      <c r="B211" s="9">
        <v>10601</v>
      </c>
      <c r="C211" s="3" t="s">
        <v>219</v>
      </c>
      <c r="D211" s="9"/>
      <c r="E211" s="15">
        <v>45447</v>
      </c>
      <c r="F211" s="3" t="s">
        <v>607</v>
      </c>
      <c r="G211" s="3" t="s">
        <v>454</v>
      </c>
      <c r="H211" s="3" t="s">
        <v>12</v>
      </c>
      <c r="I211" s="9" t="s">
        <v>13</v>
      </c>
      <c r="J211" s="4"/>
      <c r="K211" s="4"/>
      <c r="L211" s="4"/>
      <c r="M211" s="4">
        <f>COUNTIFS(JobCodeSkills!$B:$B, EmployeesTable[[#This Row],[Succession Plan Job Code]],
          JobCodeSkills!$K:$K, "Required")</f>
        <v>0</v>
      </c>
      <c r="N211" s="4">
        <f>COUNTIFS(EmployeeSkills!$A:$A, EmployeesTable[[#This Row],[User Name]],
          EmployeeSkills!$B:$B, EmployeesTable[[#This Row],[Succession Plan Job Code]],
          EmployeeSkills!$D:$D, "Competent")</f>
        <v>0</v>
      </c>
      <c r="O211" s="4" t="str">
        <f>IF(EmployeesTable[[#This Row],[Succession Skills Ready – Required Total]]=0,"",
   EmployeesTable[[#This Row],[Succession Skills Ready – Required Met]]/EmployeesTable[[#This Row],[Succession Skills Ready – Required Total]])</f>
        <v/>
      </c>
      <c r="P211" s="4" t="str" cm="1">
        <f t="array" ref="P211">_xlfn.IFS(EmployeesTable[[#This Row],[Succession Skills Readiness %]]="","",
     EmployeesTable[[#This Row],[Succession Skills Readiness %]]&lt;0.6,"Not Ready",
     EmployeesTable[[#This Row],[Succession Skills Readiness %]]&lt;0.8,"Developing",
     TRUE,"Ready")</f>
        <v/>
      </c>
      <c r="Q211" s="4" t="e" cm="1" vm="1">
        <f t="array" ref="Q211">_xlfn.TEXTJOIN(", ",TRUE,
  _xlfn._xlws.FILTER(JobCodeSkills!$G:$G,
    (JobCodeSkills!$B:$B=EmployeesTable[[#This Row],[Job Code]])*
    (JobCodeSkills!$K:$K="Required")
  )
)</f>
        <v>#VALUE!</v>
      </c>
      <c r="R211" s="4"/>
      <c r="S211" s="4"/>
      <c r="T211" s="4"/>
      <c r="U211" s="4"/>
      <c r="V211" s="4" t="str" cm="1">
        <f t="array" ref="V211">IF(EmployeesTable[[#This Row],[Additional Executive Role]]="","",
  _xlfn.TEXTJOIN(", ",TRUE,
    _xlfn._xlws.FILTER(ExecRoleSkills!$B:$B,
      ExecRoleSkills!$A:$A=EmployeesTable[[#This Row],[Additional Executive Role]]
    )
  )
)</f>
        <v/>
      </c>
    </row>
    <row r="212" spans="1:22" ht="30" x14ac:dyDescent="0.25">
      <c r="A212" s="19" t="s">
        <v>94</v>
      </c>
      <c r="B212" s="9">
        <v>6104</v>
      </c>
      <c r="C212" s="3" t="s">
        <v>95</v>
      </c>
      <c r="D212" s="9"/>
      <c r="E212" s="15">
        <v>40399</v>
      </c>
      <c r="F212" s="3" t="s">
        <v>96</v>
      </c>
      <c r="G212" s="3" t="s">
        <v>97</v>
      </c>
      <c r="H212" s="3" t="s">
        <v>12</v>
      </c>
      <c r="I212" s="10" t="s">
        <v>712</v>
      </c>
      <c r="J212" s="4"/>
      <c r="K212" s="4"/>
      <c r="L212" s="4"/>
      <c r="M212" s="4">
        <f>COUNTIFS(JobCodeSkills!$B:$B, EmployeesTable[[#This Row],[Succession Plan Job Code]],
          JobCodeSkills!$K:$K, "Required")</f>
        <v>0</v>
      </c>
      <c r="N212" s="4">
        <f>COUNTIFS(EmployeeSkills!$A:$A, EmployeesTable[[#This Row],[User Name]],
          EmployeeSkills!$B:$B, EmployeesTable[[#This Row],[Succession Plan Job Code]],
          EmployeeSkills!$D:$D, "Competent")</f>
        <v>0</v>
      </c>
      <c r="O212" s="4" t="str">
        <f>IF(EmployeesTable[[#This Row],[Succession Skills Ready – Required Total]]=0,"",
   EmployeesTable[[#This Row],[Succession Skills Ready – Required Met]]/EmployeesTable[[#This Row],[Succession Skills Ready – Required Total]])</f>
        <v/>
      </c>
      <c r="P212" s="4" t="str" cm="1">
        <f t="array" ref="P212">_xlfn.IFS(EmployeesTable[[#This Row],[Succession Skills Readiness %]]="","",
     EmployeesTable[[#This Row],[Succession Skills Readiness %]]&lt;0.6,"Not Ready",
     EmployeesTable[[#This Row],[Succession Skills Readiness %]]&lt;0.8,"Developing",
     TRUE,"Ready")</f>
        <v/>
      </c>
      <c r="Q212" s="4" t="e" cm="1" vm="1">
        <f t="array" ref="Q212">_xlfn.TEXTJOIN(", ",TRUE,
  _xlfn._xlws.FILTER(JobCodeSkills!$G:$G,
    (JobCodeSkills!$B:$B=EmployeesTable[[#This Row],[Job Code]])*
    (JobCodeSkills!$K:$K="Required")
  )
)</f>
        <v>#VALUE!</v>
      </c>
      <c r="R212" s="4"/>
      <c r="S212" s="4"/>
      <c r="T212" s="4"/>
      <c r="U212" s="4"/>
      <c r="V212" s="4" t="str" cm="1">
        <f t="array" ref="V212">IF(EmployeesTable[[#This Row],[Additional Executive Role]]="","",
  _xlfn.TEXTJOIN(", ",TRUE,
    _xlfn._xlws.FILTER(ExecRoleSkills!$B:$B,
      ExecRoleSkills!$A:$A=EmployeesTable[[#This Row],[Additional Executive Role]]
    )
  )
)</f>
        <v/>
      </c>
    </row>
    <row r="213" spans="1:22" ht="30" x14ac:dyDescent="0.25">
      <c r="A213" s="19" t="s">
        <v>315</v>
      </c>
      <c r="B213" s="9">
        <v>10501</v>
      </c>
      <c r="C213" s="3" t="s">
        <v>156</v>
      </c>
      <c r="D213" s="9"/>
      <c r="E213" s="15">
        <v>45300</v>
      </c>
      <c r="F213" s="3" t="s">
        <v>316</v>
      </c>
      <c r="G213" s="3" t="s">
        <v>129</v>
      </c>
      <c r="H213" s="3" t="s">
        <v>12</v>
      </c>
      <c r="I213" s="10" t="s">
        <v>712</v>
      </c>
      <c r="J213" s="4"/>
      <c r="K213" s="4"/>
      <c r="L213" s="4"/>
      <c r="M213" s="4">
        <f>COUNTIFS(JobCodeSkills!$B:$B, EmployeesTable[[#This Row],[Succession Plan Job Code]],
          JobCodeSkills!$K:$K, "Required")</f>
        <v>0</v>
      </c>
      <c r="N213" s="4">
        <f>COUNTIFS(EmployeeSkills!$A:$A, EmployeesTable[[#This Row],[User Name]],
          EmployeeSkills!$B:$B, EmployeesTable[[#This Row],[Succession Plan Job Code]],
          EmployeeSkills!$D:$D, "Competent")</f>
        <v>0</v>
      </c>
      <c r="O213" s="4" t="str">
        <f>IF(EmployeesTable[[#This Row],[Succession Skills Ready – Required Total]]=0,"",
   EmployeesTable[[#This Row],[Succession Skills Ready – Required Met]]/EmployeesTable[[#This Row],[Succession Skills Ready – Required Total]])</f>
        <v/>
      </c>
      <c r="P213" s="4" t="str" cm="1">
        <f t="array" ref="P213">_xlfn.IFS(EmployeesTable[[#This Row],[Succession Skills Readiness %]]="","",
     EmployeesTable[[#This Row],[Succession Skills Readiness %]]&lt;0.6,"Not Ready",
     EmployeesTable[[#This Row],[Succession Skills Readiness %]]&lt;0.8,"Developing",
     TRUE,"Ready")</f>
        <v/>
      </c>
      <c r="Q213" s="4" t="e" cm="1" vm="1">
        <f t="array" ref="Q213">_xlfn.TEXTJOIN(", ",TRUE,
  _xlfn._xlws.FILTER(JobCodeSkills!$G:$G,
    (JobCodeSkills!$B:$B=EmployeesTable[[#This Row],[Job Code]])*
    (JobCodeSkills!$K:$K="Required")
  )
)</f>
        <v>#VALUE!</v>
      </c>
      <c r="R213" s="4"/>
      <c r="S213" s="4"/>
      <c r="T213" s="4"/>
      <c r="U213" s="4"/>
      <c r="V213" s="4" t="str" cm="1">
        <f t="array" ref="V213">IF(EmployeesTable[[#This Row],[Additional Executive Role]]="","",
  _xlfn.TEXTJOIN(", ",TRUE,
    _xlfn._xlws.FILTER(ExecRoleSkills!$B:$B,
      ExecRoleSkills!$A:$A=EmployeesTable[[#This Row],[Additional Executive Role]]
    )
  )
)</f>
        <v/>
      </c>
    </row>
    <row r="214" spans="1:22" ht="30" x14ac:dyDescent="0.25">
      <c r="A214" s="19" t="s">
        <v>608</v>
      </c>
      <c r="B214" s="9">
        <v>10803</v>
      </c>
      <c r="C214" s="3" t="s">
        <v>272</v>
      </c>
      <c r="D214" s="9"/>
      <c r="E214" s="15">
        <v>45272</v>
      </c>
      <c r="F214" s="3" t="s">
        <v>609</v>
      </c>
      <c r="G214" s="3" t="s">
        <v>454</v>
      </c>
      <c r="H214" s="3" t="s">
        <v>12</v>
      </c>
      <c r="I214" s="9" t="s">
        <v>13</v>
      </c>
      <c r="J214" s="4"/>
      <c r="K214" s="4"/>
      <c r="L214" s="4"/>
      <c r="M214" s="4">
        <f>COUNTIFS(JobCodeSkills!$B:$B, EmployeesTable[[#This Row],[Succession Plan Job Code]],
          JobCodeSkills!$K:$K, "Required")</f>
        <v>0</v>
      </c>
      <c r="N214" s="4">
        <f>COUNTIFS(EmployeeSkills!$A:$A, EmployeesTable[[#This Row],[User Name]],
          EmployeeSkills!$B:$B, EmployeesTable[[#This Row],[Succession Plan Job Code]],
          EmployeeSkills!$D:$D, "Competent")</f>
        <v>0</v>
      </c>
      <c r="O214" s="4" t="str">
        <f>IF(EmployeesTable[[#This Row],[Succession Skills Ready – Required Total]]=0,"",
   EmployeesTable[[#This Row],[Succession Skills Ready – Required Met]]/EmployeesTable[[#This Row],[Succession Skills Ready – Required Total]])</f>
        <v/>
      </c>
      <c r="P214" s="4" t="str" cm="1">
        <f t="array" ref="P214">_xlfn.IFS(EmployeesTable[[#This Row],[Succession Skills Readiness %]]="","",
     EmployeesTable[[#This Row],[Succession Skills Readiness %]]&lt;0.6,"Not Ready",
     EmployeesTable[[#This Row],[Succession Skills Readiness %]]&lt;0.8,"Developing",
     TRUE,"Ready")</f>
        <v/>
      </c>
      <c r="Q214" s="4" t="e" cm="1" vm="1">
        <f t="array" ref="Q214">_xlfn.TEXTJOIN(", ",TRUE,
  _xlfn._xlws.FILTER(JobCodeSkills!$G:$G,
    (JobCodeSkills!$B:$B=EmployeesTable[[#This Row],[Job Code]])*
    (JobCodeSkills!$K:$K="Required")
  )
)</f>
        <v>#VALUE!</v>
      </c>
      <c r="R214" s="4"/>
      <c r="S214" s="4"/>
      <c r="T214" s="4"/>
      <c r="U214" s="4"/>
      <c r="V214" s="4" t="str" cm="1">
        <f t="array" ref="V214">IF(EmployeesTable[[#This Row],[Additional Executive Role]]="","",
  _xlfn.TEXTJOIN(", ",TRUE,
    _xlfn._xlws.FILTER(ExecRoleSkills!$B:$B,
      ExecRoleSkills!$A:$A=EmployeesTable[[#This Row],[Additional Executive Role]]
    )
  )
)</f>
        <v/>
      </c>
    </row>
    <row r="215" spans="1:22" ht="30" x14ac:dyDescent="0.25">
      <c r="A215" s="19" t="s">
        <v>610</v>
      </c>
      <c r="B215" s="9">
        <v>10503</v>
      </c>
      <c r="C215" s="3" t="s">
        <v>164</v>
      </c>
      <c r="D215" s="9"/>
      <c r="E215" s="15">
        <v>43223</v>
      </c>
      <c r="F215" s="3" t="s">
        <v>611</v>
      </c>
      <c r="G215" s="3" t="s">
        <v>454</v>
      </c>
      <c r="H215" s="3" t="s">
        <v>12</v>
      </c>
      <c r="I215" s="9" t="s">
        <v>13</v>
      </c>
      <c r="J215" s="4"/>
      <c r="K215" s="4"/>
      <c r="L215" s="4"/>
      <c r="M215" s="4">
        <f>COUNTIFS(JobCodeSkills!$B:$B, EmployeesTable[[#This Row],[Succession Plan Job Code]],
          JobCodeSkills!$K:$K, "Required")</f>
        <v>0</v>
      </c>
      <c r="N215" s="4">
        <f>COUNTIFS(EmployeeSkills!$A:$A, EmployeesTable[[#This Row],[User Name]],
          EmployeeSkills!$B:$B, EmployeesTable[[#This Row],[Succession Plan Job Code]],
          EmployeeSkills!$D:$D, "Competent")</f>
        <v>0</v>
      </c>
      <c r="O215" s="4" t="str">
        <f>IF(EmployeesTable[[#This Row],[Succession Skills Ready – Required Total]]=0,"",
   EmployeesTable[[#This Row],[Succession Skills Ready – Required Met]]/EmployeesTable[[#This Row],[Succession Skills Ready – Required Total]])</f>
        <v/>
      </c>
      <c r="P215" s="4" t="str" cm="1">
        <f t="array" ref="P215">_xlfn.IFS(EmployeesTable[[#This Row],[Succession Skills Readiness %]]="","",
     EmployeesTable[[#This Row],[Succession Skills Readiness %]]&lt;0.6,"Not Ready",
     EmployeesTable[[#This Row],[Succession Skills Readiness %]]&lt;0.8,"Developing",
     TRUE,"Ready")</f>
        <v/>
      </c>
      <c r="Q215" s="4" t="e" cm="1" vm="1">
        <f t="array" ref="Q215">_xlfn.TEXTJOIN(", ",TRUE,
  _xlfn._xlws.FILTER(JobCodeSkills!$G:$G,
    (JobCodeSkills!$B:$B=EmployeesTable[[#This Row],[Job Code]])*
    (JobCodeSkills!$K:$K="Required")
  )
)</f>
        <v>#VALUE!</v>
      </c>
      <c r="R215" s="4"/>
      <c r="S215" s="4"/>
      <c r="T215" s="4"/>
      <c r="U215" s="4"/>
      <c r="V215" s="4" t="str" cm="1">
        <f t="array" ref="V215">IF(EmployeesTable[[#This Row],[Additional Executive Role]]="","",
  _xlfn.TEXTJOIN(", ",TRUE,
    _xlfn._xlws.FILTER(ExecRoleSkills!$B:$B,
      ExecRoleSkills!$A:$A=EmployeesTable[[#This Row],[Additional Executive Role]]
    )
  )
)</f>
        <v/>
      </c>
    </row>
    <row r="216" spans="1:22" ht="30" x14ac:dyDescent="0.25">
      <c r="A216" s="19" t="s">
        <v>317</v>
      </c>
      <c r="B216" s="9">
        <v>10814</v>
      </c>
      <c r="C216" s="3" t="s">
        <v>127</v>
      </c>
      <c r="D216" s="9"/>
      <c r="E216" s="15">
        <v>44375</v>
      </c>
      <c r="F216" s="3" t="s">
        <v>318</v>
      </c>
      <c r="G216" s="3" t="s">
        <v>129</v>
      </c>
      <c r="H216" s="3" t="s">
        <v>12</v>
      </c>
      <c r="I216" s="10" t="s">
        <v>712</v>
      </c>
      <c r="J216" s="4"/>
      <c r="K216" s="4"/>
      <c r="L216" s="4"/>
      <c r="M216" s="4">
        <f>COUNTIFS(JobCodeSkills!$B:$B, EmployeesTable[[#This Row],[Succession Plan Job Code]],
          JobCodeSkills!$K:$K, "Required")</f>
        <v>0</v>
      </c>
      <c r="N216" s="4">
        <f>COUNTIFS(EmployeeSkills!$A:$A, EmployeesTable[[#This Row],[User Name]],
          EmployeeSkills!$B:$B, EmployeesTable[[#This Row],[Succession Plan Job Code]],
          EmployeeSkills!$D:$D, "Competent")</f>
        <v>0</v>
      </c>
      <c r="O216" s="4" t="str">
        <f>IF(EmployeesTable[[#This Row],[Succession Skills Ready – Required Total]]=0,"",
   EmployeesTable[[#This Row],[Succession Skills Ready – Required Met]]/EmployeesTable[[#This Row],[Succession Skills Ready – Required Total]])</f>
        <v/>
      </c>
      <c r="P216" s="4" t="str" cm="1">
        <f t="array" ref="P216">_xlfn.IFS(EmployeesTable[[#This Row],[Succession Skills Readiness %]]="","",
     EmployeesTable[[#This Row],[Succession Skills Readiness %]]&lt;0.6,"Not Ready",
     EmployeesTable[[#This Row],[Succession Skills Readiness %]]&lt;0.8,"Developing",
     TRUE,"Ready")</f>
        <v/>
      </c>
      <c r="Q216" s="4" t="e" cm="1" vm="1">
        <f t="array" ref="Q216">_xlfn.TEXTJOIN(", ",TRUE,
  _xlfn._xlws.FILTER(JobCodeSkills!$G:$G,
    (JobCodeSkills!$B:$B=EmployeesTable[[#This Row],[Job Code]])*
    (JobCodeSkills!$K:$K="Required")
  )
)</f>
        <v>#VALUE!</v>
      </c>
      <c r="R216" s="4"/>
      <c r="S216" s="4"/>
      <c r="T216" s="4"/>
      <c r="U216" s="4"/>
      <c r="V216" s="4" t="str" cm="1">
        <f t="array" ref="V216">IF(EmployeesTable[[#This Row],[Additional Executive Role]]="","",
  _xlfn.TEXTJOIN(", ",TRUE,
    _xlfn._xlws.FILTER(ExecRoleSkills!$B:$B,
      ExecRoleSkills!$A:$A=EmployeesTable[[#This Row],[Additional Executive Role]]
    )
  )
)</f>
        <v/>
      </c>
    </row>
    <row r="217" spans="1:22" ht="30" x14ac:dyDescent="0.25">
      <c r="A217" s="19" t="s">
        <v>612</v>
      </c>
      <c r="B217" s="9">
        <v>10301</v>
      </c>
      <c r="C217" s="3" t="s">
        <v>222</v>
      </c>
      <c r="D217" s="9"/>
      <c r="E217" s="15">
        <v>42405</v>
      </c>
      <c r="F217" s="3" t="s">
        <v>613</v>
      </c>
      <c r="G217" s="3" t="s">
        <v>454</v>
      </c>
      <c r="H217" s="3" t="s">
        <v>12</v>
      </c>
      <c r="I217" s="9" t="s">
        <v>13</v>
      </c>
      <c r="J217" s="4"/>
      <c r="K217" s="4"/>
      <c r="L217" s="4"/>
      <c r="M217" s="4">
        <f>COUNTIFS(JobCodeSkills!$B:$B, EmployeesTable[[#This Row],[Succession Plan Job Code]],
          JobCodeSkills!$K:$K, "Required")</f>
        <v>0</v>
      </c>
      <c r="N217" s="4">
        <f>COUNTIFS(EmployeeSkills!$A:$A, EmployeesTable[[#This Row],[User Name]],
          EmployeeSkills!$B:$B, EmployeesTable[[#This Row],[Succession Plan Job Code]],
          EmployeeSkills!$D:$D, "Competent")</f>
        <v>0</v>
      </c>
      <c r="O217" s="4" t="str">
        <f>IF(EmployeesTable[[#This Row],[Succession Skills Ready – Required Total]]=0,"",
   EmployeesTable[[#This Row],[Succession Skills Ready – Required Met]]/EmployeesTable[[#This Row],[Succession Skills Ready – Required Total]])</f>
        <v/>
      </c>
      <c r="P217" s="4" t="str" cm="1">
        <f t="array" ref="P217">_xlfn.IFS(EmployeesTable[[#This Row],[Succession Skills Readiness %]]="","",
     EmployeesTable[[#This Row],[Succession Skills Readiness %]]&lt;0.6,"Not Ready",
     EmployeesTable[[#This Row],[Succession Skills Readiness %]]&lt;0.8,"Developing",
     TRUE,"Ready")</f>
        <v/>
      </c>
      <c r="Q217" s="4" t="e" cm="1" vm="1">
        <f t="array" ref="Q217">_xlfn.TEXTJOIN(", ",TRUE,
  _xlfn._xlws.FILTER(JobCodeSkills!$G:$G,
    (JobCodeSkills!$B:$B=EmployeesTable[[#This Row],[Job Code]])*
    (JobCodeSkills!$K:$K="Required")
  )
)</f>
        <v>#VALUE!</v>
      </c>
      <c r="R217" s="4"/>
      <c r="S217" s="4"/>
      <c r="T217" s="4"/>
      <c r="U217" s="4"/>
      <c r="V217" s="4" t="str" cm="1">
        <f t="array" ref="V217">IF(EmployeesTable[[#This Row],[Additional Executive Role]]="","",
  _xlfn.TEXTJOIN(", ",TRUE,
    _xlfn._xlws.FILTER(ExecRoleSkills!$B:$B,
      ExecRoleSkills!$A:$A=EmployeesTable[[#This Row],[Additional Executive Role]]
    )
  )
)</f>
        <v/>
      </c>
    </row>
    <row r="218" spans="1:22" ht="30" x14ac:dyDescent="0.25">
      <c r="A218" s="19" t="s">
        <v>614</v>
      </c>
      <c r="B218" s="9">
        <v>10804</v>
      </c>
      <c r="C218" s="3" t="s">
        <v>167</v>
      </c>
      <c r="D218" s="9"/>
      <c r="E218" s="15">
        <v>44901</v>
      </c>
      <c r="F218" s="3" t="s">
        <v>615</v>
      </c>
      <c r="G218" s="3" t="s">
        <v>454</v>
      </c>
      <c r="H218" s="3" t="s">
        <v>12</v>
      </c>
      <c r="I218" s="9" t="s">
        <v>13</v>
      </c>
      <c r="J218" s="4"/>
      <c r="K218" s="4"/>
      <c r="L218" s="4"/>
      <c r="M218" s="4">
        <f>COUNTIFS(JobCodeSkills!$B:$B, EmployeesTable[[#This Row],[Succession Plan Job Code]],
          JobCodeSkills!$K:$K, "Required")</f>
        <v>0</v>
      </c>
      <c r="N218" s="4">
        <f>COUNTIFS(EmployeeSkills!$A:$A, EmployeesTable[[#This Row],[User Name]],
          EmployeeSkills!$B:$B, EmployeesTable[[#This Row],[Succession Plan Job Code]],
          EmployeeSkills!$D:$D, "Competent")</f>
        <v>0</v>
      </c>
      <c r="O218" s="4" t="str">
        <f>IF(EmployeesTable[[#This Row],[Succession Skills Ready – Required Total]]=0,"",
   EmployeesTable[[#This Row],[Succession Skills Ready – Required Met]]/EmployeesTable[[#This Row],[Succession Skills Ready – Required Total]])</f>
        <v/>
      </c>
      <c r="P218" s="4" t="str" cm="1">
        <f t="array" ref="P218">_xlfn.IFS(EmployeesTable[[#This Row],[Succession Skills Readiness %]]="","",
     EmployeesTable[[#This Row],[Succession Skills Readiness %]]&lt;0.6,"Not Ready",
     EmployeesTable[[#This Row],[Succession Skills Readiness %]]&lt;0.8,"Developing",
     TRUE,"Ready")</f>
        <v/>
      </c>
      <c r="Q218" s="4" t="e" cm="1" vm="1">
        <f t="array" ref="Q218">_xlfn.TEXTJOIN(", ",TRUE,
  _xlfn._xlws.FILTER(JobCodeSkills!$G:$G,
    (JobCodeSkills!$B:$B=EmployeesTable[[#This Row],[Job Code]])*
    (JobCodeSkills!$K:$K="Required")
  )
)</f>
        <v>#VALUE!</v>
      </c>
      <c r="R218" s="4"/>
      <c r="S218" s="4"/>
      <c r="T218" s="4"/>
      <c r="U218" s="4"/>
      <c r="V218" s="4" t="str" cm="1">
        <f t="array" ref="V218">IF(EmployeesTable[[#This Row],[Additional Executive Role]]="","",
  _xlfn.TEXTJOIN(", ",TRUE,
    _xlfn._xlws.FILTER(ExecRoleSkills!$B:$B,
      ExecRoleSkills!$A:$A=EmployeesTable[[#This Row],[Additional Executive Role]]
    )
  )
)</f>
        <v/>
      </c>
    </row>
    <row r="219" spans="1:22" ht="45" x14ac:dyDescent="0.25">
      <c r="A219" s="19" t="s">
        <v>43</v>
      </c>
      <c r="B219" s="9">
        <v>10203</v>
      </c>
      <c r="C219" s="3" t="s">
        <v>44</v>
      </c>
      <c r="D219" s="9"/>
      <c r="E219" s="15">
        <v>39535</v>
      </c>
      <c r="F219" s="3" t="s">
        <v>45</v>
      </c>
      <c r="G219" s="3" t="s">
        <v>20</v>
      </c>
      <c r="H219" s="3" t="s">
        <v>12</v>
      </c>
      <c r="I219" s="10" t="s">
        <v>13</v>
      </c>
      <c r="J219" s="4"/>
      <c r="K219" s="4"/>
      <c r="L219" s="4"/>
      <c r="M219" s="4">
        <f>COUNTIFS(JobCodeSkills!$B:$B, EmployeesTable[[#This Row],[Succession Plan Job Code]],
          JobCodeSkills!$K:$K, "Required")</f>
        <v>0</v>
      </c>
      <c r="N219" s="4">
        <f>COUNTIFS(EmployeeSkills!$A:$A, EmployeesTable[[#This Row],[User Name]],
          EmployeeSkills!$B:$B, EmployeesTable[[#This Row],[Succession Plan Job Code]],
          EmployeeSkills!$D:$D, "Competent")</f>
        <v>0</v>
      </c>
      <c r="O219" s="4" t="str">
        <f>IF(EmployeesTable[[#This Row],[Succession Skills Ready – Required Total]]=0,"",
   EmployeesTable[[#This Row],[Succession Skills Ready – Required Met]]/EmployeesTable[[#This Row],[Succession Skills Ready – Required Total]])</f>
        <v/>
      </c>
      <c r="P219" s="4" t="str" cm="1">
        <f t="array" ref="P219">_xlfn.IFS(EmployeesTable[[#This Row],[Succession Skills Readiness %]]="","",
     EmployeesTable[[#This Row],[Succession Skills Readiness %]]&lt;0.6,"Not Ready",
     EmployeesTable[[#This Row],[Succession Skills Readiness %]]&lt;0.8,"Developing",
     TRUE,"Ready")</f>
        <v/>
      </c>
      <c r="Q219" s="4" t="e" cm="1" vm="1">
        <f t="array" ref="Q219">_xlfn.TEXTJOIN(", ",TRUE,
  _xlfn._xlws.FILTER(JobCodeSkills!$G:$G,
    (JobCodeSkills!$B:$B=EmployeesTable[[#This Row],[Job Code]])*
    (JobCodeSkills!$K:$K="Required")
  )
)</f>
        <v>#VALUE!</v>
      </c>
      <c r="R219" s="4"/>
      <c r="S219" s="4"/>
      <c r="T219" s="4"/>
      <c r="U219" s="4"/>
      <c r="V219" s="4" t="str" cm="1">
        <f t="array" ref="V219">IF(EmployeesTable[[#This Row],[Additional Executive Role]]="","",
  _xlfn.TEXTJOIN(", ",TRUE,
    _xlfn._xlws.FILTER(ExecRoleSkills!$B:$B,
      ExecRoleSkills!$A:$A=EmployeesTable[[#This Row],[Additional Executive Role]]
    )
  )
)</f>
        <v/>
      </c>
    </row>
    <row r="220" spans="1:22" ht="30" x14ac:dyDescent="0.25">
      <c r="A220" s="19" t="s">
        <v>319</v>
      </c>
      <c r="B220" s="9">
        <v>10503</v>
      </c>
      <c r="C220" s="3" t="s">
        <v>164</v>
      </c>
      <c r="D220" s="9"/>
      <c r="E220" s="15">
        <v>45475</v>
      </c>
      <c r="F220" s="3" t="s">
        <v>320</v>
      </c>
      <c r="G220" s="3" t="s">
        <v>129</v>
      </c>
      <c r="H220" s="3" t="s">
        <v>12</v>
      </c>
      <c r="I220" s="10" t="s">
        <v>712</v>
      </c>
      <c r="J220" s="4"/>
      <c r="K220" s="4"/>
      <c r="L220" s="4"/>
      <c r="M220" s="4">
        <f>COUNTIFS(JobCodeSkills!$B:$B, EmployeesTable[[#This Row],[Succession Plan Job Code]],
          JobCodeSkills!$K:$K, "Required")</f>
        <v>0</v>
      </c>
      <c r="N220" s="4">
        <f>COUNTIFS(EmployeeSkills!$A:$A, EmployeesTable[[#This Row],[User Name]],
          EmployeeSkills!$B:$B, EmployeesTable[[#This Row],[Succession Plan Job Code]],
          EmployeeSkills!$D:$D, "Competent")</f>
        <v>0</v>
      </c>
      <c r="O220" s="4" t="str">
        <f>IF(EmployeesTable[[#This Row],[Succession Skills Ready – Required Total]]=0,"",
   EmployeesTable[[#This Row],[Succession Skills Ready – Required Met]]/EmployeesTable[[#This Row],[Succession Skills Ready – Required Total]])</f>
        <v/>
      </c>
      <c r="P220" s="4" t="str" cm="1">
        <f t="array" ref="P220">_xlfn.IFS(EmployeesTable[[#This Row],[Succession Skills Readiness %]]="","",
     EmployeesTable[[#This Row],[Succession Skills Readiness %]]&lt;0.6,"Not Ready",
     EmployeesTable[[#This Row],[Succession Skills Readiness %]]&lt;0.8,"Developing",
     TRUE,"Ready")</f>
        <v/>
      </c>
      <c r="Q220" s="4" t="e" cm="1" vm="1">
        <f t="array" ref="Q220">_xlfn.TEXTJOIN(", ",TRUE,
  _xlfn._xlws.FILTER(JobCodeSkills!$G:$G,
    (JobCodeSkills!$B:$B=EmployeesTable[[#This Row],[Job Code]])*
    (JobCodeSkills!$K:$K="Required")
  )
)</f>
        <v>#VALUE!</v>
      </c>
      <c r="R220" s="4"/>
      <c r="S220" s="4"/>
      <c r="T220" s="4"/>
      <c r="U220" s="4"/>
      <c r="V220" s="4" t="str" cm="1">
        <f t="array" ref="V220">IF(EmployeesTable[[#This Row],[Additional Executive Role]]="","",
  _xlfn.TEXTJOIN(", ",TRUE,
    _xlfn._xlws.FILTER(ExecRoleSkills!$B:$B,
      ExecRoleSkills!$A:$A=EmployeesTable[[#This Row],[Additional Executive Role]]
    )
  )
)</f>
        <v/>
      </c>
    </row>
    <row r="221" spans="1:22" ht="30" x14ac:dyDescent="0.25">
      <c r="A221" s="19" t="s">
        <v>321</v>
      </c>
      <c r="B221" s="9">
        <v>10802</v>
      </c>
      <c r="C221" s="3" t="s">
        <v>161</v>
      </c>
      <c r="D221" s="9"/>
      <c r="E221" s="15">
        <v>45503</v>
      </c>
      <c r="F221" s="3" t="s">
        <v>322</v>
      </c>
      <c r="G221" s="3" t="s">
        <v>129</v>
      </c>
      <c r="H221" s="3" t="s">
        <v>12</v>
      </c>
      <c r="I221" s="10" t="s">
        <v>712</v>
      </c>
      <c r="J221" s="4"/>
      <c r="K221" s="4"/>
      <c r="L221" s="4"/>
      <c r="M221" s="4">
        <f>COUNTIFS(JobCodeSkills!$B:$B, EmployeesTable[[#This Row],[Succession Plan Job Code]],
          JobCodeSkills!$K:$K, "Required")</f>
        <v>0</v>
      </c>
      <c r="N221" s="4">
        <f>COUNTIFS(EmployeeSkills!$A:$A, EmployeesTable[[#This Row],[User Name]],
          EmployeeSkills!$B:$B, EmployeesTable[[#This Row],[Succession Plan Job Code]],
          EmployeeSkills!$D:$D, "Competent")</f>
        <v>0</v>
      </c>
      <c r="O221" s="4" t="str">
        <f>IF(EmployeesTable[[#This Row],[Succession Skills Ready – Required Total]]=0,"",
   EmployeesTable[[#This Row],[Succession Skills Ready – Required Met]]/EmployeesTable[[#This Row],[Succession Skills Ready – Required Total]])</f>
        <v/>
      </c>
      <c r="P221" s="4" t="str" cm="1">
        <f t="array" ref="P221">_xlfn.IFS(EmployeesTable[[#This Row],[Succession Skills Readiness %]]="","",
     EmployeesTable[[#This Row],[Succession Skills Readiness %]]&lt;0.6,"Not Ready",
     EmployeesTable[[#This Row],[Succession Skills Readiness %]]&lt;0.8,"Developing",
     TRUE,"Ready")</f>
        <v/>
      </c>
      <c r="Q221" s="4" t="e" cm="1" vm="1">
        <f t="array" ref="Q221">_xlfn.TEXTJOIN(", ",TRUE,
  _xlfn._xlws.FILTER(JobCodeSkills!$G:$G,
    (JobCodeSkills!$B:$B=EmployeesTable[[#This Row],[Job Code]])*
    (JobCodeSkills!$K:$K="Required")
  )
)</f>
        <v>#VALUE!</v>
      </c>
      <c r="R221" s="4"/>
      <c r="S221" s="4"/>
      <c r="T221" s="4"/>
      <c r="U221" s="4"/>
      <c r="V221" s="4" t="str" cm="1">
        <f t="array" ref="V221">IF(EmployeesTable[[#This Row],[Additional Executive Role]]="","",
  _xlfn.TEXTJOIN(", ",TRUE,
    _xlfn._xlws.FILTER(ExecRoleSkills!$B:$B,
      ExecRoleSkills!$A:$A=EmployeesTable[[#This Row],[Additional Executive Role]]
    )
  )
)</f>
        <v/>
      </c>
    </row>
    <row r="222" spans="1:22" ht="30" x14ac:dyDescent="0.25">
      <c r="A222" s="19" t="s">
        <v>323</v>
      </c>
      <c r="B222" s="9">
        <v>10705</v>
      </c>
      <c r="C222" s="3" t="s">
        <v>136</v>
      </c>
      <c r="D222" s="9"/>
      <c r="E222" s="15">
        <v>45377</v>
      </c>
      <c r="F222" s="3" t="s">
        <v>324</v>
      </c>
      <c r="G222" s="3" t="s">
        <v>129</v>
      </c>
      <c r="H222" s="3" t="s">
        <v>12</v>
      </c>
      <c r="I222" s="10" t="s">
        <v>712</v>
      </c>
      <c r="J222" s="4"/>
      <c r="K222" s="4"/>
      <c r="L222" s="4"/>
      <c r="M222" s="4">
        <f>COUNTIFS(JobCodeSkills!$B:$B, EmployeesTable[[#This Row],[Succession Plan Job Code]],
          JobCodeSkills!$K:$K, "Required")</f>
        <v>0</v>
      </c>
      <c r="N222" s="4">
        <f>COUNTIFS(EmployeeSkills!$A:$A, EmployeesTable[[#This Row],[User Name]],
          EmployeeSkills!$B:$B, EmployeesTable[[#This Row],[Succession Plan Job Code]],
          EmployeeSkills!$D:$D, "Competent")</f>
        <v>0</v>
      </c>
      <c r="O222" s="4" t="str">
        <f>IF(EmployeesTable[[#This Row],[Succession Skills Ready – Required Total]]=0,"",
   EmployeesTable[[#This Row],[Succession Skills Ready – Required Met]]/EmployeesTable[[#This Row],[Succession Skills Ready – Required Total]])</f>
        <v/>
      </c>
      <c r="P222" s="4" t="str" cm="1">
        <f t="array" ref="P222">_xlfn.IFS(EmployeesTable[[#This Row],[Succession Skills Readiness %]]="","",
     EmployeesTable[[#This Row],[Succession Skills Readiness %]]&lt;0.6,"Not Ready",
     EmployeesTable[[#This Row],[Succession Skills Readiness %]]&lt;0.8,"Developing",
     TRUE,"Ready")</f>
        <v/>
      </c>
      <c r="Q222" s="4" t="e" cm="1" vm="1">
        <f t="array" ref="Q222">_xlfn.TEXTJOIN(", ",TRUE,
  _xlfn._xlws.FILTER(JobCodeSkills!$G:$G,
    (JobCodeSkills!$B:$B=EmployeesTable[[#This Row],[Job Code]])*
    (JobCodeSkills!$K:$K="Required")
  )
)</f>
        <v>#VALUE!</v>
      </c>
      <c r="R222" s="4"/>
      <c r="S222" s="4"/>
      <c r="T222" s="4"/>
      <c r="U222" s="4"/>
      <c r="V222" s="4" t="str" cm="1">
        <f t="array" ref="V222">IF(EmployeesTable[[#This Row],[Additional Executive Role]]="","",
  _xlfn.TEXTJOIN(", ",TRUE,
    _xlfn._xlws.FILTER(ExecRoleSkills!$B:$B,
      ExecRoleSkills!$A:$A=EmployeesTable[[#This Row],[Additional Executive Role]]
    )
  )
)</f>
        <v/>
      </c>
    </row>
    <row r="223" spans="1:22" ht="30" x14ac:dyDescent="0.25">
      <c r="A223" s="19" t="s">
        <v>325</v>
      </c>
      <c r="B223" s="9">
        <v>10802</v>
      </c>
      <c r="C223" s="3" t="s">
        <v>161</v>
      </c>
      <c r="D223" s="9"/>
      <c r="E223" s="15">
        <v>45510</v>
      </c>
      <c r="F223" s="3" t="s">
        <v>326</v>
      </c>
      <c r="G223" s="3" t="s">
        <v>129</v>
      </c>
      <c r="H223" s="3" t="s">
        <v>12</v>
      </c>
      <c r="I223" s="10" t="s">
        <v>712</v>
      </c>
      <c r="J223" s="4"/>
      <c r="K223" s="4"/>
      <c r="L223" s="4"/>
      <c r="M223" s="4">
        <f>COUNTIFS(JobCodeSkills!$B:$B, EmployeesTable[[#This Row],[Succession Plan Job Code]],
          JobCodeSkills!$K:$K, "Required")</f>
        <v>0</v>
      </c>
      <c r="N223" s="4">
        <f>COUNTIFS(EmployeeSkills!$A:$A, EmployeesTable[[#This Row],[User Name]],
          EmployeeSkills!$B:$B, EmployeesTable[[#This Row],[Succession Plan Job Code]],
          EmployeeSkills!$D:$D, "Competent")</f>
        <v>0</v>
      </c>
      <c r="O223" s="4" t="str">
        <f>IF(EmployeesTable[[#This Row],[Succession Skills Ready – Required Total]]=0,"",
   EmployeesTable[[#This Row],[Succession Skills Ready – Required Met]]/EmployeesTable[[#This Row],[Succession Skills Ready – Required Total]])</f>
        <v/>
      </c>
      <c r="P223" s="4" t="str" cm="1">
        <f t="array" ref="P223">_xlfn.IFS(EmployeesTable[[#This Row],[Succession Skills Readiness %]]="","",
     EmployeesTable[[#This Row],[Succession Skills Readiness %]]&lt;0.6,"Not Ready",
     EmployeesTable[[#This Row],[Succession Skills Readiness %]]&lt;0.8,"Developing",
     TRUE,"Ready")</f>
        <v/>
      </c>
      <c r="Q223" s="4" t="e" cm="1" vm="1">
        <f t="array" ref="Q223">_xlfn.TEXTJOIN(", ",TRUE,
  _xlfn._xlws.FILTER(JobCodeSkills!$G:$G,
    (JobCodeSkills!$B:$B=EmployeesTable[[#This Row],[Job Code]])*
    (JobCodeSkills!$K:$K="Required")
  )
)</f>
        <v>#VALUE!</v>
      </c>
      <c r="R223" s="4"/>
      <c r="S223" s="4"/>
      <c r="T223" s="4"/>
      <c r="U223" s="4"/>
      <c r="V223" s="4" t="str" cm="1">
        <f t="array" ref="V223">IF(EmployeesTable[[#This Row],[Additional Executive Role]]="","",
  _xlfn.TEXTJOIN(", ",TRUE,
    _xlfn._xlws.FILTER(ExecRoleSkills!$B:$B,
      ExecRoleSkills!$A:$A=EmployeesTable[[#This Row],[Additional Executive Role]]
    )
  )
)</f>
        <v/>
      </c>
    </row>
    <row r="224" spans="1:22" ht="30" x14ac:dyDescent="0.25">
      <c r="A224" s="19" t="s">
        <v>327</v>
      </c>
      <c r="B224" s="9">
        <v>10803</v>
      </c>
      <c r="C224" s="3" t="s">
        <v>133</v>
      </c>
      <c r="D224" s="9"/>
      <c r="E224" s="15">
        <v>45300</v>
      </c>
      <c r="F224" s="3" t="s">
        <v>328</v>
      </c>
      <c r="G224" s="3" t="s">
        <v>129</v>
      </c>
      <c r="H224" s="3" t="s">
        <v>12</v>
      </c>
      <c r="I224" s="10" t="s">
        <v>712</v>
      </c>
      <c r="J224" s="4"/>
      <c r="K224" s="4"/>
      <c r="L224" s="4"/>
      <c r="M224" s="4">
        <f>COUNTIFS(JobCodeSkills!$B:$B, EmployeesTable[[#This Row],[Succession Plan Job Code]],
          JobCodeSkills!$K:$K, "Required")</f>
        <v>0</v>
      </c>
      <c r="N224" s="4">
        <f>COUNTIFS(EmployeeSkills!$A:$A, EmployeesTable[[#This Row],[User Name]],
          EmployeeSkills!$B:$B, EmployeesTable[[#This Row],[Succession Plan Job Code]],
          EmployeeSkills!$D:$D, "Competent")</f>
        <v>0</v>
      </c>
      <c r="O224" s="4" t="str">
        <f>IF(EmployeesTable[[#This Row],[Succession Skills Ready – Required Total]]=0,"",
   EmployeesTable[[#This Row],[Succession Skills Ready – Required Met]]/EmployeesTable[[#This Row],[Succession Skills Ready – Required Total]])</f>
        <v/>
      </c>
      <c r="P224" s="4" t="str" cm="1">
        <f t="array" ref="P224">_xlfn.IFS(EmployeesTable[[#This Row],[Succession Skills Readiness %]]="","",
     EmployeesTable[[#This Row],[Succession Skills Readiness %]]&lt;0.6,"Not Ready",
     EmployeesTable[[#This Row],[Succession Skills Readiness %]]&lt;0.8,"Developing",
     TRUE,"Ready")</f>
        <v/>
      </c>
      <c r="Q224" s="4" t="e" cm="1" vm="1">
        <f t="array" ref="Q224">_xlfn.TEXTJOIN(", ",TRUE,
  _xlfn._xlws.FILTER(JobCodeSkills!$G:$G,
    (JobCodeSkills!$B:$B=EmployeesTable[[#This Row],[Job Code]])*
    (JobCodeSkills!$K:$K="Required")
  )
)</f>
        <v>#VALUE!</v>
      </c>
      <c r="R224" s="4"/>
      <c r="S224" s="4"/>
      <c r="T224" s="4"/>
      <c r="U224" s="4"/>
      <c r="V224" s="4" t="str" cm="1">
        <f t="array" ref="V224">IF(EmployeesTable[[#This Row],[Additional Executive Role]]="","",
  _xlfn.TEXTJOIN(", ",TRUE,
    _xlfn._xlws.FILTER(ExecRoleSkills!$B:$B,
      ExecRoleSkills!$A:$A=EmployeesTable[[#This Row],[Additional Executive Role]]
    )
  )
)</f>
        <v/>
      </c>
    </row>
    <row r="225" spans="1:22" ht="30" x14ac:dyDescent="0.25">
      <c r="A225" s="19" t="s">
        <v>616</v>
      </c>
      <c r="B225" s="9">
        <v>10601</v>
      </c>
      <c r="C225" s="3" t="s">
        <v>167</v>
      </c>
      <c r="D225" s="9"/>
      <c r="E225" s="15">
        <v>44642</v>
      </c>
      <c r="F225" s="3" t="s">
        <v>617</v>
      </c>
      <c r="G225" s="3" t="s">
        <v>454</v>
      </c>
      <c r="H225" s="3" t="s">
        <v>12</v>
      </c>
      <c r="I225" s="9" t="s">
        <v>13</v>
      </c>
      <c r="J225" s="4"/>
      <c r="K225" s="4"/>
      <c r="L225" s="4"/>
      <c r="M225" s="4">
        <f>COUNTIFS(JobCodeSkills!$B:$B, EmployeesTable[[#This Row],[Succession Plan Job Code]],
          JobCodeSkills!$K:$K, "Required")</f>
        <v>0</v>
      </c>
      <c r="N225" s="4">
        <f>COUNTIFS(EmployeeSkills!$A:$A, EmployeesTable[[#This Row],[User Name]],
          EmployeeSkills!$B:$B, EmployeesTable[[#This Row],[Succession Plan Job Code]],
          EmployeeSkills!$D:$D, "Competent")</f>
        <v>0</v>
      </c>
      <c r="O225" s="4" t="str">
        <f>IF(EmployeesTable[[#This Row],[Succession Skills Ready – Required Total]]=0,"",
   EmployeesTable[[#This Row],[Succession Skills Ready – Required Met]]/EmployeesTable[[#This Row],[Succession Skills Ready – Required Total]])</f>
        <v/>
      </c>
      <c r="P225" s="4" t="str" cm="1">
        <f t="array" ref="P225">_xlfn.IFS(EmployeesTable[[#This Row],[Succession Skills Readiness %]]="","",
     EmployeesTable[[#This Row],[Succession Skills Readiness %]]&lt;0.6,"Not Ready",
     EmployeesTable[[#This Row],[Succession Skills Readiness %]]&lt;0.8,"Developing",
     TRUE,"Ready")</f>
        <v/>
      </c>
      <c r="Q225" s="4" t="e" cm="1" vm="1">
        <f t="array" ref="Q225">_xlfn.TEXTJOIN(", ",TRUE,
  _xlfn._xlws.FILTER(JobCodeSkills!$G:$G,
    (JobCodeSkills!$B:$B=EmployeesTable[[#This Row],[Job Code]])*
    (JobCodeSkills!$K:$K="Required")
  )
)</f>
        <v>#VALUE!</v>
      </c>
      <c r="R225" s="4"/>
      <c r="S225" s="4"/>
      <c r="T225" s="4"/>
      <c r="U225" s="4"/>
      <c r="V225" s="4" t="str" cm="1">
        <f t="array" ref="V225">IF(EmployeesTable[[#This Row],[Additional Executive Role]]="","",
  _xlfn.TEXTJOIN(", ",TRUE,
    _xlfn._xlws.FILTER(ExecRoleSkills!$B:$B,
      ExecRoleSkills!$A:$A=EmployeesTable[[#This Row],[Additional Executive Role]]
    )
  )
)</f>
        <v/>
      </c>
    </row>
    <row r="226" spans="1:22" ht="30" x14ac:dyDescent="0.25">
      <c r="A226" s="19" t="s">
        <v>329</v>
      </c>
      <c r="B226" s="9">
        <v>10701</v>
      </c>
      <c r="C226" s="3" t="s">
        <v>153</v>
      </c>
      <c r="D226" s="9"/>
      <c r="E226" s="15">
        <v>45370</v>
      </c>
      <c r="F226" s="3" t="s">
        <v>330</v>
      </c>
      <c r="G226" s="3" t="s">
        <v>129</v>
      </c>
      <c r="H226" s="3" t="s">
        <v>12</v>
      </c>
      <c r="I226" s="10" t="s">
        <v>712</v>
      </c>
      <c r="J226" s="4"/>
      <c r="K226" s="4"/>
      <c r="L226" s="4"/>
      <c r="M226" s="4">
        <f>COUNTIFS(JobCodeSkills!$B:$B, EmployeesTable[[#This Row],[Succession Plan Job Code]],
          JobCodeSkills!$K:$K, "Required")</f>
        <v>0</v>
      </c>
      <c r="N226" s="4">
        <f>COUNTIFS(EmployeeSkills!$A:$A, EmployeesTable[[#This Row],[User Name]],
          EmployeeSkills!$B:$B, EmployeesTable[[#This Row],[Succession Plan Job Code]],
          EmployeeSkills!$D:$D, "Competent")</f>
        <v>0</v>
      </c>
      <c r="O226" s="4" t="str">
        <f>IF(EmployeesTable[[#This Row],[Succession Skills Ready – Required Total]]=0,"",
   EmployeesTable[[#This Row],[Succession Skills Ready – Required Met]]/EmployeesTable[[#This Row],[Succession Skills Ready – Required Total]])</f>
        <v/>
      </c>
      <c r="P226" s="4" t="str" cm="1">
        <f t="array" ref="P226">_xlfn.IFS(EmployeesTable[[#This Row],[Succession Skills Readiness %]]="","",
     EmployeesTable[[#This Row],[Succession Skills Readiness %]]&lt;0.6,"Not Ready",
     EmployeesTable[[#This Row],[Succession Skills Readiness %]]&lt;0.8,"Developing",
     TRUE,"Ready")</f>
        <v/>
      </c>
      <c r="Q226" s="4" t="e" cm="1" vm="1">
        <f t="array" ref="Q226">_xlfn.TEXTJOIN(", ",TRUE,
  _xlfn._xlws.FILTER(JobCodeSkills!$G:$G,
    (JobCodeSkills!$B:$B=EmployeesTable[[#This Row],[Job Code]])*
    (JobCodeSkills!$K:$K="Required")
  )
)</f>
        <v>#VALUE!</v>
      </c>
      <c r="R226" s="4"/>
      <c r="S226" s="4"/>
      <c r="T226" s="4"/>
      <c r="U226" s="4"/>
      <c r="V226" s="4" t="str" cm="1">
        <f t="array" ref="V226">IF(EmployeesTable[[#This Row],[Additional Executive Role]]="","",
  _xlfn.TEXTJOIN(", ",TRUE,
    _xlfn._xlws.FILTER(ExecRoleSkills!$B:$B,
      ExecRoleSkills!$A:$A=EmployeesTable[[#This Row],[Additional Executive Role]]
    )
  )
)</f>
        <v/>
      </c>
    </row>
    <row r="227" spans="1:22" ht="30" x14ac:dyDescent="0.25">
      <c r="A227" s="19" t="s">
        <v>331</v>
      </c>
      <c r="B227" s="9">
        <v>10705</v>
      </c>
      <c r="C227" s="3" t="s">
        <v>136</v>
      </c>
      <c r="D227" s="9"/>
      <c r="E227" s="15">
        <v>45377</v>
      </c>
      <c r="F227" s="3" t="s">
        <v>332</v>
      </c>
      <c r="G227" s="3" t="s">
        <v>129</v>
      </c>
      <c r="H227" s="3" t="s">
        <v>12</v>
      </c>
      <c r="I227" s="10" t="s">
        <v>712</v>
      </c>
      <c r="J227" s="4"/>
      <c r="K227" s="4"/>
      <c r="L227" s="4"/>
      <c r="M227" s="4">
        <f>COUNTIFS(JobCodeSkills!$B:$B, EmployeesTable[[#This Row],[Succession Plan Job Code]],
          JobCodeSkills!$K:$K, "Required")</f>
        <v>0</v>
      </c>
      <c r="N227" s="4">
        <f>COUNTIFS(EmployeeSkills!$A:$A, EmployeesTable[[#This Row],[User Name]],
          EmployeeSkills!$B:$B, EmployeesTable[[#This Row],[Succession Plan Job Code]],
          EmployeeSkills!$D:$D, "Competent")</f>
        <v>0</v>
      </c>
      <c r="O227" s="4" t="str">
        <f>IF(EmployeesTable[[#This Row],[Succession Skills Ready – Required Total]]=0,"",
   EmployeesTable[[#This Row],[Succession Skills Ready – Required Met]]/EmployeesTable[[#This Row],[Succession Skills Ready – Required Total]])</f>
        <v/>
      </c>
      <c r="P227" s="4" t="str" cm="1">
        <f t="array" ref="P227">_xlfn.IFS(EmployeesTable[[#This Row],[Succession Skills Readiness %]]="","",
     EmployeesTable[[#This Row],[Succession Skills Readiness %]]&lt;0.6,"Not Ready",
     EmployeesTable[[#This Row],[Succession Skills Readiness %]]&lt;0.8,"Developing",
     TRUE,"Ready")</f>
        <v/>
      </c>
      <c r="Q227" s="4" t="e" cm="1" vm="1">
        <f t="array" ref="Q227">_xlfn.TEXTJOIN(", ",TRUE,
  _xlfn._xlws.FILTER(JobCodeSkills!$G:$G,
    (JobCodeSkills!$B:$B=EmployeesTable[[#This Row],[Job Code]])*
    (JobCodeSkills!$K:$K="Required")
  )
)</f>
        <v>#VALUE!</v>
      </c>
      <c r="R227" s="4"/>
      <c r="S227" s="4"/>
      <c r="T227" s="4"/>
      <c r="U227" s="4"/>
      <c r="V227" s="4" t="str" cm="1">
        <f t="array" ref="V227">IF(EmployeesTable[[#This Row],[Additional Executive Role]]="","",
  _xlfn.TEXTJOIN(", ",TRUE,
    _xlfn._xlws.FILTER(ExecRoleSkills!$B:$B,
      ExecRoleSkills!$A:$A=EmployeesTable[[#This Row],[Additional Executive Role]]
    )
  )
)</f>
        <v/>
      </c>
    </row>
    <row r="228" spans="1:22" ht="30" x14ac:dyDescent="0.25">
      <c r="A228" s="19" t="s">
        <v>618</v>
      </c>
      <c r="B228" s="9">
        <v>10302</v>
      </c>
      <c r="C228" s="3" t="s">
        <v>240</v>
      </c>
      <c r="D228" s="9"/>
      <c r="E228" s="15">
        <v>35285</v>
      </c>
      <c r="F228" s="3" t="s">
        <v>619</v>
      </c>
      <c r="G228" s="3" t="s">
        <v>454</v>
      </c>
      <c r="H228" s="3" t="s">
        <v>12</v>
      </c>
      <c r="I228" s="9" t="s">
        <v>13</v>
      </c>
      <c r="J228" s="4"/>
      <c r="K228" s="4"/>
      <c r="L228" s="4"/>
      <c r="M228" s="4">
        <f>COUNTIFS(JobCodeSkills!$B:$B, EmployeesTable[[#This Row],[Succession Plan Job Code]],
          JobCodeSkills!$K:$K, "Required")</f>
        <v>0</v>
      </c>
      <c r="N228" s="4">
        <f>COUNTIFS(EmployeeSkills!$A:$A, EmployeesTable[[#This Row],[User Name]],
          EmployeeSkills!$B:$B, EmployeesTable[[#This Row],[Succession Plan Job Code]],
          EmployeeSkills!$D:$D, "Competent")</f>
        <v>0</v>
      </c>
      <c r="O228" s="4" t="str">
        <f>IF(EmployeesTable[[#This Row],[Succession Skills Ready – Required Total]]=0,"",
   EmployeesTable[[#This Row],[Succession Skills Ready – Required Met]]/EmployeesTable[[#This Row],[Succession Skills Ready – Required Total]])</f>
        <v/>
      </c>
      <c r="P228" s="4" t="str" cm="1">
        <f t="array" ref="P228">_xlfn.IFS(EmployeesTable[[#This Row],[Succession Skills Readiness %]]="","",
     EmployeesTable[[#This Row],[Succession Skills Readiness %]]&lt;0.6,"Not Ready",
     EmployeesTable[[#This Row],[Succession Skills Readiness %]]&lt;0.8,"Developing",
     TRUE,"Ready")</f>
        <v/>
      </c>
      <c r="Q228" s="4" t="str" cm="1">
        <f t="array" ref="Q228">_xlfn.TEXTJOIN(", ",TRUE,
  _xlfn._xlws.FILTER(JobCodeSkills!$G:$G,
    (JobCodeSkills!$B:$B=EmployeesTable[[#This Row],[Job Code]])*
    (JobCodeSkills!$K:$K="Required")
  )
)</f>
        <v>Sustain budget and schedule performance over time, Maintain stable foreman and crew performance, Maintain stable foreman and crew performance, Maintain stable foreman and crew performance, Maintain stable foreman and crew performance, Maintain stable foreman and crew performance, Maintain stable foreman and crew performance, Sustain budget and schedule performance over time, Sustain budget and schedule performance over time, Maintain stable foreman and crew performance, Maintain stable foreman and crew performance, Maintain stable foreman and crew performance, Maintain stable foreman and crew performance, Maintain stable foreman and crew performance, Maintain stable foreman and crew performance, Maintain stable foreman and crew performance, Maintain stable foreman and crew performance, Maintain stable foreman and crew performance, Maintain stable foreman and crew performance, Maintain stable foreman and crew performance, Sustain budget and schedule performance over time, Sustain budget and schedule performance over time, Maintain stable foreman and crew performance, Sustain budget and schedule performance over time, Maintain stable foreman and crew performance, Maintain stable foreman and crew performance, Maintain stable foreman and crew performance, Maintain stable foreman and crew performance, Maintain stable foreman and crew performance, Sustain budget and schedule performance over time, Sustain budget and schedule performance over time, Sustain budget and schedule performance over time, Sustain budget and schedule performance over time, Maintain stable foreman and crew performance, Maintain stable foreman and crew performance, Sustain budget and schedule performance over time, Maintain stable foreman and crew performance, Sustain budget and schedule performance over time, Sustain budget and schedule performance over time, Maintain stable foreman and crew performance, Maintain stable foreman and crew performance, Maintain stable foreman and crew performance, Maintain stable foreman and crew performance, Maintain stable foreman and crew performance, Maintain stable foreman and crew performance, Maintain stable foreman and crew performance, Maintain stable foreman and crew performance, Maintain stable foreman and crew performance, Maintain stable foreman and crew performance, Maintain stable foreman and crew performance, Maintain stable foreman and crew performance, Maintain stable foreman and crew performance, Sustain budget and schedule performance over time, Sustain budget and schedule performance over time, Sustain budget and schedule performance over time, Maintain stable foreman and crew performance, Maintain stable foreman and crew performance, Sustain budget and schedule performance over time, Sustain budget and schedule performance over time, Sustain budget and schedule performance over time, Maintain stable foreman and crew performance, Maintain stable foreman and crew performance, Sustain budget and schedule performance over time, Sustain budget and schedule performance over time, Sustain budget and schedule performance over time, Maintain stable foreman and crew performance, Maintain stable foreman and crew performance, Maintain stable foreman and crew performance, Maintain stable foreman and crew performance, Maintain stable foreman and crew performance, Sustain budget and schedule performance over time, Sustain budget and schedule performance over time, Sustain budget and schedule performance over time, Maintain stable foreman and crew performance, Sustain budget and schedule performance over time, Maintain stable foreman and crew performance, Maintain stable foreman and crew performance, Maintain stable foreman and crew performance, Maintain stable foreman and crew performance, Maintain stable foreman and crew performance, Sustain budget and schedule performance over time, Sustain budget and schedule performance over time, Maintain stable foreman and crew performance, Sustain budget and schedule performance over time, Maintain stable foreman and crew performance, Maintain stable foreman and crew performance, Maintain stable foreman and crew performance, Maintain stable foreman and crew performance, Maintain stable foreman and crew performance, Maintain stable foreman and crew performance, Sustain budget and schedule performance over time, Maintain stable foreman and crew performance, Sustain budget and schedule performance over time, Maintain stable foreman and crew performance, Sustain budget and schedule performance over time, Sustain budget and schedule performance over time, Sustain budget and schedule performance over time, Sustain budget and schedule performance over time, Sustain budget and schedule performance over time, Maintain stable foreman and crew performance, Maintain stable foreman and crew performance, Sustain budget and schedule performance over time, Sustain budget and schedule performance over time, Sustain budget and schedule performance over time, Sustain budget and schedule performance over time, Sustain budget and schedule performance over time, Sustain budget and schedule performance over time, Sustain budget and schedule performance over time, Sustain budget and schedule performance over time, Sustain budget and schedule performance over time, Maintain stable foreman and crew performance, Maintain stable foreman and crew performance, Sustain budget and schedule performance over time, Sustain budget and schedule performance over time, Sustain budget and schedule performance over time, Maintain stable foreman and crew performance, Maintain stable foreman and crew performance, Sustain budget and schedule performance over time, Sustain budget and schedule performance over time</v>
      </c>
      <c r="R228" s="4"/>
      <c r="S228" s="4"/>
      <c r="T228" s="4"/>
      <c r="U228" s="4"/>
      <c r="V228" s="4" t="str" cm="1">
        <f t="array" ref="V228">IF(EmployeesTable[[#This Row],[Additional Executive Role]]="","",
  _xlfn.TEXTJOIN(", ",TRUE,
    _xlfn._xlws.FILTER(ExecRoleSkills!$B:$B,
      ExecRoleSkills!$A:$A=EmployeesTable[[#This Row],[Additional Executive Role]]
    )
  )
)</f>
        <v/>
      </c>
    </row>
    <row r="229" spans="1:22" ht="30" x14ac:dyDescent="0.25">
      <c r="A229" s="19" t="s">
        <v>704</v>
      </c>
      <c r="B229" s="9">
        <v>40101</v>
      </c>
      <c r="C229" s="3" t="s">
        <v>15</v>
      </c>
      <c r="D229" s="9"/>
      <c r="E229" s="15">
        <v>44245</v>
      </c>
      <c r="F229" s="3" t="s">
        <v>705</v>
      </c>
      <c r="G229" s="3" t="s">
        <v>706</v>
      </c>
      <c r="H229" s="3" t="s">
        <v>12</v>
      </c>
      <c r="I229" s="9" t="s">
        <v>712</v>
      </c>
      <c r="J229" s="4"/>
      <c r="K229" s="4"/>
      <c r="L229" s="4"/>
      <c r="M229" s="4">
        <f>COUNTIFS(JobCodeSkills!$B:$B, EmployeesTable[[#This Row],[Succession Plan Job Code]],
          JobCodeSkills!$K:$K, "Required")</f>
        <v>0</v>
      </c>
      <c r="N229" s="4">
        <f>COUNTIFS(EmployeeSkills!$A:$A, EmployeesTable[[#This Row],[User Name]],
          EmployeeSkills!$B:$B, EmployeesTable[[#This Row],[Succession Plan Job Code]],
          EmployeeSkills!$D:$D, "Competent")</f>
        <v>0</v>
      </c>
      <c r="O229" s="4" t="str">
        <f>IF(EmployeesTable[[#This Row],[Succession Skills Ready – Required Total]]=0,"",
   EmployeesTable[[#This Row],[Succession Skills Ready – Required Met]]/EmployeesTable[[#This Row],[Succession Skills Ready – Required Total]])</f>
        <v/>
      </c>
      <c r="P229" s="4" t="str" cm="1">
        <f t="array" ref="P229">_xlfn.IFS(EmployeesTable[[#This Row],[Succession Skills Readiness %]]="","",
     EmployeesTable[[#This Row],[Succession Skills Readiness %]]&lt;0.6,"Not Ready",
     EmployeesTable[[#This Row],[Succession Skills Readiness %]]&lt;0.8,"Developing",
     TRUE,"Ready")</f>
        <v/>
      </c>
      <c r="Q229" s="4" t="e" cm="1" vm="1">
        <f t="array" ref="Q229">_xlfn.TEXTJOIN(", ",TRUE,
  _xlfn._xlws.FILTER(JobCodeSkills!$G:$G,
    (JobCodeSkills!$B:$B=EmployeesTable[[#This Row],[Job Code]])*
    (JobCodeSkills!$K:$K="Required")
  )
)</f>
        <v>#VALUE!</v>
      </c>
      <c r="R229" s="4"/>
      <c r="S229" s="4"/>
      <c r="T229" s="4"/>
      <c r="U229" s="4"/>
      <c r="V229" s="4" t="str" cm="1">
        <f t="array" ref="V229">IF(EmployeesTable[[#This Row],[Additional Executive Role]]="","",
  _xlfn.TEXTJOIN(", ",TRUE,
    _xlfn._xlws.FILTER(ExecRoleSkills!$B:$B,
      ExecRoleSkills!$A:$A=EmployeesTable[[#This Row],[Additional Executive Role]]
    )
  )
)</f>
        <v/>
      </c>
    </row>
    <row r="230" spans="1:22" ht="30" x14ac:dyDescent="0.25">
      <c r="A230" s="19" t="s">
        <v>333</v>
      </c>
      <c r="B230" s="9">
        <v>10705</v>
      </c>
      <c r="C230" s="3" t="s">
        <v>136</v>
      </c>
      <c r="D230" s="9"/>
      <c r="E230" s="15">
        <v>45419</v>
      </c>
      <c r="F230" s="3" t="s">
        <v>334</v>
      </c>
      <c r="G230" s="3" t="s">
        <v>129</v>
      </c>
      <c r="H230" s="3" t="s">
        <v>228</v>
      </c>
      <c r="I230" s="10" t="s">
        <v>712</v>
      </c>
      <c r="J230" s="4"/>
      <c r="K230" s="4"/>
      <c r="L230" s="4"/>
      <c r="M230" s="4">
        <f>COUNTIFS(JobCodeSkills!$B:$B, EmployeesTable[[#This Row],[Succession Plan Job Code]],
          JobCodeSkills!$K:$K, "Required")</f>
        <v>0</v>
      </c>
      <c r="N230" s="4">
        <f>COUNTIFS(EmployeeSkills!$A:$A, EmployeesTable[[#This Row],[User Name]],
          EmployeeSkills!$B:$B, EmployeesTable[[#This Row],[Succession Plan Job Code]],
          EmployeeSkills!$D:$D, "Competent")</f>
        <v>0</v>
      </c>
      <c r="O230" s="4" t="str">
        <f>IF(EmployeesTable[[#This Row],[Succession Skills Ready – Required Total]]=0,"",
   EmployeesTable[[#This Row],[Succession Skills Ready – Required Met]]/EmployeesTable[[#This Row],[Succession Skills Ready – Required Total]])</f>
        <v/>
      </c>
      <c r="P230" s="4" t="str" cm="1">
        <f t="array" ref="P230">_xlfn.IFS(EmployeesTable[[#This Row],[Succession Skills Readiness %]]="","",
     EmployeesTable[[#This Row],[Succession Skills Readiness %]]&lt;0.6,"Not Ready",
     EmployeesTable[[#This Row],[Succession Skills Readiness %]]&lt;0.8,"Developing",
     TRUE,"Ready")</f>
        <v/>
      </c>
      <c r="Q230" s="4" t="e" cm="1" vm="1">
        <f t="array" ref="Q230">_xlfn.TEXTJOIN(", ",TRUE,
  _xlfn._xlws.FILTER(JobCodeSkills!$G:$G,
    (JobCodeSkills!$B:$B=EmployeesTable[[#This Row],[Job Code]])*
    (JobCodeSkills!$K:$K="Required")
  )
)</f>
        <v>#VALUE!</v>
      </c>
      <c r="R230" s="4"/>
      <c r="S230" s="4"/>
      <c r="T230" s="4"/>
      <c r="U230" s="4"/>
      <c r="V230" s="4" t="str" cm="1">
        <f t="array" ref="V230">IF(EmployeesTable[[#This Row],[Additional Executive Role]]="","",
  _xlfn.TEXTJOIN(", ",TRUE,
    _xlfn._xlws.FILTER(ExecRoleSkills!$B:$B,
      ExecRoleSkills!$A:$A=EmployeesTable[[#This Row],[Additional Executive Role]]
    )
  )
)</f>
        <v/>
      </c>
    </row>
    <row r="231" spans="1:22" ht="45" x14ac:dyDescent="0.25">
      <c r="A231" s="19" t="s">
        <v>682</v>
      </c>
      <c r="B231" s="9">
        <v>6100</v>
      </c>
      <c r="C231" s="3" t="s">
        <v>683</v>
      </c>
      <c r="D231" s="9"/>
      <c r="E231" s="15">
        <v>36947</v>
      </c>
      <c r="F231" s="3" t="s">
        <v>684</v>
      </c>
      <c r="G231" s="3" t="s">
        <v>674</v>
      </c>
      <c r="H231" s="3" t="s">
        <v>12</v>
      </c>
      <c r="I231" s="9" t="s">
        <v>711</v>
      </c>
      <c r="J231" s="4"/>
      <c r="K231" s="4"/>
      <c r="L231" s="4"/>
      <c r="M231" s="4">
        <f>COUNTIFS(JobCodeSkills!$B:$B, EmployeesTable[[#This Row],[Succession Plan Job Code]],
          JobCodeSkills!$K:$K, "Required")</f>
        <v>0</v>
      </c>
      <c r="N231" s="4">
        <f>COUNTIFS(EmployeeSkills!$A:$A, EmployeesTable[[#This Row],[User Name]],
          EmployeeSkills!$B:$B, EmployeesTable[[#This Row],[Succession Plan Job Code]],
          EmployeeSkills!$D:$D, "Competent")</f>
        <v>0</v>
      </c>
      <c r="O231" s="4" t="str">
        <f>IF(EmployeesTable[[#This Row],[Succession Skills Ready – Required Total]]=0,"",
   EmployeesTable[[#This Row],[Succession Skills Ready – Required Met]]/EmployeesTable[[#This Row],[Succession Skills Ready – Required Total]])</f>
        <v/>
      </c>
      <c r="P231" s="4" t="str" cm="1">
        <f t="array" ref="P231">_xlfn.IFS(EmployeesTable[[#This Row],[Succession Skills Readiness %]]="","",
     EmployeesTable[[#This Row],[Succession Skills Readiness %]]&lt;0.6,"Not Ready",
     EmployeesTable[[#This Row],[Succession Skills Readiness %]]&lt;0.8,"Developing",
     TRUE,"Ready")</f>
        <v/>
      </c>
      <c r="Q231" s="4" t="e" cm="1" vm="1">
        <f t="array" ref="Q231">_xlfn.TEXTJOIN(", ",TRUE,
  _xlfn._xlws.FILTER(JobCodeSkills!$G:$G,
    (JobCodeSkills!$B:$B=EmployeesTable[[#This Row],[Job Code]])*
    (JobCodeSkills!$K:$K="Required")
  )
)</f>
        <v>#VALUE!</v>
      </c>
      <c r="R231" s="4"/>
      <c r="S231" s="4"/>
      <c r="T231" s="4"/>
      <c r="U231" s="4"/>
      <c r="V231" s="4" t="str" cm="1">
        <f t="array" ref="V231">IF(EmployeesTable[[#This Row],[Additional Executive Role]]="","",
  _xlfn.TEXTJOIN(", ",TRUE,
    _xlfn._xlws.FILTER(ExecRoleSkills!$B:$B,
      ExecRoleSkills!$A:$A=EmployeesTable[[#This Row],[Additional Executive Role]]
    )
  )
)</f>
        <v/>
      </c>
    </row>
    <row r="232" spans="1:22" ht="30" x14ac:dyDescent="0.25">
      <c r="A232" s="19" t="s">
        <v>620</v>
      </c>
      <c r="B232" s="9">
        <v>10601</v>
      </c>
      <c r="C232" s="3" t="s">
        <v>522</v>
      </c>
      <c r="D232" s="9"/>
      <c r="E232" s="15">
        <v>45211</v>
      </c>
      <c r="F232" s="3" t="s">
        <v>621</v>
      </c>
      <c r="G232" s="3" t="s">
        <v>454</v>
      </c>
      <c r="H232" s="3" t="s">
        <v>12</v>
      </c>
      <c r="I232" s="9" t="s">
        <v>13</v>
      </c>
      <c r="J232" s="4"/>
      <c r="K232" s="4"/>
      <c r="L232" s="4"/>
      <c r="M232" s="4">
        <f>COUNTIFS(JobCodeSkills!$B:$B, EmployeesTable[[#This Row],[Succession Plan Job Code]],
          JobCodeSkills!$K:$K, "Required")</f>
        <v>0</v>
      </c>
      <c r="N232" s="4">
        <f>COUNTIFS(EmployeeSkills!$A:$A, EmployeesTable[[#This Row],[User Name]],
          EmployeeSkills!$B:$B, EmployeesTable[[#This Row],[Succession Plan Job Code]],
          EmployeeSkills!$D:$D, "Competent")</f>
        <v>0</v>
      </c>
      <c r="O232" s="4" t="str">
        <f>IF(EmployeesTable[[#This Row],[Succession Skills Ready – Required Total]]=0,"",
   EmployeesTable[[#This Row],[Succession Skills Ready – Required Met]]/EmployeesTable[[#This Row],[Succession Skills Ready – Required Total]])</f>
        <v/>
      </c>
      <c r="P232" s="4" t="str" cm="1">
        <f t="array" ref="P232">_xlfn.IFS(EmployeesTable[[#This Row],[Succession Skills Readiness %]]="","",
     EmployeesTable[[#This Row],[Succession Skills Readiness %]]&lt;0.6,"Not Ready",
     EmployeesTable[[#This Row],[Succession Skills Readiness %]]&lt;0.8,"Developing",
     TRUE,"Ready")</f>
        <v/>
      </c>
      <c r="Q232" s="4" t="e" cm="1" vm="1">
        <f t="array" ref="Q232">_xlfn.TEXTJOIN(", ",TRUE,
  _xlfn._xlws.FILTER(JobCodeSkills!$G:$G,
    (JobCodeSkills!$B:$B=EmployeesTable[[#This Row],[Job Code]])*
    (JobCodeSkills!$K:$K="Required")
  )
)</f>
        <v>#VALUE!</v>
      </c>
      <c r="R232" s="4"/>
      <c r="S232" s="4"/>
      <c r="T232" s="4"/>
      <c r="U232" s="4"/>
      <c r="V232" s="4" t="str" cm="1">
        <f t="array" ref="V232">IF(EmployeesTable[[#This Row],[Additional Executive Role]]="","",
  _xlfn.TEXTJOIN(", ",TRUE,
    _xlfn._xlws.FILTER(ExecRoleSkills!$B:$B,
      ExecRoleSkills!$A:$A=EmployeesTable[[#This Row],[Additional Executive Role]]
    )
  )
)</f>
        <v/>
      </c>
    </row>
    <row r="233" spans="1:22" ht="30" x14ac:dyDescent="0.25">
      <c r="A233" s="19" t="s">
        <v>335</v>
      </c>
      <c r="B233" s="9">
        <v>10705</v>
      </c>
      <c r="C233" s="3" t="s">
        <v>136</v>
      </c>
      <c r="D233" s="9"/>
      <c r="E233" s="15">
        <v>44431</v>
      </c>
      <c r="F233" s="3" t="s">
        <v>336</v>
      </c>
      <c r="G233" s="3" t="s">
        <v>129</v>
      </c>
      <c r="H233" s="3" t="s">
        <v>12</v>
      </c>
      <c r="I233" s="10" t="s">
        <v>712</v>
      </c>
      <c r="J233" s="4"/>
      <c r="K233" s="4"/>
      <c r="L233" s="4"/>
      <c r="M233" s="4">
        <f>COUNTIFS(JobCodeSkills!$B:$B, EmployeesTable[[#This Row],[Succession Plan Job Code]],
          JobCodeSkills!$K:$K, "Required")</f>
        <v>0</v>
      </c>
      <c r="N233" s="4">
        <f>COUNTIFS(EmployeeSkills!$A:$A, EmployeesTable[[#This Row],[User Name]],
          EmployeeSkills!$B:$B, EmployeesTable[[#This Row],[Succession Plan Job Code]],
          EmployeeSkills!$D:$D, "Competent")</f>
        <v>0</v>
      </c>
      <c r="O233" s="4" t="str">
        <f>IF(EmployeesTable[[#This Row],[Succession Skills Ready – Required Total]]=0,"",
   EmployeesTable[[#This Row],[Succession Skills Ready – Required Met]]/EmployeesTable[[#This Row],[Succession Skills Ready – Required Total]])</f>
        <v/>
      </c>
      <c r="P233" s="4" t="str" cm="1">
        <f t="array" ref="P233">_xlfn.IFS(EmployeesTable[[#This Row],[Succession Skills Readiness %]]="","",
     EmployeesTable[[#This Row],[Succession Skills Readiness %]]&lt;0.6,"Not Ready",
     EmployeesTable[[#This Row],[Succession Skills Readiness %]]&lt;0.8,"Developing",
     TRUE,"Ready")</f>
        <v/>
      </c>
      <c r="Q233" s="4" t="e" cm="1" vm="1">
        <f t="array" ref="Q233">_xlfn.TEXTJOIN(", ",TRUE,
  _xlfn._xlws.FILTER(JobCodeSkills!$G:$G,
    (JobCodeSkills!$B:$B=EmployeesTable[[#This Row],[Job Code]])*
    (JobCodeSkills!$K:$K="Required")
  )
)</f>
        <v>#VALUE!</v>
      </c>
      <c r="R233" s="4"/>
      <c r="S233" s="4"/>
      <c r="T233" s="4"/>
      <c r="U233" s="4"/>
      <c r="V233" s="4" t="str" cm="1">
        <f t="array" ref="V233">IF(EmployeesTable[[#This Row],[Additional Executive Role]]="","",
  _xlfn.TEXTJOIN(", ",TRUE,
    _xlfn._xlws.FILTER(ExecRoleSkills!$B:$B,
      ExecRoleSkills!$A:$A=EmployeesTable[[#This Row],[Additional Executive Role]]
    )
  )
)</f>
        <v/>
      </c>
    </row>
    <row r="234" spans="1:22" ht="30" x14ac:dyDescent="0.25">
      <c r="A234" s="19" t="s">
        <v>622</v>
      </c>
      <c r="B234" s="9">
        <v>10502</v>
      </c>
      <c r="C234" s="3" t="s">
        <v>156</v>
      </c>
      <c r="D234" s="9"/>
      <c r="E234" s="15">
        <v>43384</v>
      </c>
      <c r="F234" s="3" t="s">
        <v>623</v>
      </c>
      <c r="G234" s="3" t="s">
        <v>454</v>
      </c>
      <c r="H234" s="3" t="s">
        <v>12</v>
      </c>
      <c r="I234" s="9" t="s">
        <v>13</v>
      </c>
      <c r="J234" s="4"/>
      <c r="K234" s="4"/>
      <c r="L234" s="4"/>
      <c r="M234" s="4">
        <f>COUNTIFS(JobCodeSkills!$B:$B, EmployeesTable[[#This Row],[Succession Plan Job Code]],
          JobCodeSkills!$K:$K, "Required")</f>
        <v>0</v>
      </c>
      <c r="N234" s="4">
        <f>COUNTIFS(EmployeeSkills!$A:$A, EmployeesTable[[#This Row],[User Name]],
          EmployeeSkills!$B:$B, EmployeesTable[[#This Row],[Succession Plan Job Code]],
          EmployeeSkills!$D:$D, "Competent")</f>
        <v>0</v>
      </c>
      <c r="O234" s="4" t="str">
        <f>IF(EmployeesTable[[#This Row],[Succession Skills Ready – Required Total]]=0,"",
   EmployeesTable[[#This Row],[Succession Skills Ready – Required Met]]/EmployeesTable[[#This Row],[Succession Skills Ready – Required Total]])</f>
        <v/>
      </c>
      <c r="P234" s="4" t="str" cm="1">
        <f t="array" ref="P234">_xlfn.IFS(EmployeesTable[[#This Row],[Succession Skills Readiness %]]="","",
     EmployeesTable[[#This Row],[Succession Skills Readiness %]]&lt;0.6,"Not Ready",
     EmployeesTable[[#This Row],[Succession Skills Readiness %]]&lt;0.8,"Developing",
     TRUE,"Ready")</f>
        <v/>
      </c>
      <c r="Q234" s="4" t="e" cm="1" vm="1">
        <f t="array" ref="Q234">_xlfn.TEXTJOIN(", ",TRUE,
  _xlfn._xlws.FILTER(JobCodeSkills!$G:$G,
    (JobCodeSkills!$B:$B=EmployeesTable[[#This Row],[Job Code]])*
    (JobCodeSkills!$K:$K="Required")
  )
)</f>
        <v>#VALUE!</v>
      </c>
      <c r="R234" s="4"/>
      <c r="S234" s="4"/>
      <c r="T234" s="4"/>
      <c r="U234" s="4"/>
      <c r="V234" s="4" t="str" cm="1">
        <f t="array" ref="V234">IF(EmployeesTable[[#This Row],[Additional Executive Role]]="","",
  _xlfn.TEXTJOIN(", ",TRUE,
    _xlfn._xlws.FILTER(ExecRoleSkills!$B:$B,
      ExecRoleSkills!$A:$A=EmployeesTable[[#This Row],[Additional Executive Role]]
    )
  )
)</f>
        <v/>
      </c>
    </row>
    <row r="235" spans="1:22" ht="30" x14ac:dyDescent="0.25">
      <c r="A235" s="19" t="s">
        <v>422</v>
      </c>
      <c r="B235" s="9">
        <v>1125</v>
      </c>
      <c r="C235" s="3" t="s">
        <v>423</v>
      </c>
      <c r="D235" s="9"/>
      <c r="E235" s="15">
        <v>43619</v>
      </c>
      <c r="F235" s="3" t="s">
        <v>424</v>
      </c>
      <c r="G235" s="3" t="s">
        <v>405</v>
      </c>
      <c r="H235" s="3" t="s">
        <v>12</v>
      </c>
      <c r="I235" s="9" t="s">
        <v>711</v>
      </c>
      <c r="J235" s="4"/>
      <c r="K235" s="4"/>
      <c r="L235" s="4"/>
      <c r="M235" s="4">
        <f>COUNTIFS(JobCodeSkills!$B:$B, EmployeesTable[[#This Row],[Succession Plan Job Code]],
          JobCodeSkills!$K:$K, "Required")</f>
        <v>0</v>
      </c>
      <c r="N235" s="4">
        <f>COUNTIFS(EmployeeSkills!$A:$A, EmployeesTable[[#This Row],[User Name]],
          EmployeeSkills!$B:$B, EmployeesTable[[#This Row],[Succession Plan Job Code]],
          EmployeeSkills!$D:$D, "Competent")</f>
        <v>0</v>
      </c>
      <c r="O235" s="4" t="str">
        <f>IF(EmployeesTable[[#This Row],[Succession Skills Ready – Required Total]]=0,"",
   EmployeesTable[[#This Row],[Succession Skills Ready – Required Met]]/EmployeesTable[[#This Row],[Succession Skills Ready – Required Total]])</f>
        <v/>
      </c>
      <c r="P235" s="4" t="str" cm="1">
        <f t="array" ref="P235">_xlfn.IFS(EmployeesTable[[#This Row],[Succession Skills Readiness %]]="","",
     EmployeesTable[[#This Row],[Succession Skills Readiness %]]&lt;0.6,"Not Ready",
     EmployeesTable[[#This Row],[Succession Skills Readiness %]]&lt;0.8,"Developing",
     TRUE,"Ready")</f>
        <v/>
      </c>
      <c r="Q235" s="4" t="e" cm="1" vm="1">
        <f t="array" ref="Q235">_xlfn.TEXTJOIN(", ",TRUE,
  _xlfn._xlws.FILTER(JobCodeSkills!$G:$G,
    (JobCodeSkills!$B:$B=EmployeesTable[[#This Row],[Job Code]])*
    (JobCodeSkills!$K:$K="Required")
  )
)</f>
        <v>#VALUE!</v>
      </c>
      <c r="R235" s="4"/>
      <c r="S235" s="4"/>
      <c r="T235" s="4"/>
      <c r="U235" s="4"/>
      <c r="V235" s="4" t="str" cm="1">
        <f t="array" ref="V235">IF(EmployeesTable[[#This Row],[Additional Executive Role]]="","",
  _xlfn.TEXTJOIN(", ",TRUE,
    _xlfn._xlws.FILTER(ExecRoleSkills!$B:$B,
      ExecRoleSkills!$A:$A=EmployeesTable[[#This Row],[Additional Executive Role]]
    )
  )
)</f>
        <v/>
      </c>
    </row>
    <row r="236" spans="1:22" ht="30" x14ac:dyDescent="0.25">
      <c r="A236" s="19" t="s">
        <v>337</v>
      </c>
      <c r="B236" s="9">
        <v>10802</v>
      </c>
      <c r="C236" s="3" t="s">
        <v>161</v>
      </c>
      <c r="D236" s="9"/>
      <c r="E236" s="15">
        <v>45468</v>
      </c>
      <c r="F236" s="3" t="s">
        <v>338</v>
      </c>
      <c r="G236" s="3" t="s">
        <v>129</v>
      </c>
      <c r="H236" s="3" t="s">
        <v>12</v>
      </c>
      <c r="I236" s="10" t="s">
        <v>712</v>
      </c>
      <c r="J236" s="4"/>
      <c r="K236" s="4"/>
      <c r="L236" s="4"/>
      <c r="M236" s="4">
        <f>COUNTIFS(JobCodeSkills!$B:$B, EmployeesTable[[#This Row],[Succession Plan Job Code]],
          JobCodeSkills!$K:$K, "Required")</f>
        <v>0</v>
      </c>
      <c r="N236" s="4">
        <f>COUNTIFS(EmployeeSkills!$A:$A, EmployeesTable[[#This Row],[User Name]],
          EmployeeSkills!$B:$B, EmployeesTable[[#This Row],[Succession Plan Job Code]],
          EmployeeSkills!$D:$D, "Competent")</f>
        <v>0</v>
      </c>
      <c r="O236" s="4" t="str">
        <f>IF(EmployeesTable[[#This Row],[Succession Skills Ready – Required Total]]=0,"",
   EmployeesTable[[#This Row],[Succession Skills Ready – Required Met]]/EmployeesTable[[#This Row],[Succession Skills Ready – Required Total]])</f>
        <v/>
      </c>
      <c r="P236" s="4" t="str" cm="1">
        <f t="array" ref="P236">_xlfn.IFS(EmployeesTable[[#This Row],[Succession Skills Readiness %]]="","",
     EmployeesTable[[#This Row],[Succession Skills Readiness %]]&lt;0.6,"Not Ready",
     EmployeesTable[[#This Row],[Succession Skills Readiness %]]&lt;0.8,"Developing",
     TRUE,"Ready")</f>
        <v/>
      </c>
      <c r="Q236" s="4" t="e" cm="1" vm="1">
        <f t="array" ref="Q236">_xlfn.TEXTJOIN(", ",TRUE,
  _xlfn._xlws.FILTER(JobCodeSkills!$G:$G,
    (JobCodeSkills!$B:$B=EmployeesTable[[#This Row],[Job Code]])*
    (JobCodeSkills!$K:$K="Required")
  )
)</f>
        <v>#VALUE!</v>
      </c>
      <c r="R236" s="4"/>
      <c r="S236" s="4"/>
      <c r="T236" s="4"/>
      <c r="U236" s="4"/>
      <c r="V236" s="4" t="str" cm="1">
        <f t="array" ref="V236">IF(EmployeesTable[[#This Row],[Additional Executive Role]]="","",
  _xlfn.TEXTJOIN(", ",TRUE,
    _xlfn._xlws.FILTER(ExecRoleSkills!$B:$B,
      ExecRoleSkills!$A:$A=EmployeesTable[[#This Row],[Additional Executive Role]]
    )
  )
)</f>
        <v/>
      </c>
    </row>
    <row r="237" spans="1:22" ht="45" x14ac:dyDescent="0.25">
      <c r="A237" s="19" t="s">
        <v>425</v>
      </c>
      <c r="B237" s="9">
        <v>3200</v>
      </c>
      <c r="C237" s="3" t="s">
        <v>426</v>
      </c>
      <c r="D237" s="9"/>
      <c r="E237" s="15">
        <v>44383</v>
      </c>
      <c r="F237" s="3" t="s">
        <v>427</v>
      </c>
      <c r="G237" s="3" t="s">
        <v>405</v>
      </c>
      <c r="H237" s="3" t="s">
        <v>12</v>
      </c>
      <c r="I237" s="9" t="s">
        <v>711</v>
      </c>
      <c r="J237" s="4"/>
      <c r="K237" s="4"/>
      <c r="L237" s="4"/>
      <c r="M237" s="4">
        <f>COUNTIFS(JobCodeSkills!$B:$B, EmployeesTable[[#This Row],[Succession Plan Job Code]],
          JobCodeSkills!$K:$K, "Required")</f>
        <v>0</v>
      </c>
      <c r="N237" s="4">
        <f>COUNTIFS(EmployeeSkills!$A:$A, EmployeesTable[[#This Row],[User Name]],
          EmployeeSkills!$B:$B, EmployeesTable[[#This Row],[Succession Plan Job Code]],
          EmployeeSkills!$D:$D, "Competent")</f>
        <v>0</v>
      </c>
      <c r="O237" s="4" t="str">
        <f>IF(EmployeesTable[[#This Row],[Succession Skills Ready – Required Total]]=0,"",
   EmployeesTable[[#This Row],[Succession Skills Ready – Required Met]]/EmployeesTable[[#This Row],[Succession Skills Ready – Required Total]])</f>
        <v/>
      </c>
      <c r="P237" s="4" t="str" cm="1">
        <f t="array" ref="P237">_xlfn.IFS(EmployeesTable[[#This Row],[Succession Skills Readiness %]]="","",
     EmployeesTable[[#This Row],[Succession Skills Readiness %]]&lt;0.6,"Not Ready",
     EmployeesTable[[#This Row],[Succession Skills Readiness %]]&lt;0.8,"Developing",
     TRUE,"Ready")</f>
        <v/>
      </c>
      <c r="Q237" s="4" t="e" cm="1" vm="1">
        <f t="array" ref="Q237">_xlfn.TEXTJOIN(", ",TRUE,
  _xlfn._xlws.FILTER(JobCodeSkills!$G:$G,
    (JobCodeSkills!$B:$B=EmployeesTable[[#This Row],[Job Code]])*
    (JobCodeSkills!$K:$K="Required")
  )
)</f>
        <v>#VALUE!</v>
      </c>
      <c r="R237" s="4"/>
      <c r="S237" s="4"/>
      <c r="T237" s="4"/>
      <c r="U237" s="4"/>
      <c r="V237" s="4" t="str" cm="1">
        <f t="array" ref="V237">IF(EmployeesTable[[#This Row],[Additional Executive Role]]="","",
  _xlfn.TEXTJOIN(", ",TRUE,
    _xlfn._xlws.FILTER(ExecRoleSkills!$B:$B,
      ExecRoleSkills!$A:$A=EmployeesTable[[#This Row],[Additional Executive Role]]
    )
  )
)</f>
        <v/>
      </c>
    </row>
    <row r="238" spans="1:22" ht="30" x14ac:dyDescent="0.25">
      <c r="A238" s="19" t="s">
        <v>341</v>
      </c>
      <c r="B238" s="9">
        <v>10705</v>
      </c>
      <c r="C238" s="3" t="s">
        <v>136</v>
      </c>
      <c r="D238" s="9"/>
      <c r="E238" s="15">
        <v>45468</v>
      </c>
      <c r="F238" s="3" t="s">
        <v>342</v>
      </c>
      <c r="G238" s="3" t="s">
        <v>129</v>
      </c>
      <c r="H238" s="3" t="s">
        <v>12</v>
      </c>
      <c r="I238" s="10" t="s">
        <v>712</v>
      </c>
      <c r="J238" s="4"/>
      <c r="K238" s="4"/>
      <c r="L238" s="4"/>
      <c r="M238" s="4">
        <f>COUNTIFS(JobCodeSkills!$B:$B, EmployeesTable[[#This Row],[Succession Plan Job Code]],
          JobCodeSkills!$K:$K, "Required")</f>
        <v>0</v>
      </c>
      <c r="N238" s="4">
        <f>COUNTIFS(EmployeeSkills!$A:$A, EmployeesTable[[#This Row],[User Name]],
          EmployeeSkills!$B:$B, EmployeesTable[[#This Row],[Succession Plan Job Code]],
          EmployeeSkills!$D:$D, "Competent")</f>
        <v>0</v>
      </c>
      <c r="O238" s="4" t="str">
        <f>IF(EmployeesTable[[#This Row],[Succession Skills Ready – Required Total]]=0,"",
   EmployeesTable[[#This Row],[Succession Skills Ready – Required Met]]/EmployeesTable[[#This Row],[Succession Skills Ready – Required Total]])</f>
        <v/>
      </c>
      <c r="P238" s="4" t="str" cm="1">
        <f t="array" ref="P238">_xlfn.IFS(EmployeesTable[[#This Row],[Succession Skills Readiness %]]="","",
     EmployeesTable[[#This Row],[Succession Skills Readiness %]]&lt;0.6,"Not Ready",
     EmployeesTable[[#This Row],[Succession Skills Readiness %]]&lt;0.8,"Developing",
     TRUE,"Ready")</f>
        <v/>
      </c>
      <c r="Q238" s="4" t="e" cm="1" vm="1">
        <f t="array" ref="Q238">_xlfn.TEXTJOIN(", ",TRUE,
  _xlfn._xlws.FILTER(JobCodeSkills!$G:$G,
    (JobCodeSkills!$B:$B=EmployeesTable[[#This Row],[Job Code]])*
    (JobCodeSkills!$K:$K="Required")
  )
)</f>
        <v>#VALUE!</v>
      </c>
      <c r="R238" s="4"/>
      <c r="S238" s="4"/>
      <c r="T238" s="4"/>
      <c r="U238" s="4"/>
      <c r="V238" s="4" t="str" cm="1">
        <f t="array" ref="V238">IF(EmployeesTable[[#This Row],[Additional Executive Role]]="","",
  _xlfn.TEXTJOIN(", ",TRUE,
    _xlfn._xlws.FILTER(ExecRoleSkills!$B:$B,
      ExecRoleSkills!$A:$A=EmployeesTable[[#This Row],[Additional Executive Role]]
    )
  )
)</f>
        <v/>
      </c>
    </row>
    <row r="239" spans="1:22" ht="30" x14ac:dyDescent="0.25">
      <c r="A239" s="19" t="s">
        <v>339</v>
      </c>
      <c r="B239" s="9">
        <v>10403</v>
      </c>
      <c r="C239" s="3" t="s">
        <v>249</v>
      </c>
      <c r="D239" s="9"/>
      <c r="E239" s="15">
        <v>41015</v>
      </c>
      <c r="F239" s="3" t="s">
        <v>340</v>
      </c>
      <c r="G239" s="3" t="s">
        <v>129</v>
      </c>
      <c r="H239" s="3" t="s">
        <v>12</v>
      </c>
      <c r="I239" s="10" t="s">
        <v>712</v>
      </c>
      <c r="J239" s="4"/>
      <c r="K239" s="4"/>
      <c r="L239" s="4"/>
      <c r="M239" s="4">
        <f>COUNTIFS(JobCodeSkills!$B:$B, EmployeesTable[[#This Row],[Succession Plan Job Code]],
          JobCodeSkills!$K:$K, "Required")</f>
        <v>0</v>
      </c>
      <c r="N239" s="4">
        <f>COUNTIFS(EmployeeSkills!$A:$A, EmployeesTable[[#This Row],[User Name]],
          EmployeeSkills!$B:$B, EmployeesTable[[#This Row],[Succession Plan Job Code]],
          EmployeeSkills!$D:$D, "Competent")</f>
        <v>0</v>
      </c>
      <c r="O239" s="4" t="str">
        <f>IF(EmployeesTable[[#This Row],[Succession Skills Ready – Required Total]]=0,"",
   EmployeesTable[[#This Row],[Succession Skills Ready – Required Met]]/EmployeesTable[[#This Row],[Succession Skills Ready – Required Total]])</f>
        <v/>
      </c>
      <c r="P239" s="4" t="str" cm="1">
        <f t="array" ref="P239">_xlfn.IFS(EmployeesTable[[#This Row],[Succession Skills Readiness %]]="","",
     EmployeesTable[[#This Row],[Succession Skills Readiness %]]&lt;0.6,"Not Ready",
     EmployeesTable[[#This Row],[Succession Skills Readiness %]]&lt;0.8,"Developing",
     TRUE,"Ready")</f>
        <v/>
      </c>
      <c r="Q239" s="4" t="e" cm="1" vm="1">
        <f t="array" ref="Q239">_xlfn.TEXTJOIN(", ",TRUE,
  _xlfn._xlws.FILTER(JobCodeSkills!$G:$G,
    (JobCodeSkills!$B:$B=EmployeesTable[[#This Row],[Job Code]])*
    (JobCodeSkills!$K:$K="Required")
  )
)</f>
        <v>#VALUE!</v>
      </c>
      <c r="R239" s="4"/>
      <c r="S239" s="4"/>
      <c r="T239" s="4"/>
      <c r="U239" s="4"/>
      <c r="V239" s="4" t="str" cm="1">
        <f t="array" ref="V239">IF(EmployeesTable[[#This Row],[Additional Executive Role]]="","",
  _xlfn.TEXTJOIN(", ",TRUE,
    _xlfn._xlws.FILTER(ExecRoleSkills!$B:$B,
      ExecRoleSkills!$A:$A=EmployeesTable[[#This Row],[Additional Executive Role]]
    )
  )
)</f>
        <v/>
      </c>
    </row>
    <row r="240" spans="1:22" ht="30" x14ac:dyDescent="0.25">
      <c r="A240" s="19" t="s">
        <v>624</v>
      </c>
      <c r="B240" s="9">
        <v>10805</v>
      </c>
      <c r="C240" s="3" t="s">
        <v>522</v>
      </c>
      <c r="D240" s="9"/>
      <c r="E240" s="15">
        <v>40805</v>
      </c>
      <c r="F240" s="3" t="s">
        <v>625</v>
      </c>
      <c r="G240" s="3" t="s">
        <v>454</v>
      </c>
      <c r="H240" s="3" t="s">
        <v>12</v>
      </c>
      <c r="I240" s="9" t="s">
        <v>13</v>
      </c>
      <c r="J240" s="4"/>
      <c r="K240" s="4"/>
      <c r="L240" s="4"/>
      <c r="M240" s="4">
        <f>COUNTIFS(JobCodeSkills!$B:$B, EmployeesTable[[#This Row],[Succession Plan Job Code]],
          JobCodeSkills!$K:$K, "Required")</f>
        <v>0</v>
      </c>
      <c r="N240" s="4">
        <f>COUNTIFS(EmployeeSkills!$A:$A, EmployeesTable[[#This Row],[User Name]],
          EmployeeSkills!$B:$B, EmployeesTable[[#This Row],[Succession Plan Job Code]],
          EmployeeSkills!$D:$D, "Competent")</f>
        <v>0</v>
      </c>
      <c r="O240" s="4" t="str">
        <f>IF(EmployeesTable[[#This Row],[Succession Skills Ready – Required Total]]=0,"",
   EmployeesTable[[#This Row],[Succession Skills Ready – Required Met]]/EmployeesTable[[#This Row],[Succession Skills Ready – Required Total]])</f>
        <v/>
      </c>
      <c r="P240" s="4" t="str" cm="1">
        <f t="array" ref="P240">_xlfn.IFS(EmployeesTable[[#This Row],[Succession Skills Readiness %]]="","",
     EmployeesTable[[#This Row],[Succession Skills Readiness %]]&lt;0.6,"Not Ready",
     EmployeesTable[[#This Row],[Succession Skills Readiness %]]&lt;0.8,"Developing",
     TRUE,"Ready")</f>
        <v/>
      </c>
      <c r="Q240" s="4" t="e" cm="1" vm="1">
        <f t="array" ref="Q240">_xlfn.TEXTJOIN(", ",TRUE,
  _xlfn._xlws.FILTER(JobCodeSkills!$G:$G,
    (JobCodeSkills!$B:$B=EmployeesTable[[#This Row],[Job Code]])*
    (JobCodeSkills!$K:$K="Required")
  )
)</f>
        <v>#VALUE!</v>
      </c>
      <c r="R240" s="4"/>
      <c r="S240" s="4"/>
      <c r="T240" s="4"/>
      <c r="U240" s="4"/>
      <c r="V240" s="4" t="str" cm="1">
        <f t="array" ref="V240">IF(EmployeesTable[[#This Row],[Additional Executive Role]]="","",
  _xlfn.TEXTJOIN(", ",TRUE,
    _xlfn._xlws.FILTER(ExecRoleSkills!$B:$B,
      ExecRoleSkills!$A:$A=EmployeesTable[[#This Row],[Additional Executive Role]]
    )
  )
)</f>
        <v/>
      </c>
    </row>
    <row r="241" spans="1:22" ht="30" x14ac:dyDescent="0.25">
      <c r="A241" s="19" t="s">
        <v>626</v>
      </c>
      <c r="B241" s="9">
        <v>10804</v>
      </c>
      <c r="C241" s="3" t="s">
        <v>167</v>
      </c>
      <c r="D241" s="9"/>
      <c r="E241" s="15">
        <v>44446</v>
      </c>
      <c r="F241" s="3" t="s">
        <v>627</v>
      </c>
      <c r="G241" s="3" t="s">
        <v>454</v>
      </c>
      <c r="H241" s="3" t="s">
        <v>12</v>
      </c>
      <c r="I241" s="9" t="s">
        <v>13</v>
      </c>
      <c r="J241" s="4"/>
      <c r="K241" s="4"/>
      <c r="L241" s="4"/>
      <c r="M241" s="4">
        <f>COUNTIFS(JobCodeSkills!$B:$B, EmployeesTable[[#This Row],[Succession Plan Job Code]],
          JobCodeSkills!$K:$K, "Required")</f>
        <v>0</v>
      </c>
      <c r="N241" s="4">
        <f>COUNTIFS(EmployeeSkills!$A:$A, EmployeesTable[[#This Row],[User Name]],
          EmployeeSkills!$B:$B, EmployeesTable[[#This Row],[Succession Plan Job Code]],
          EmployeeSkills!$D:$D, "Competent")</f>
        <v>0</v>
      </c>
      <c r="O241" s="4" t="str">
        <f>IF(EmployeesTable[[#This Row],[Succession Skills Ready – Required Total]]=0,"",
   EmployeesTable[[#This Row],[Succession Skills Ready – Required Met]]/EmployeesTable[[#This Row],[Succession Skills Ready – Required Total]])</f>
        <v/>
      </c>
      <c r="P241" s="4" t="str" cm="1">
        <f t="array" ref="P241">_xlfn.IFS(EmployeesTable[[#This Row],[Succession Skills Readiness %]]="","",
     EmployeesTable[[#This Row],[Succession Skills Readiness %]]&lt;0.6,"Not Ready",
     EmployeesTable[[#This Row],[Succession Skills Readiness %]]&lt;0.8,"Developing",
     TRUE,"Ready")</f>
        <v/>
      </c>
      <c r="Q241" s="4" t="e" cm="1" vm="1">
        <f t="array" ref="Q241">_xlfn.TEXTJOIN(", ",TRUE,
  _xlfn._xlws.FILTER(JobCodeSkills!$G:$G,
    (JobCodeSkills!$B:$B=EmployeesTable[[#This Row],[Job Code]])*
    (JobCodeSkills!$K:$K="Required")
  )
)</f>
        <v>#VALUE!</v>
      </c>
      <c r="R241" s="4"/>
      <c r="S241" s="4"/>
      <c r="T241" s="4"/>
      <c r="U241" s="4"/>
      <c r="V241" s="4" t="str" cm="1">
        <f t="array" ref="V241">IF(EmployeesTable[[#This Row],[Additional Executive Role]]="","",
  _xlfn.TEXTJOIN(", ",TRUE,
    _xlfn._xlws.FILTER(ExecRoleSkills!$B:$B,
      ExecRoleSkills!$A:$A=EmployeesTable[[#This Row],[Additional Executive Role]]
    )
  )
)</f>
        <v/>
      </c>
    </row>
    <row r="242" spans="1:22" ht="30" x14ac:dyDescent="0.25">
      <c r="A242" s="19" t="s">
        <v>343</v>
      </c>
      <c r="B242" s="9">
        <v>10705</v>
      </c>
      <c r="C242" s="3" t="s">
        <v>136</v>
      </c>
      <c r="D242" s="9"/>
      <c r="E242" s="15">
        <v>45391</v>
      </c>
      <c r="F242" s="3" t="s">
        <v>344</v>
      </c>
      <c r="G242" s="3" t="s">
        <v>129</v>
      </c>
      <c r="H242" s="3" t="s">
        <v>12</v>
      </c>
      <c r="I242" s="10" t="s">
        <v>712</v>
      </c>
      <c r="J242" s="4"/>
      <c r="K242" s="4"/>
      <c r="L242" s="4"/>
      <c r="M242" s="4">
        <f>COUNTIFS(JobCodeSkills!$B:$B, EmployeesTable[[#This Row],[Succession Plan Job Code]],
          JobCodeSkills!$K:$K, "Required")</f>
        <v>0</v>
      </c>
      <c r="N242" s="4">
        <f>COUNTIFS(EmployeeSkills!$A:$A, EmployeesTable[[#This Row],[User Name]],
          EmployeeSkills!$B:$B, EmployeesTable[[#This Row],[Succession Plan Job Code]],
          EmployeeSkills!$D:$D, "Competent")</f>
        <v>0</v>
      </c>
      <c r="O242" s="4" t="str">
        <f>IF(EmployeesTable[[#This Row],[Succession Skills Ready – Required Total]]=0,"",
   EmployeesTable[[#This Row],[Succession Skills Ready – Required Met]]/EmployeesTable[[#This Row],[Succession Skills Ready – Required Total]])</f>
        <v/>
      </c>
      <c r="P242" s="4" t="str" cm="1">
        <f t="array" ref="P242">_xlfn.IFS(EmployeesTable[[#This Row],[Succession Skills Readiness %]]="","",
     EmployeesTable[[#This Row],[Succession Skills Readiness %]]&lt;0.6,"Not Ready",
     EmployeesTable[[#This Row],[Succession Skills Readiness %]]&lt;0.8,"Developing",
     TRUE,"Ready")</f>
        <v/>
      </c>
      <c r="Q242" s="4" t="e" cm="1" vm="1">
        <f t="array" ref="Q242">_xlfn.TEXTJOIN(", ",TRUE,
  _xlfn._xlws.FILTER(JobCodeSkills!$G:$G,
    (JobCodeSkills!$B:$B=EmployeesTable[[#This Row],[Job Code]])*
    (JobCodeSkills!$K:$K="Required")
  )
)</f>
        <v>#VALUE!</v>
      </c>
      <c r="R242" s="4"/>
      <c r="S242" s="4"/>
      <c r="T242" s="4"/>
      <c r="U242" s="4"/>
      <c r="V242" s="4" t="str" cm="1">
        <f t="array" ref="V242">IF(EmployeesTable[[#This Row],[Additional Executive Role]]="","",
  _xlfn.TEXTJOIN(", ",TRUE,
    _xlfn._xlws.FILTER(ExecRoleSkills!$B:$B,
      ExecRoleSkills!$A:$A=EmployeesTable[[#This Row],[Additional Executive Role]]
    )
  )
)</f>
        <v/>
      </c>
    </row>
    <row r="243" spans="1:22" x14ac:dyDescent="0.25">
      <c r="A243" s="19" t="s">
        <v>345</v>
      </c>
      <c r="B243" s="9">
        <v>10705</v>
      </c>
      <c r="C243" s="3" t="s">
        <v>346</v>
      </c>
      <c r="D243" s="9"/>
      <c r="E243" s="15">
        <v>44354</v>
      </c>
      <c r="F243" s="3" t="s">
        <v>347</v>
      </c>
      <c r="G243" s="3" t="s">
        <v>129</v>
      </c>
      <c r="H243" s="5" t="s">
        <v>228</v>
      </c>
      <c r="I243" s="10" t="s">
        <v>712</v>
      </c>
      <c r="J243" s="4"/>
      <c r="K243" s="4"/>
      <c r="L243" s="4"/>
      <c r="M243" s="4">
        <f>COUNTIFS(JobCodeSkills!$B:$B, EmployeesTable[[#This Row],[Succession Plan Job Code]],
          JobCodeSkills!$K:$K, "Required")</f>
        <v>0</v>
      </c>
      <c r="N243" s="4">
        <f>COUNTIFS(EmployeeSkills!$A:$A, EmployeesTable[[#This Row],[User Name]],
          EmployeeSkills!$B:$B, EmployeesTable[[#This Row],[Succession Plan Job Code]],
          EmployeeSkills!$D:$D, "Competent")</f>
        <v>0</v>
      </c>
      <c r="O243" s="4" t="str">
        <f>IF(EmployeesTable[[#This Row],[Succession Skills Ready – Required Total]]=0,"",
   EmployeesTable[[#This Row],[Succession Skills Ready – Required Met]]/EmployeesTable[[#This Row],[Succession Skills Ready – Required Total]])</f>
        <v/>
      </c>
      <c r="P243" s="4" t="str" cm="1">
        <f t="array" ref="P243">_xlfn.IFS(EmployeesTable[[#This Row],[Succession Skills Readiness %]]="","",
     EmployeesTable[[#This Row],[Succession Skills Readiness %]]&lt;0.6,"Not Ready",
     EmployeesTable[[#This Row],[Succession Skills Readiness %]]&lt;0.8,"Developing",
     TRUE,"Ready")</f>
        <v/>
      </c>
      <c r="Q243" s="4" t="e" cm="1" vm="1">
        <f t="array" ref="Q243">_xlfn.TEXTJOIN(", ",TRUE,
  _xlfn._xlws.FILTER(JobCodeSkills!$G:$G,
    (JobCodeSkills!$B:$B=EmployeesTable[[#This Row],[Job Code]])*
    (JobCodeSkills!$K:$K="Required")
  )
)</f>
        <v>#VALUE!</v>
      </c>
      <c r="R243" s="4"/>
      <c r="S243" s="4"/>
      <c r="T243" s="4"/>
      <c r="U243" s="4"/>
      <c r="V243" s="4" t="str" cm="1">
        <f t="array" ref="V243">IF(EmployeesTable[[#This Row],[Additional Executive Role]]="","",
  _xlfn.TEXTJOIN(", ",TRUE,
    _xlfn._xlws.FILTER(ExecRoleSkills!$B:$B,
      ExecRoleSkills!$A:$A=EmployeesTable[[#This Row],[Additional Executive Role]]
    )
  )
)</f>
        <v/>
      </c>
    </row>
    <row r="244" spans="1:22" ht="30" x14ac:dyDescent="0.25">
      <c r="A244" s="19" t="s">
        <v>71</v>
      </c>
      <c r="B244" s="9">
        <v>5110</v>
      </c>
      <c r="C244" s="3" t="s">
        <v>72</v>
      </c>
      <c r="D244" s="9"/>
      <c r="E244" s="15">
        <v>45076</v>
      </c>
      <c r="F244" s="3" t="s">
        <v>73</v>
      </c>
      <c r="G244" s="3" t="s">
        <v>70</v>
      </c>
      <c r="H244" s="3" t="s">
        <v>12</v>
      </c>
      <c r="I244" s="10" t="s">
        <v>13</v>
      </c>
      <c r="J244" s="4"/>
      <c r="K244" s="4"/>
      <c r="L244" s="4"/>
      <c r="M244" s="4">
        <f>COUNTIFS(JobCodeSkills!$B:$B, EmployeesTable[[#This Row],[Succession Plan Job Code]],
          JobCodeSkills!$K:$K, "Required")</f>
        <v>0</v>
      </c>
      <c r="N244" s="4">
        <f>COUNTIFS(EmployeeSkills!$A:$A, EmployeesTable[[#This Row],[User Name]],
          EmployeeSkills!$B:$B, EmployeesTable[[#This Row],[Succession Plan Job Code]],
          EmployeeSkills!$D:$D, "Competent")</f>
        <v>0</v>
      </c>
      <c r="O244" s="4" t="str">
        <f>IF(EmployeesTable[[#This Row],[Succession Skills Ready – Required Total]]=0,"",
   EmployeesTable[[#This Row],[Succession Skills Ready – Required Met]]/EmployeesTable[[#This Row],[Succession Skills Ready – Required Total]])</f>
        <v/>
      </c>
      <c r="P244" s="4" t="str" cm="1">
        <f t="array" ref="P244">_xlfn.IFS(EmployeesTable[[#This Row],[Succession Skills Readiness %]]="","",
     EmployeesTable[[#This Row],[Succession Skills Readiness %]]&lt;0.6,"Not Ready",
     EmployeesTable[[#This Row],[Succession Skills Readiness %]]&lt;0.8,"Developing",
     TRUE,"Ready")</f>
        <v/>
      </c>
      <c r="Q244" s="4" t="e" cm="1" vm="1">
        <f t="array" ref="Q244">_xlfn.TEXTJOIN(", ",TRUE,
  _xlfn._xlws.FILTER(JobCodeSkills!$G:$G,
    (JobCodeSkills!$B:$B=EmployeesTable[[#This Row],[Job Code]])*
    (JobCodeSkills!$K:$K="Required")
  )
)</f>
        <v>#VALUE!</v>
      </c>
      <c r="R244" s="4"/>
      <c r="S244" s="4"/>
      <c r="T244" s="4"/>
      <c r="U244" s="4"/>
      <c r="V244" s="4" t="str" cm="1">
        <f t="array" ref="V244">IF(EmployeesTable[[#This Row],[Additional Executive Role]]="","",
  _xlfn.TEXTJOIN(", ",TRUE,
    _xlfn._xlws.FILTER(ExecRoleSkills!$B:$B,
      ExecRoleSkills!$A:$A=EmployeesTable[[#This Row],[Additional Executive Role]]
    )
  )
)</f>
        <v/>
      </c>
    </row>
    <row r="245" spans="1:22" ht="30" x14ac:dyDescent="0.25">
      <c r="A245" s="19" t="s">
        <v>118</v>
      </c>
      <c r="B245" s="9">
        <v>11503</v>
      </c>
      <c r="C245" s="3" t="s">
        <v>113</v>
      </c>
      <c r="D245" s="9"/>
      <c r="E245" s="15">
        <v>44915</v>
      </c>
      <c r="F245" s="3" t="s">
        <v>119</v>
      </c>
      <c r="G245" s="3" t="s">
        <v>103</v>
      </c>
      <c r="H245" s="3" t="s">
        <v>12</v>
      </c>
      <c r="I245" s="10" t="s">
        <v>712</v>
      </c>
      <c r="J245" s="4"/>
      <c r="K245" s="4"/>
      <c r="L245" s="4"/>
      <c r="M245" s="4">
        <f>COUNTIFS(JobCodeSkills!$B:$B, EmployeesTable[[#This Row],[Succession Plan Job Code]],
          JobCodeSkills!$K:$K, "Required")</f>
        <v>0</v>
      </c>
      <c r="N245" s="4">
        <f>COUNTIFS(EmployeeSkills!$A:$A, EmployeesTable[[#This Row],[User Name]],
          EmployeeSkills!$B:$B, EmployeesTable[[#This Row],[Succession Plan Job Code]],
          EmployeeSkills!$D:$D, "Competent")</f>
        <v>0</v>
      </c>
      <c r="O245" s="4" t="str">
        <f>IF(EmployeesTable[[#This Row],[Succession Skills Ready – Required Total]]=0,"",
   EmployeesTable[[#This Row],[Succession Skills Ready – Required Met]]/EmployeesTable[[#This Row],[Succession Skills Ready – Required Total]])</f>
        <v/>
      </c>
      <c r="P245" s="4" t="str" cm="1">
        <f t="array" ref="P245">_xlfn.IFS(EmployeesTable[[#This Row],[Succession Skills Readiness %]]="","",
     EmployeesTable[[#This Row],[Succession Skills Readiness %]]&lt;0.6,"Not Ready",
     EmployeesTable[[#This Row],[Succession Skills Readiness %]]&lt;0.8,"Developing",
     TRUE,"Ready")</f>
        <v/>
      </c>
      <c r="Q245" s="4" t="e" cm="1" vm="1">
        <f t="array" ref="Q245">_xlfn.TEXTJOIN(", ",TRUE,
  _xlfn._xlws.FILTER(JobCodeSkills!$G:$G,
    (JobCodeSkills!$B:$B=EmployeesTable[[#This Row],[Job Code]])*
    (JobCodeSkills!$K:$K="Required")
  )
)</f>
        <v>#VALUE!</v>
      </c>
      <c r="R245" s="4"/>
      <c r="S245" s="4"/>
      <c r="T245" s="4"/>
      <c r="U245" s="4"/>
      <c r="V245" s="4" t="str" cm="1">
        <f t="array" ref="V245">IF(EmployeesTable[[#This Row],[Additional Executive Role]]="","",
  _xlfn.TEXTJOIN(", ",TRUE,
    _xlfn._xlws.FILTER(ExecRoleSkills!$B:$B,
      ExecRoleSkills!$A:$A=EmployeesTable[[#This Row],[Additional Executive Role]]
    )
  )
)</f>
        <v/>
      </c>
    </row>
    <row r="246" spans="1:22" ht="30" x14ac:dyDescent="0.25">
      <c r="A246" s="19" t="s">
        <v>348</v>
      </c>
      <c r="B246" s="9">
        <v>10602</v>
      </c>
      <c r="C246" s="3" t="s">
        <v>136</v>
      </c>
      <c r="D246" s="9"/>
      <c r="E246" s="15">
        <v>45370</v>
      </c>
      <c r="F246" s="3" t="s">
        <v>349</v>
      </c>
      <c r="G246" s="3" t="s">
        <v>129</v>
      </c>
      <c r="H246" s="3" t="s">
        <v>12</v>
      </c>
      <c r="I246" s="10" t="s">
        <v>712</v>
      </c>
      <c r="J246" s="4"/>
      <c r="K246" s="4"/>
      <c r="L246" s="4"/>
      <c r="M246" s="4">
        <f>COUNTIFS(JobCodeSkills!$B:$B, EmployeesTable[[#This Row],[Succession Plan Job Code]],
          JobCodeSkills!$K:$K, "Required")</f>
        <v>0</v>
      </c>
      <c r="N246" s="4">
        <f>COUNTIFS(EmployeeSkills!$A:$A, EmployeesTable[[#This Row],[User Name]],
          EmployeeSkills!$B:$B, EmployeesTable[[#This Row],[Succession Plan Job Code]],
          EmployeeSkills!$D:$D, "Competent")</f>
        <v>0</v>
      </c>
      <c r="O246" s="4" t="str">
        <f>IF(EmployeesTable[[#This Row],[Succession Skills Ready – Required Total]]=0,"",
   EmployeesTable[[#This Row],[Succession Skills Ready – Required Met]]/EmployeesTable[[#This Row],[Succession Skills Ready – Required Total]])</f>
        <v/>
      </c>
      <c r="P246" s="4" t="str" cm="1">
        <f t="array" ref="P246">_xlfn.IFS(EmployeesTable[[#This Row],[Succession Skills Readiness %]]="","",
     EmployeesTable[[#This Row],[Succession Skills Readiness %]]&lt;0.6,"Not Ready",
     EmployeesTable[[#This Row],[Succession Skills Readiness %]]&lt;0.8,"Developing",
     TRUE,"Ready")</f>
        <v/>
      </c>
      <c r="Q246" s="4" t="e" cm="1" vm="1">
        <f t="array" ref="Q246">_xlfn.TEXTJOIN(", ",TRUE,
  _xlfn._xlws.FILTER(JobCodeSkills!$G:$G,
    (JobCodeSkills!$B:$B=EmployeesTable[[#This Row],[Job Code]])*
    (JobCodeSkills!$K:$K="Required")
  )
)</f>
        <v>#VALUE!</v>
      </c>
      <c r="R246" s="4"/>
      <c r="S246" s="4"/>
      <c r="T246" s="4"/>
      <c r="U246" s="4"/>
      <c r="V246" s="4" t="str" cm="1">
        <f t="array" ref="V246">IF(EmployeesTable[[#This Row],[Additional Executive Role]]="","",
  _xlfn.TEXTJOIN(", ",TRUE,
    _xlfn._xlws.FILTER(ExecRoleSkills!$B:$B,
      ExecRoleSkills!$A:$A=EmployeesTable[[#This Row],[Additional Executive Role]]
    )
  )
)</f>
        <v/>
      </c>
    </row>
    <row r="247" spans="1:22" ht="30" x14ac:dyDescent="0.25">
      <c r="A247" s="19" t="s">
        <v>350</v>
      </c>
      <c r="B247" s="9">
        <v>10503</v>
      </c>
      <c r="C247" s="3" t="s">
        <v>187</v>
      </c>
      <c r="D247" s="9"/>
      <c r="E247" s="15">
        <v>44333</v>
      </c>
      <c r="F247" s="3" t="s">
        <v>351</v>
      </c>
      <c r="G247" s="3" t="s">
        <v>129</v>
      </c>
      <c r="H247" s="3" t="s">
        <v>12</v>
      </c>
      <c r="I247" s="10" t="s">
        <v>712</v>
      </c>
      <c r="J247" s="4"/>
      <c r="K247" s="4"/>
      <c r="L247" s="4"/>
      <c r="M247" s="4">
        <f>COUNTIFS(JobCodeSkills!$B:$B, EmployeesTable[[#This Row],[Succession Plan Job Code]],
          JobCodeSkills!$K:$K, "Required")</f>
        <v>0</v>
      </c>
      <c r="N247" s="4">
        <f>COUNTIFS(EmployeeSkills!$A:$A, EmployeesTable[[#This Row],[User Name]],
          EmployeeSkills!$B:$B, EmployeesTable[[#This Row],[Succession Plan Job Code]],
          EmployeeSkills!$D:$D, "Competent")</f>
        <v>0</v>
      </c>
      <c r="O247" s="4" t="str">
        <f>IF(EmployeesTable[[#This Row],[Succession Skills Ready – Required Total]]=0,"",
   EmployeesTable[[#This Row],[Succession Skills Ready – Required Met]]/EmployeesTable[[#This Row],[Succession Skills Ready – Required Total]])</f>
        <v/>
      </c>
      <c r="P247" s="4" t="str" cm="1">
        <f t="array" ref="P247">_xlfn.IFS(EmployeesTable[[#This Row],[Succession Skills Readiness %]]="","",
     EmployeesTable[[#This Row],[Succession Skills Readiness %]]&lt;0.6,"Not Ready",
     EmployeesTable[[#This Row],[Succession Skills Readiness %]]&lt;0.8,"Developing",
     TRUE,"Ready")</f>
        <v/>
      </c>
      <c r="Q247" s="4" t="e" cm="1" vm="1">
        <f t="array" ref="Q247">_xlfn.TEXTJOIN(", ",TRUE,
  _xlfn._xlws.FILTER(JobCodeSkills!$G:$G,
    (JobCodeSkills!$B:$B=EmployeesTable[[#This Row],[Job Code]])*
    (JobCodeSkills!$K:$K="Required")
  )
)</f>
        <v>#VALUE!</v>
      </c>
      <c r="R247" s="4"/>
      <c r="S247" s="4"/>
      <c r="T247" s="4"/>
      <c r="U247" s="4"/>
      <c r="V247" s="4" t="str" cm="1">
        <f t="array" ref="V247">IF(EmployeesTable[[#This Row],[Additional Executive Role]]="","",
  _xlfn.TEXTJOIN(", ",TRUE,
    _xlfn._xlws.FILTER(ExecRoleSkills!$B:$B,
      ExecRoleSkills!$A:$A=EmployeesTable[[#This Row],[Additional Executive Role]]
    )
  )
)</f>
        <v/>
      </c>
    </row>
    <row r="248" spans="1:22" ht="30" x14ac:dyDescent="0.25">
      <c r="A248" s="19" t="s">
        <v>352</v>
      </c>
      <c r="B248" s="9">
        <v>10802</v>
      </c>
      <c r="C248" s="3" t="s">
        <v>141</v>
      </c>
      <c r="D248" s="9"/>
      <c r="E248" s="15">
        <v>45335</v>
      </c>
      <c r="F248" s="3" t="s">
        <v>353</v>
      </c>
      <c r="G248" s="3" t="s">
        <v>129</v>
      </c>
      <c r="H248" s="3" t="s">
        <v>12</v>
      </c>
      <c r="I248" s="10" t="s">
        <v>712</v>
      </c>
      <c r="J248" s="4"/>
      <c r="K248" s="4"/>
      <c r="L248" s="4"/>
      <c r="M248" s="4">
        <f>COUNTIFS(JobCodeSkills!$B:$B, EmployeesTable[[#This Row],[Succession Plan Job Code]],
          JobCodeSkills!$K:$K, "Required")</f>
        <v>0</v>
      </c>
      <c r="N248" s="4">
        <f>COUNTIFS(EmployeeSkills!$A:$A, EmployeesTable[[#This Row],[User Name]],
          EmployeeSkills!$B:$B, EmployeesTable[[#This Row],[Succession Plan Job Code]],
          EmployeeSkills!$D:$D, "Competent")</f>
        <v>0</v>
      </c>
      <c r="O248" s="4" t="str">
        <f>IF(EmployeesTable[[#This Row],[Succession Skills Ready – Required Total]]=0,"",
   EmployeesTable[[#This Row],[Succession Skills Ready – Required Met]]/EmployeesTable[[#This Row],[Succession Skills Ready – Required Total]])</f>
        <v/>
      </c>
      <c r="P248" s="4" t="str" cm="1">
        <f t="array" ref="P248">_xlfn.IFS(EmployeesTable[[#This Row],[Succession Skills Readiness %]]="","",
     EmployeesTable[[#This Row],[Succession Skills Readiness %]]&lt;0.6,"Not Ready",
     EmployeesTable[[#This Row],[Succession Skills Readiness %]]&lt;0.8,"Developing",
     TRUE,"Ready")</f>
        <v/>
      </c>
      <c r="Q248" s="4" t="e" cm="1" vm="1">
        <f t="array" ref="Q248">_xlfn.TEXTJOIN(", ",TRUE,
  _xlfn._xlws.FILTER(JobCodeSkills!$G:$G,
    (JobCodeSkills!$B:$B=EmployeesTable[[#This Row],[Job Code]])*
    (JobCodeSkills!$K:$K="Required")
  )
)</f>
        <v>#VALUE!</v>
      </c>
      <c r="R248" s="4"/>
      <c r="S248" s="4"/>
      <c r="T248" s="4"/>
      <c r="U248" s="4"/>
      <c r="V248" s="4" t="str" cm="1">
        <f t="array" ref="V248">IF(EmployeesTable[[#This Row],[Additional Executive Role]]="","",
  _xlfn.TEXTJOIN(", ",TRUE,
    _xlfn._xlws.FILTER(ExecRoleSkills!$B:$B,
      ExecRoleSkills!$A:$A=EmployeesTable[[#This Row],[Additional Executive Role]]
    )
  )
)</f>
        <v/>
      </c>
    </row>
    <row r="249" spans="1:22" ht="30" x14ac:dyDescent="0.25">
      <c r="A249" s="19" t="s">
        <v>354</v>
      </c>
      <c r="B249" s="9">
        <v>10705</v>
      </c>
      <c r="C249" s="3" t="s">
        <v>136</v>
      </c>
      <c r="D249" s="9"/>
      <c r="E249" s="15">
        <v>45356</v>
      </c>
      <c r="F249" s="3" t="s">
        <v>355</v>
      </c>
      <c r="G249" s="3" t="s">
        <v>129</v>
      </c>
      <c r="H249" s="3" t="s">
        <v>12</v>
      </c>
      <c r="I249" s="10" t="s">
        <v>712</v>
      </c>
      <c r="J249" s="4"/>
      <c r="K249" s="4"/>
      <c r="L249" s="4"/>
      <c r="M249" s="4">
        <f>COUNTIFS(JobCodeSkills!$B:$B, EmployeesTable[[#This Row],[Succession Plan Job Code]],
          JobCodeSkills!$K:$K, "Required")</f>
        <v>0</v>
      </c>
      <c r="N249" s="4">
        <f>COUNTIFS(EmployeeSkills!$A:$A, EmployeesTable[[#This Row],[User Name]],
          EmployeeSkills!$B:$B, EmployeesTable[[#This Row],[Succession Plan Job Code]],
          EmployeeSkills!$D:$D, "Competent")</f>
        <v>0</v>
      </c>
      <c r="O249" s="4" t="str">
        <f>IF(EmployeesTable[[#This Row],[Succession Skills Ready – Required Total]]=0,"",
   EmployeesTable[[#This Row],[Succession Skills Ready – Required Met]]/EmployeesTable[[#This Row],[Succession Skills Ready – Required Total]])</f>
        <v/>
      </c>
      <c r="P249" s="4" t="str" cm="1">
        <f t="array" ref="P249">_xlfn.IFS(EmployeesTable[[#This Row],[Succession Skills Readiness %]]="","",
     EmployeesTable[[#This Row],[Succession Skills Readiness %]]&lt;0.6,"Not Ready",
     EmployeesTable[[#This Row],[Succession Skills Readiness %]]&lt;0.8,"Developing",
     TRUE,"Ready")</f>
        <v/>
      </c>
      <c r="Q249" s="4" t="e" cm="1" vm="1">
        <f t="array" ref="Q249">_xlfn.TEXTJOIN(", ",TRUE,
  _xlfn._xlws.FILTER(JobCodeSkills!$G:$G,
    (JobCodeSkills!$B:$B=EmployeesTable[[#This Row],[Job Code]])*
    (JobCodeSkills!$K:$K="Required")
  )
)</f>
        <v>#VALUE!</v>
      </c>
      <c r="R249" s="4"/>
      <c r="S249" s="4"/>
      <c r="T249" s="4"/>
      <c r="U249" s="4"/>
      <c r="V249" s="4" t="str" cm="1">
        <f t="array" ref="V249">IF(EmployeesTable[[#This Row],[Additional Executive Role]]="","",
  _xlfn.TEXTJOIN(", ",TRUE,
    _xlfn._xlws.FILTER(ExecRoleSkills!$B:$B,
      ExecRoleSkills!$A:$A=EmployeesTable[[#This Row],[Additional Executive Role]]
    )
  )
)</f>
        <v/>
      </c>
    </row>
    <row r="250" spans="1:22" ht="30" x14ac:dyDescent="0.25">
      <c r="A250" s="19" t="s">
        <v>356</v>
      </c>
      <c r="B250" s="9">
        <v>10204</v>
      </c>
      <c r="C250" s="3" t="s">
        <v>49</v>
      </c>
      <c r="D250" s="9"/>
      <c r="E250" s="15">
        <v>41981</v>
      </c>
      <c r="F250" s="3" t="s">
        <v>357</v>
      </c>
      <c r="G250" s="3" t="s">
        <v>129</v>
      </c>
      <c r="H250" s="3" t="s">
        <v>12</v>
      </c>
      <c r="I250" s="10" t="s">
        <v>712</v>
      </c>
      <c r="J250" s="4"/>
      <c r="K250" s="4"/>
      <c r="L250" s="4"/>
      <c r="M250" s="4">
        <f>COUNTIFS(JobCodeSkills!$B:$B, EmployeesTable[[#This Row],[Succession Plan Job Code]],
          JobCodeSkills!$K:$K, "Required")</f>
        <v>0</v>
      </c>
      <c r="N250" s="4">
        <f>COUNTIFS(EmployeeSkills!$A:$A, EmployeesTable[[#This Row],[User Name]],
          EmployeeSkills!$B:$B, EmployeesTable[[#This Row],[Succession Plan Job Code]],
          EmployeeSkills!$D:$D, "Competent")</f>
        <v>0</v>
      </c>
      <c r="O250" s="4" t="str">
        <f>IF(EmployeesTable[[#This Row],[Succession Skills Ready – Required Total]]=0,"",
   EmployeesTable[[#This Row],[Succession Skills Ready – Required Met]]/EmployeesTable[[#This Row],[Succession Skills Ready – Required Total]])</f>
        <v/>
      </c>
      <c r="P250" s="4" t="str" cm="1">
        <f t="array" ref="P250">_xlfn.IFS(EmployeesTable[[#This Row],[Succession Skills Readiness %]]="","",
     EmployeesTable[[#This Row],[Succession Skills Readiness %]]&lt;0.6,"Not Ready",
     EmployeesTable[[#This Row],[Succession Skills Readiness %]]&lt;0.8,"Developing",
     TRUE,"Ready")</f>
        <v/>
      </c>
      <c r="Q250" s="4" t="e" cm="1" vm="1">
        <f t="array" ref="Q250">_xlfn.TEXTJOIN(", ",TRUE,
  _xlfn._xlws.FILTER(JobCodeSkills!$G:$G,
    (JobCodeSkills!$B:$B=EmployeesTable[[#This Row],[Job Code]])*
    (JobCodeSkills!$K:$K="Required")
  )
)</f>
        <v>#VALUE!</v>
      </c>
      <c r="R250" s="4"/>
      <c r="S250" s="4"/>
      <c r="T250" s="4"/>
      <c r="U250" s="4"/>
      <c r="V250" s="4" t="str" cm="1">
        <f t="array" ref="V250">IF(EmployeesTable[[#This Row],[Additional Executive Role]]="","",
  _xlfn.TEXTJOIN(", ",TRUE,
    _xlfn._xlws.FILTER(ExecRoleSkills!$B:$B,
      ExecRoleSkills!$A:$A=EmployeesTable[[#This Row],[Additional Executive Role]]
    )
  )
)</f>
        <v/>
      </c>
    </row>
    <row r="251" spans="1:22" ht="30" x14ac:dyDescent="0.25">
      <c r="A251" s="19" t="s">
        <v>628</v>
      </c>
      <c r="B251" s="9">
        <v>10801</v>
      </c>
      <c r="C251" s="3" t="s">
        <v>475</v>
      </c>
      <c r="D251" s="9"/>
      <c r="E251" s="15">
        <v>45449</v>
      </c>
      <c r="F251" s="3" t="s">
        <v>629</v>
      </c>
      <c r="G251" s="3" t="s">
        <v>454</v>
      </c>
      <c r="H251" s="3" t="s">
        <v>12</v>
      </c>
      <c r="I251" s="9" t="s">
        <v>13</v>
      </c>
      <c r="J251" s="4"/>
      <c r="K251" s="4"/>
      <c r="L251" s="4"/>
      <c r="M251" s="4">
        <f>COUNTIFS(JobCodeSkills!$B:$B, EmployeesTable[[#This Row],[Succession Plan Job Code]],
          JobCodeSkills!$K:$K, "Required")</f>
        <v>0</v>
      </c>
      <c r="N251" s="4">
        <f>COUNTIFS(EmployeeSkills!$A:$A, EmployeesTable[[#This Row],[User Name]],
          EmployeeSkills!$B:$B, EmployeesTable[[#This Row],[Succession Plan Job Code]],
          EmployeeSkills!$D:$D, "Competent")</f>
        <v>0</v>
      </c>
      <c r="O251" s="4" t="str">
        <f>IF(EmployeesTable[[#This Row],[Succession Skills Ready – Required Total]]=0,"",
   EmployeesTable[[#This Row],[Succession Skills Ready – Required Met]]/EmployeesTable[[#This Row],[Succession Skills Ready – Required Total]])</f>
        <v/>
      </c>
      <c r="P251" s="4" t="str" cm="1">
        <f t="array" ref="P251">_xlfn.IFS(EmployeesTable[[#This Row],[Succession Skills Readiness %]]="","",
     EmployeesTable[[#This Row],[Succession Skills Readiness %]]&lt;0.6,"Not Ready",
     EmployeesTable[[#This Row],[Succession Skills Readiness %]]&lt;0.8,"Developing",
     TRUE,"Ready")</f>
        <v/>
      </c>
      <c r="Q251" s="4" t="e" cm="1" vm="1">
        <f t="array" ref="Q251">_xlfn.TEXTJOIN(", ",TRUE,
  _xlfn._xlws.FILTER(JobCodeSkills!$G:$G,
    (JobCodeSkills!$B:$B=EmployeesTable[[#This Row],[Job Code]])*
    (JobCodeSkills!$K:$K="Required")
  )
)</f>
        <v>#VALUE!</v>
      </c>
      <c r="R251" s="4"/>
      <c r="S251" s="4"/>
      <c r="T251" s="4"/>
      <c r="U251" s="4"/>
      <c r="V251" s="4" t="str" cm="1">
        <f t="array" ref="V251">IF(EmployeesTable[[#This Row],[Additional Executive Role]]="","",
  _xlfn.TEXTJOIN(", ",TRUE,
    _xlfn._xlws.FILTER(ExecRoleSkills!$B:$B,
      ExecRoleSkills!$A:$A=EmployeesTable[[#This Row],[Additional Executive Role]]
    )
  )
)</f>
        <v/>
      </c>
    </row>
    <row r="252" spans="1:22" ht="30" x14ac:dyDescent="0.25">
      <c r="A252" s="19" t="s">
        <v>358</v>
      </c>
      <c r="B252" s="9">
        <v>10814</v>
      </c>
      <c r="C252" s="3" t="s">
        <v>127</v>
      </c>
      <c r="D252" s="9"/>
      <c r="E252" s="15">
        <v>44833</v>
      </c>
      <c r="F252" s="3" t="s">
        <v>359</v>
      </c>
      <c r="G252" s="3" t="s">
        <v>129</v>
      </c>
      <c r="H252" s="3" t="s">
        <v>12</v>
      </c>
      <c r="I252" s="10" t="s">
        <v>712</v>
      </c>
      <c r="J252" s="4"/>
      <c r="K252" s="4"/>
      <c r="L252" s="4"/>
      <c r="M252" s="4">
        <f>COUNTIFS(JobCodeSkills!$B:$B, EmployeesTable[[#This Row],[Succession Plan Job Code]],
          JobCodeSkills!$K:$K, "Required")</f>
        <v>0</v>
      </c>
      <c r="N252" s="4">
        <f>COUNTIFS(EmployeeSkills!$A:$A, EmployeesTable[[#This Row],[User Name]],
          EmployeeSkills!$B:$B, EmployeesTable[[#This Row],[Succession Plan Job Code]],
          EmployeeSkills!$D:$D, "Competent")</f>
        <v>0</v>
      </c>
      <c r="O252" s="4" t="str">
        <f>IF(EmployeesTable[[#This Row],[Succession Skills Ready – Required Total]]=0,"",
   EmployeesTable[[#This Row],[Succession Skills Ready – Required Met]]/EmployeesTable[[#This Row],[Succession Skills Ready – Required Total]])</f>
        <v/>
      </c>
      <c r="P252" s="4" t="str" cm="1">
        <f t="array" ref="P252">_xlfn.IFS(EmployeesTable[[#This Row],[Succession Skills Readiness %]]="","",
     EmployeesTable[[#This Row],[Succession Skills Readiness %]]&lt;0.6,"Not Ready",
     EmployeesTable[[#This Row],[Succession Skills Readiness %]]&lt;0.8,"Developing",
     TRUE,"Ready")</f>
        <v/>
      </c>
      <c r="Q252" s="4" t="e" cm="1" vm="1">
        <f t="array" ref="Q252">_xlfn.TEXTJOIN(", ",TRUE,
  _xlfn._xlws.FILTER(JobCodeSkills!$G:$G,
    (JobCodeSkills!$B:$B=EmployeesTable[[#This Row],[Job Code]])*
    (JobCodeSkills!$K:$K="Required")
  )
)</f>
        <v>#VALUE!</v>
      </c>
      <c r="R252" s="4"/>
      <c r="S252" s="4"/>
      <c r="T252" s="4"/>
      <c r="U252" s="4"/>
      <c r="V252" s="4" t="str" cm="1">
        <f t="array" ref="V252">IF(EmployeesTable[[#This Row],[Additional Executive Role]]="","",
  _xlfn.TEXTJOIN(", ",TRUE,
    _xlfn._xlws.FILTER(ExecRoleSkills!$B:$B,
      ExecRoleSkills!$A:$A=EmployeesTable[[#This Row],[Additional Executive Role]]
    )
  )
)</f>
        <v/>
      </c>
    </row>
    <row r="253" spans="1:22" ht="30" x14ac:dyDescent="0.25">
      <c r="A253" s="19" t="s">
        <v>700</v>
      </c>
      <c r="B253" s="9">
        <v>10204</v>
      </c>
      <c r="C253" s="3" t="s">
        <v>49</v>
      </c>
      <c r="D253" s="9"/>
      <c r="E253" s="15">
        <v>43990</v>
      </c>
      <c r="F253" s="3" t="s">
        <v>701</v>
      </c>
      <c r="G253" s="3" t="s">
        <v>687</v>
      </c>
      <c r="H253" s="3" t="s">
        <v>12</v>
      </c>
      <c r="I253" s="9" t="s">
        <v>712</v>
      </c>
      <c r="J253" s="4"/>
      <c r="K253" s="4"/>
      <c r="L253" s="4"/>
      <c r="M253" s="4">
        <f>COUNTIFS(JobCodeSkills!$B:$B, EmployeesTable[[#This Row],[Succession Plan Job Code]],
          JobCodeSkills!$K:$K, "Required")</f>
        <v>0</v>
      </c>
      <c r="N253" s="4">
        <f>COUNTIFS(EmployeeSkills!$A:$A, EmployeesTable[[#This Row],[User Name]],
          EmployeeSkills!$B:$B, EmployeesTable[[#This Row],[Succession Plan Job Code]],
          EmployeeSkills!$D:$D, "Competent")</f>
        <v>0</v>
      </c>
      <c r="O253" s="4" t="str">
        <f>IF(EmployeesTable[[#This Row],[Succession Skills Ready – Required Total]]=0,"",
   EmployeesTable[[#This Row],[Succession Skills Ready – Required Met]]/EmployeesTable[[#This Row],[Succession Skills Ready – Required Total]])</f>
        <v/>
      </c>
      <c r="P253" s="4" t="str" cm="1">
        <f t="array" ref="P253">_xlfn.IFS(EmployeesTable[[#This Row],[Succession Skills Readiness %]]="","",
     EmployeesTable[[#This Row],[Succession Skills Readiness %]]&lt;0.6,"Not Ready",
     EmployeesTable[[#This Row],[Succession Skills Readiness %]]&lt;0.8,"Developing",
     TRUE,"Ready")</f>
        <v/>
      </c>
      <c r="Q253" s="4" t="e" cm="1" vm="1">
        <f t="array" ref="Q253">_xlfn.TEXTJOIN(", ",TRUE,
  _xlfn._xlws.FILTER(JobCodeSkills!$G:$G,
    (JobCodeSkills!$B:$B=EmployeesTable[[#This Row],[Job Code]])*
    (JobCodeSkills!$K:$K="Required")
  )
)</f>
        <v>#VALUE!</v>
      </c>
      <c r="R253" s="4"/>
      <c r="S253" s="4"/>
      <c r="T253" s="4"/>
      <c r="U253" s="4"/>
      <c r="V253" s="4" t="str" cm="1">
        <f t="array" ref="V253">IF(EmployeesTable[[#This Row],[Additional Executive Role]]="","",
  _xlfn.TEXTJOIN(", ",TRUE,
    _xlfn._xlws.FILTER(ExecRoleSkills!$B:$B,
      ExecRoleSkills!$A:$A=EmployeesTable[[#This Row],[Additional Executive Role]]
    )
  )
)</f>
        <v/>
      </c>
    </row>
    <row r="254" spans="1:22" ht="30" x14ac:dyDescent="0.25">
      <c r="A254" s="19" t="s">
        <v>360</v>
      </c>
      <c r="B254" s="9">
        <v>10503</v>
      </c>
      <c r="C254" s="3" t="s">
        <v>164</v>
      </c>
      <c r="D254" s="9"/>
      <c r="E254" s="15">
        <v>42380</v>
      </c>
      <c r="F254" s="3" t="s">
        <v>361</v>
      </c>
      <c r="G254" s="3" t="s">
        <v>129</v>
      </c>
      <c r="H254" s="3" t="s">
        <v>12</v>
      </c>
      <c r="I254" s="10" t="s">
        <v>712</v>
      </c>
      <c r="J254" s="4"/>
      <c r="K254" s="4"/>
      <c r="L254" s="4"/>
      <c r="M254" s="4">
        <f>COUNTIFS(JobCodeSkills!$B:$B, EmployeesTable[[#This Row],[Succession Plan Job Code]],
          JobCodeSkills!$K:$K, "Required")</f>
        <v>0</v>
      </c>
      <c r="N254" s="4">
        <f>COUNTIFS(EmployeeSkills!$A:$A, EmployeesTable[[#This Row],[User Name]],
          EmployeeSkills!$B:$B, EmployeesTable[[#This Row],[Succession Plan Job Code]],
          EmployeeSkills!$D:$D, "Competent")</f>
        <v>0</v>
      </c>
      <c r="O254" s="4" t="str">
        <f>IF(EmployeesTable[[#This Row],[Succession Skills Ready – Required Total]]=0,"",
   EmployeesTable[[#This Row],[Succession Skills Ready – Required Met]]/EmployeesTable[[#This Row],[Succession Skills Ready – Required Total]])</f>
        <v/>
      </c>
      <c r="P254" s="4" t="str" cm="1">
        <f t="array" ref="P254">_xlfn.IFS(EmployeesTable[[#This Row],[Succession Skills Readiness %]]="","",
     EmployeesTable[[#This Row],[Succession Skills Readiness %]]&lt;0.6,"Not Ready",
     EmployeesTable[[#This Row],[Succession Skills Readiness %]]&lt;0.8,"Developing",
     TRUE,"Ready")</f>
        <v/>
      </c>
      <c r="Q254" s="4" t="e" cm="1" vm="1">
        <f t="array" ref="Q254">_xlfn.TEXTJOIN(", ",TRUE,
  _xlfn._xlws.FILTER(JobCodeSkills!$G:$G,
    (JobCodeSkills!$B:$B=EmployeesTable[[#This Row],[Job Code]])*
    (JobCodeSkills!$K:$K="Required")
  )
)</f>
        <v>#VALUE!</v>
      </c>
      <c r="R254" s="4"/>
      <c r="S254" s="4"/>
      <c r="T254" s="4"/>
      <c r="U254" s="4"/>
      <c r="V254" s="4" t="str" cm="1">
        <f t="array" ref="V254">IF(EmployeesTable[[#This Row],[Additional Executive Role]]="","",
  _xlfn.TEXTJOIN(", ",TRUE,
    _xlfn._xlws.FILTER(ExecRoleSkills!$B:$B,
      ExecRoleSkills!$A:$A=EmployeesTable[[#This Row],[Additional Executive Role]]
    )
  )
)</f>
        <v/>
      </c>
    </row>
    <row r="255" spans="1:22" ht="30" x14ac:dyDescent="0.25">
      <c r="A255" s="19" t="s">
        <v>630</v>
      </c>
      <c r="B255" s="9">
        <v>10813</v>
      </c>
      <c r="C255" s="3" t="s">
        <v>133</v>
      </c>
      <c r="D255" s="9"/>
      <c r="E255" s="15">
        <v>45531</v>
      </c>
      <c r="F255" s="3" t="s">
        <v>631</v>
      </c>
      <c r="G255" s="3" t="s">
        <v>454</v>
      </c>
      <c r="H255" s="3" t="s">
        <v>12</v>
      </c>
      <c r="I255" s="9" t="s">
        <v>13</v>
      </c>
      <c r="J255" s="4"/>
      <c r="K255" s="4"/>
      <c r="L255" s="4"/>
      <c r="M255" s="4">
        <f>COUNTIFS(JobCodeSkills!$B:$B, EmployeesTable[[#This Row],[Succession Plan Job Code]],
          JobCodeSkills!$K:$K, "Required")</f>
        <v>0</v>
      </c>
      <c r="N255" s="4">
        <f>COUNTIFS(EmployeeSkills!$A:$A, EmployeesTable[[#This Row],[User Name]],
          EmployeeSkills!$B:$B, EmployeesTable[[#This Row],[Succession Plan Job Code]],
          EmployeeSkills!$D:$D, "Competent")</f>
        <v>0</v>
      </c>
      <c r="O255" s="4" t="str">
        <f>IF(EmployeesTable[[#This Row],[Succession Skills Ready – Required Total]]=0,"",
   EmployeesTable[[#This Row],[Succession Skills Ready – Required Met]]/EmployeesTable[[#This Row],[Succession Skills Ready – Required Total]])</f>
        <v/>
      </c>
      <c r="P255" s="4" t="str" cm="1">
        <f t="array" ref="P255">_xlfn.IFS(EmployeesTable[[#This Row],[Succession Skills Readiness %]]="","",
     EmployeesTable[[#This Row],[Succession Skills Readiness %]]&lt;0.6,"Not Ready",
     EmployeesTable[[#This Row],[Succession Skills Readiness %]]&lt;0.8,"Developing",
     TRUE,"Ready")</f>
        <v/>
      </c>
      <c r="Q255" s="4" t="e" cm="1" vm="1">
        <f t="array" ref="Q255">_xlfn.TEXTJOIN(", ",TRUE,
  _xlfn._xlws.FILTER(JobCodeSkills!$G:$G,
    (JobCodeSkills!$B:$B=EmployeesTable[[#This Row],[Job Code]])*
    (JobCodeSkills!$K:$K="Required")
  )
)</f>
        <v>#VALUE!</v>
      </c>
      <c r="R255" s="4"/>
      <c r="S255" s="4"/>
      <c r="T255" s="4"/>
      <c r="U255" s="4"/>
      <c r="V255" s="4" t="str" cm="1">
        <f t="array" ref="V255">IF(EmployeesTable[[#This Row],[Additional Executive Role]]="","",
  _xlfn.TEXTJOIN(", ",TRUE,
    _xlfn._xlws.FILTER(ExecRoleSkills!$B:$B,
      ExecRoleSkills!$A:$A=EmployeesTable[[#This Row],[Additional Executive Role]]
    )
  )
)</f>
        <v/>
      </c>
    </row>
    <row r="256" spans="1:22" ht="30" x14ac:dyDescent="0.25">
      <c r="A256" s="19" t="s">
        <v>362</v>
      </c>
      <c r="B256" s="9">
        <v>10503</v>
      </c>
      <c r="C256" s="3" t="s">
        <v>164</v>
      </c>
      <c r="D256" s="9"/>
      <c r="E256" s="15">
        <v>45321</v>
      </c>
      <c r="F256" s="3" t="s">
        <v>363</v>
      </c>
      <c r="G256" s="3" t="s">
        <v>129</v>
      </c>
      <c r="H256" s="3" t="s">
        <v>12</v>
      </c>
      <c r="I256" s="10" t="s">
        <v>712</v>
      </c>
      <c r="J256" s="4"/>
      <c r="K256" s="4"/>
      <c r="L256" s="4"/>
      <c r="M256" s="4">
        <f>COUNTIFS(JobCodeSkills!$B:$B, EmployeesTable[[#This Row],[Succession Plan Job Code]],
          JobCodeSkills!$K:$K, "Required")</f>
        <v>0</v>
      </c>
      <c r="N256" s="4">
        <f>COUNTIFS(EmployeeSkills!$A:$A, EmployeesTable[[#This Row],[User Name]],
          EmployeeSkills!$B:$B, EmployeesTable[[#This Row],[Succession Plan Job Code]],
          EmployeeSkills!$D:$D, "Competent")</f>
        <v>0</v>
      </c>
      <c r="O256" s="4" t="str">
        <f>IF(EmployeesTable[[#This Row],[Succession Skills Ready – Required Total]]=0,"",
   EmployeesTable[[#This Row],[Succession Skills Ready – Required Met]]/EmployeesTable[[#This Row],[Succession Skills Ready – Required Total]])</f>
        <v/>
      </c>
      <c r="P256" s="4" t="str" cm="1">
        <f t="array" ref="P256">_xlfn.IFS(EmployeesTable[[#This Row],[Succession Skills Readiness %]]="","",
     EmployeesTable[[#This Row],[Succession Skills Readiness %]]&lt;0.6,"Not Ready",
     EmployeesTable[[#This Row],[Succession Skills Readiness %]]&lt;0.8,"Developing",
     TRUE,"Ready")</f>
        <v/>
      </c>
      <c r="Q256" s="4" t="e" cm="1" vm="1">
        <f t="array" ref="Q256">_xlfn.TEXTJOIN(", ",TRUE,
  _xlfn._xlws.FILTER(JobCodeSkills!$G:$G,
    (JobCodeSkills!$B:$B=EmployeesTable[[#This Row],[Job Code]])*
    (JobCodeSkills!$K:$K="Required")
  )
)</f>
        <v>#VALUE!</v>
      </c>
      <c r="R256" s="4"/>
      <c r="S256" s="4"/>
      <c r="T256" s="4"/>
      <c r="U256" s="4"/>
      <c r="V256" s="4" t="str" cm="1">
        <f t="array" ref="V256">IF(EmployeesTable[[#This Row],[Additional Executive Role]]="","",
  _xlfn.TEXTJOIN(", ",TRUE,
    _xlfn._xlws.FILTER(ExecRoleSkills!$B:$B,
      ExecRoleSkills!$A:$A=EmployeesTable[[#This Row],[Additional Executive Role]]
    )
  )
)</f>
        <v/>
      </c>
    </row>
    <row r="257" spans="1:22" ht="30" x14ac:dyDescent="0.25">
      <c r="A257" s="19" t="s">
        <v>364</v>
      </c>
      <c r="B257" s="9">
        <v>10804</v>
      </c>
      <c r="C257" s="3" t="s">
        <v>346</v>
      </c>
      <c r="D257" s="9"/>
      <c r="E257" s="15">
        <v>44903</v>
      </c>
      <c r="F257" s="3" t="s">
        <v>365</v>
      </c>
      <c r="G257" s="3" t="s">
        <v>129</v>
      </c>
      <c r="H257" s="3" t="s">
        <v>12</v>
      </c>
      <c r="I257" s="10" t="s">
        <v>712</v>
      </c>
      <c r="J257" s="4"/>
      <c r="K257" s="4"/>
      <c r="L257" s="4"/>
      <c r="M257" s="4">
        <f>COUNTIFS(JobCodeSkills!$B:$B, EmployeesTable[[#This Row],[Succession Plan Job Code]],
          JobCodeSkills!$K:$K, "Required")</f>
        <v>0</v>
      </c>
      <c r="N257" s="4">
        <f>COUNTIFS(EmployeeSkills!$A:$A, EmployeesTable[[#This Row],[User Name]],
          EmployeeSkills!$B:$B, EmployeesTable[[#This Row],[Succession Plan Job Code]],
          EmployeeSkills!$D:$D, "Competent")</f>
        <v>0</v>
      </c>
      <c r="O257" s="4" t="str">
        <f>IF(EmployeesTable[[#This Row],[Succession Skills Ready – Required Total]]=0,"",
   EmployeesTable[[#This Row],[Succession Skills Ready – Required Met]]/EmployeesTable[[#This Row],[Succession Skills Ready – Required Total]])</f>
        <v/>
      </c>
      <c r="P257" s="4" t="str" cm="1">
        <f t="array" ref="P257">_xlfn.IFS(EmployeesTable[[#This Row],[Succession Skills Readiness %]]="","",
     EmployeesTable[[#This Row],[Succession Skills Readiness %]]&lt;0.6,"Not Ready",
     EmployeesTable[[#This Row],[Succession Skills Readiness %]]&lt;0.8,"Developing",
     TRUE,"Ready")</f>
        <v/>
      </c>
      <c r="Q257" s="4" t="e" cm="1" vm="1">
        <f t="array" ref="Q257">_xlfn.TEXTJOIN(", ",TRUE,
  _xlfn._xlws.FILTER(JobCodeSkills!$G:$G,
    (JobCodeSkills!$B:$B=EmployeesTable[[#This Row],[Job Code]])*
    (JobCodeSkills!$K:$K="Required")
  )
)</f>
        <v>#VALUE!</v>
      </c>
      <c r="R257" s="4"/>
      <c r="S257" s="4"/>
      <c r="T257" s="4"/>
      <c r="U257" s="4"/>
      <c r="V257" s="4" t="str" cm="1">
        <f t="array" ref="V257">IF(EmployeesTable[[#This Row],[Additional Executive Role]]="","",
  _xlfn.TEXTJOIN(", ",TRUE,
    _xlfn._xlws.FILTER(ExecRoleSkills!$B:$B,
      ExecRoleSkills!$A:$A=EmployeesTable[[#This Row],[Additional Executive Role]]
    )
  )
)</f>
        <v/>
      </c>
    </row>
    <row r="258" spans="1:22" ht="30" x14ac:dyDescent="0.25">
      <c r="A258" s="19" t="s">
        <v>632</v>
      </c>
      <c r="B258" s="9">
        <v>10501</v>
      </c>
      <c r="C258" s="3" t="s">
        <v>156</v>
      </c>
      <c r="D258" s="9"/>
      <c r="E258" s="15">
        <v>44495</v>
      </c>
      <c r="F258" s="3" t="s">
        <v>633</v>
      </c>
      <c r="G258" s="3" t="s">
        <v>454</v>
      </c>
      <c r="H258" s="3" t="s">
        <v>12</v>
      </c>
      <c r="I258" s="9" t="s">
        <v>13</v>
      </c>
      <c r="J258" s="4"/>
      <c r="K258" s="4"/>
      <c r="L258" s="4"/>
      <c r="M258" s="4">
        <f>COUNTIFS(JobCodeSkills!$B:$B, EmployeesTable[[#This Row],[Succession Plan Job Code]],
          JobCodeSkills!$K:$K, "Required")</f>
        <v>0</v>
      </c>
      <c r="N258" s="4">
        <f>COUNTIFS(EmployeeSkills!$A:$A, EmployeesTable[[#This Row],[User Name]],
          EmployeeSkills!$B:$B, EmployeesTable[[#This Row],[Succession Plan Job Code]],
          EmployeeSkills!$D:$D, "Competent")</f>
        <v>0</v>
      </c>
      <c r="O258" s="4" t="str">
        <f>IF(EmployeesTable[[#This Row],[Succession Skills Ready – Required Total]]=0,"",
   EmployeesTable[[#This Row],[Succession Skills Ready – Required Met]]/EmployeesTable[[#This Row],[Succession Skills Ready – Required Total]])</f>
        <v/>
      </c>
      <c r="P258" s="4" t="str" cm="1">
        <f t="array" ref="P258">_xlfn.IFS(EmployeesTable[[#This Row],[Succession Skills Readiness %]]="","",
     EmployeesTable[[#This Row],[Succession Skills Readiness %]]&lt;0.6,"Not Ready",
     EmployeesTable[[#This Row],[Succession Skills Readiness %]]&lt;0.8,"Developing",
     TRUE,"Ready")</f>
        <v/>
      </c>
      <c r="Q258" s="4" t="e" cm="1" vm="1">
        <f t="array" ref="Q258">_xlfn.TEXTJOIN(", ",TRUE,
  _xlfn._xlws.FILTER(JobCodeSkills!$G:$G,
    (JobCodeSkills!$B:$B=EmployeesTable[[#This Row],[Job Code]])*
    (JobCodeSkills!$K:$K="Required")
  )
)</f>
        <v>#VALUE!</v>
      </c>
      <c r="R258" s="4"/>
      <c r="S258" s="4"/>
      <c r="T258" s="4"/>
      <c r="U258" s="4"/>
      <c r="V258" s="4" t="str" cm="1">
        <f t="array" ref="V258">IF(EmployeesTable[[#This Row],[Additional Executive Role]]="","",
  _xlfn.TEXTJOIN(", ",TRUE,
    _xlfn._xlws.FILTER(ExecRoleSkills!$B:$B,
      ExecRoleSkills!$A:$A=EmployeesTable[[#This Row],[Additional Executive Role]]
    )
  )
)</f>
        <v/>
      </c>
    </row>
    <row r="259" spans="1:22" ht="30" x14ac:dyDescent="0.25">
      <c r="A259" s="19" t="s">
        <v>634</v>
      </c>
      <c r="B259" s="9">
        <v>10804</v>
      </c>
      <c r="C259" s="3" t="s">
        <v>141</v>
      </c>
      <c r="D259" s="9"/>
      <c r="E259" s="15">
        <v>44504</v>
      </c>
      <c r="F259" s="3" t="s">
        <v>635</v>
      </c>
      <c r="G259" s="3" t="s">
        <v>454</v>
      </c>
      <c r="H259" s="3" t="s">
        <v>12</v>
      </c>
      <c r="I259" s="9" t="s">
        <v>13</v>
      </c>
      <c r="J259" s="4"/>
      <c r="K259" s="4"/>
      <c r="L259" s="4"/>
      <c r="M259" s="4">
        <f>COUNTIFS(JobCodeSkills!$B:$B, EmployeesTable[[#This Row],[Succession Plan Job Code]],
          JobCodeSkills!$K:$K, "Required")</f>
        <v>0</v>
      </c>
      <c r="N259" s="4">
        <f>COUNTIFS(EmployeeSkills!$A:$A, EmployeesTable[[#This Row],[User Name]],
          EmployeeSkills!$B:$B, EmployeesTable[[#This Row],[Succession Plan Job Code]],
          EmployeeSkills!$D:$D, "Competent")</f>
        <v>0</v>
      </c>
      <c r="O259" s="4" t="str">
        <f>IF(EmployeesTable[[#This Row],[Succession Skills Ready – Required Total]]=0,"",
   EmployeesTable[[#This Row],[Succession Skills Ready – Required Met]]/EmployeesTable[[#This Row],[Succession Skills Ready – Required Total]])</f>
        <v/>
      </c>
      <c r="P259" s="4" t="str" cm="1">
        <f t="array" ref="P259">_xlfn.IFS(EmployeesTable[[#This Row],[Succession Skills Readiness %]]="","",
     EmployeesTable[[#This Row],[Succession Skills Readiness %]]&lt;0.6,"Not Ready",
     EmployeesTable[[#This Row],[Succession Skills Readiness %]]&lt;0.8,"Developing",
     TRUE,"Ready")</f>
        <v/>
      </c>
      <c r="Q259" s="4" t="e" cm="1" vm="1">
        <f t="array" ref="Q259">_xlfn.TEXTJOIN(", ",TRUE,
  _xlfn._xlws.FILTER(JobCodeSkills!$G:$G,
    (JobCodeSkills!$B:$B=EmployeesTable[[#This Row],[Job Code]])*
    (JobCodeSkills!$K:$K="Required")
  )
)</f>
        <v>#VALUE!</v>
      </c>
      <c r="R259" s="4"/>
      <c r="S259" s="4"/>
      <c r="T259" s="4"/>
      <c r="U259" s="4"/>
      <c r="V259" s="4" t="str" cm="1">
        <f t="array" ref="V259">IF(EmployeesTable[[#This Row],[Additional Executive Role]]="","",
  _xlfn.TEXTJOIN(", ",TRUE,
    _xlfn._xlws.FILTER(ExecRoleSkills!$B:$B,
      ExecRoleSkills!$A:$A=EmployeesTable[[#This Row],[Additional Executive Role]]
    )
  )
)</f>
        <v/>
      </c>
    </row>
    <row r="260" spans="1:22" ht="30" x14ac:dyDescent="0.25">
      <c r="A260" s="19" t="s">
        <v>636</v>
      </c>
      <c r="B260" s="9">
        <v>10802</v>
      </c>
      <c r="C260" s="3" t="s">
        <v>141</v>
      </c>
      <c r="D260" s="9"/>
      <c r="E260" s="15">
        <v>45568</v>
      </c>
      <c r="F260" s="3" t="s">
        <v>637</v>
      </c>
      <c r="G260" s="3" t="s">
        <v>454</v>
      </c>
      <c r="H260" s="3" t="s">
        <v>12</v>
      </c>
      <c r="I260" s="9" t="s">
        <v>13</v>
      </c>
      <c r="J260" s="4"/>
      <c r="K260" s="4"/>
      <c r="L260" s="4"/>
      <c r="M260" s="4">
        <f>COUNTIFS(JobCodeSkills!$B:$B, EmployeesTable[[#This Row],[Succession Plan Job Code]],
          JobCodeSkills!$K:$K, "Required")</f>
        <v>0</v>
      </c>
      <c r="N260" s="4">
        <f>COUNTIFS(EmployeeSkills!$A:$A, EmployeesTable[[#This Row],[User Name]],
          EmployeeSkills!$B:$B, EmployeesTable[[#This Row],[Succession Plan Job Code]],
          EmployeeSkills!$D:$D, "Competent")</f>
        <v>0</v>
      </c>
      <c r="O260" s="4" t="str">
        <f>IF(EmployeesTable[[#This Row],[Succession Skills Ready – Required Total]]=0,"",
   EmployeesTable[[#This Row],[Succession Skills Ready – Required Met]]/EmployeesTable[[#This Row],[Succession Skills Ready – Required Total]])</f>
        <v/>
      </c>
      <c r="P260" s="4" t="str" cm="1">
        <f t="array" ref="P260">_xlfn.IFS(EmployeesTable[[#This Row],[Succession Skills Readiness %]]="","",
     EmployeesTable[[#This Row],[Succession Skills Readiness %]]&lt;0.6,"Not Ready",
     EmployeesTable[[#This Row],[Succession Skills Readiness %]]&lt;0.8,"Developing",
     TRUE,"Ready")</f>
        <v/>
      </c>
      <c r="Q260" s="4" t="e" cm="1" vm="1">
        <f t="array" ref="Q260">_xlfn.TEXTJOIN(", ",TRUE,
  _xlfn._xlws.FILTER(JobCodeSkills!$G:$G,
    (JobCodeSkills!$B:$B=EmployeesTable[[#This Row],[Job Code]])*
    (JobCodeSkills!$K:$K="Required")
  )
)</f>
        <v>#VALUE!</v>
      </c>
      <c r="R260" s="4"/>
      <c r="S260" s="4"/>
      <c r="T260" s="4"/>
      <c r="U260" s="4"/>
      <c r="V260" s="4" t="str" cm="1">
        <f t="array" ref="V260">IF(EmployeesTable[[#This Row],[Additional Executive Role]]="","",
  _xlfn.TEXTJOIN(", ",TRUE,
    _xlfn._xlws.FILTER(ExecRoleSkills!$B:$B,
      ExecRoleSkills!$A:$A=EmployeesTable[[#This Row],[Additional Executive Role]]
    )
  )
)</f>
        <v/>
      </c>
    </row>
    <row r="261" spans="1:22" ht="30" x14ac:dyDescent="0.25">
      <c r="A261" s="19" t="s">
        <v>638</v>
      </c>
      <c r="B261" s="9">
        <v>10401</v>
      </c>
      <c r="C261" s="3" t="s">
        <v>184</v>
      </c>
      <c r="D261" s="9"/>
      <c r="E261" s="15">
        <v>41362</v>
      </c>
      <c r="F261" s="3" t="s">
        <v>639</v>
      </c>
      <c r="G261" s="3" t="s">
        <v>454</v>
      </c>
      <c r="H261" s="3" t="s">
        <v>12</v>
      </c>
      <c r="I261" s="9" t="s">
        <v>13</v>
      </c>
      <c r="J261" s="4"/>
      <c r="K261" s="4"/>
      <c r="L261" s="4"/>
      <c r="M261" s="4">
        <f>COUNTIFS(JobCodeSkills!$B:$B, EmployeesTable[[#This Row],[Succession Plan Job Code]],
          JobCodeSkills!$K:$K, "Required")</f>
        <v>0</v>
      </c>
      <c r="N261" s="4">
        <f>COUNTIFS(EmployeeSkills!$A:$A, EmployeesTable[[#This Row],[User Name]],
          EmployeeSkills!$B:$B, EmployeesTable[[#This Row],[Succession Plan Job Code]],
          EmployeeSkills!$D:$D, "Competent")</f>
        <v>0</v>
      </c>
      <c r="O261" s="4" t="str">
        <f>IF(EmployeesTable[[#This Row],[Succession Skills Ready – Required Total]]=0,"",
   EmployeesTable[[#This Row],[Succession Skills Ready – Required Met]]/EmployeesTable[[#This Row],[Succession Skills Ready – Required Total]])</f>
        <v/>
      </c>
      <c r="P261" s="4" t="str" cm="1">
        <f t="array" ref="P261">_xlfn.IFS(EmployeesTable[[#This Row],[Succession Skills Readiness %]]="","",
     EmployeesTable[[#This Row],[Succession Skills Readiness %]]&lt;0.6,"Not Ready",
     EmployeesTable[[#This Row],[Succession Skills Readiness %]]&lt;0.8,"Developing",
     TRUE,"Ready")</f>
        <v/>
      </c>
      <c r="Q261" s="4" t="e" cm="1" vm="1">
        <f t="array" ref="Q261">_xlfn.TEXTJOIN(", ",TRUE,
  _xlfn._xlws.FILTER(JobCodeSkills!$G:$G,
    (JobCodeSkills!$B:$B=EmployeesTable[[#This Row],[Job Code]])*
    (JobCodeSkills!$K:$K="Required")
  )
)</f>
        <v>#VALUE!</v>
      </c>
      <c r="R261" s="4"/>
      <c r="S261" s="4"/>
      <c r="T261" s="4"/>
      <c r="U261" s="4"/>
      <c r="V261" s="4" t="str" cm="1">
        <f t="array" ref="V261">IF(EmployeesTable[[#This Row],[Additional Executive Role]]="","",
  _xlfn.TEXTJOIN(", ",TRUE,
    _xlfn._xlws.FILTER(ExecRoleSkills!$B:$B,
      ExecRoleSkills!$A:$A=EmployeesTable[[#This Row],[Additional Executive Role]]
    )
  )
)</f>
        <v/>
      </c>
    </row>
    <row r="262" spans="1:22" ht="30" x14ac:dyDescent="0.25">
      <c r="A262" s="19" t="s">
        <v>640</v>
      </c>
      <c r="B262" s="9">
        <v>10502</v>
      </c>
      <c r="C262" s="3" t="s">
        <v>187</v>
      </c>
      <c r="D262" s="9"/>
      <c r="E262" s="15">
        <v>42453</v>
      </c>
      <c r="F262" s="3" t="s">
        <v>641</v>
      </c>
      <c r="G262" s="3" t="s">
        <v>454</v>
      </c>
      <c r="H262" s="3" t="s">
        <v>12</v>
      </c>
      <c r="I262" s="9" t="s">
        <v>13</v>
      </c>
      <c r="J262" s="4"/>
      <c r="K262" s="4"/>
      <c r="L262" s="4"/>
      <c r="M262" s="4">
        <f>COUNTIFS(JobCodeSkills!$B:$B, EmployeesTable[[#This Row],[Succession Plan Job Code]],
          JobCodeSkills!$K:$K, "Required")</f>
        <v>0</v>
      </c>
      <c r="N262" s="4">
        <f>COUNTIFS(EmployeeSkills!$A:$A, EmployeesTable[[#This Row],[User Name]],
          EmployeeSkills!$B:$B, EmployeesTable[[#This Row],[Succession Plan Job Code]],
          EmployeeSkills!$D:$D, "Competent")</f>
        <v>0</v>
      </c>
      <c r="O262" s="4" t="str">
        <f>IF(EmployeesTable[[#This Row],[Succession Skills Ready – Required Total]]=0,"",
   EmployeesTable[[#This Row],[Succession Skills Ready – Required Met]]/EmployeesTable[[#This Row],[Succession Skills Ready – Required Total]])</f>
        <v/>
      </c>
      <c r="P262" s="4" t="str" cm="1">
        <f t="array" ref="P262">_xlfn.IFS(EmployeesTable[[#This Row],[Succession Skills Readiness %]]="","",
     EmployeesTable[[#This Row],[Succession Skills Readiness %]]&lt;0.6,"Not Ready",
     EmployeesTable[[#This Row],[Succession Skills Readiness %]]&lt;0.8,"Developing",
     TRUE,"Ready")</f>
        <v/>
      </c>
      <c r="Q262" s="4" t="e" cm="1" vm="1">
        <f t="array" ref="Q262">_xlfn.TEXTJOIN(", ",TRUE,
  _xlfn._xlws.FILTER(JobCodeSkills!$G:$G,
    (JobCodeSkills!$B:$B=EmployeesTable[[#This Row],[Job Code]])*
    (JobCodeSkills!$K:$K="Required")
  )
)</f>
        <v>#VALUE!</v>
      </c>
      <c r="R262" s="4"/>
      <c r="S262" s="4"/>
      <c r="T262" s="4"/>
      <c r="U262" s="4"/>
      <c r="V262" s="4" t="str" cm="1">
        <f t="array" ref="V262">IF(EmployeesTable[[#This Row],[Additional Executive Role]]="","",
  _xlfn.TEXTJOIN(", ",TRUE,
    _xlfn._xlws.FILTER(ExecRoleSkills!$B:$B,
      ExecRoleSkills!$A:$A=EmployeesTable[[#This Row],[Additional Executive Role]]
    )
  )
)</f>
        <v/>
      </c>
    </row>
    <row r="263" spans="1:22" ht="45" x14ac:dyDescent="0.25">
      <c r="A263" s="19" t="s">
        <v>702</v>
      </c>
      <c r="B263" s="9">
        <v>10206</v>
      </c>
      <c r="C263" s="3" t="s">
        <v>57</v>
      </c>
      <c r="D263" s="9"/>
      <c r="E263" s="15">
        <v>36334</v>
      </c>
      <c r="F263" s="3" t="s">
        <v>703</v>
      </c>
      <c r="G263" s="3" t="s">
        <v>687</v>
      </c>
      <c r="H263" s="3" t="s">
        <v>12</v>
      </c>
      <c r="I263" s="9" t="s">
        <v>712</v>
      </c>
      <c r="J263" s="4"/>
      <c r="K263" s="4"/>
      <c r="L263" s="4"/>
      <c r="M263" s="4">
        <f>COUNTIFS(JobCodeSkills!$B:$B, EmployeesTable[[#This Row],[Succession Plan Job Code]],
          JobCodeSkills!$K:$K, "Required")</f>
        <v>0</v>
      </c>
      <c r="N263" s="4">
        <f>COUNTIFS(EmployeeSkills!$A:$A, EmployeesTable[[#This Row],[User Name]],
          EmployeeSkills!$B:$B, EmployeesTable[[#This Row],[Succession Plan Job Code]],
          EmployeeSkills!$D:$D, "Competent")</f>
        <v>0</v>
      </c>
      <c r="O263" s="4" t="str">
        <f>IF(EmployeesTable[[#This Row],[Succession Skills Ready – Required Total]]=0,"",
   EmployeesTable[[#This Row],[Succession Skills Ready – Required Met]]/EmployeesTable[[#This Row],[Succession Skills Ready – Required Total]])</f>
        <v/>
      </c>
      <c r="P263" s="4" t="str" cm="1">
        <f t="array" ref="P263">_xlfn.IFS(EmployeesTable[[#This Row],[Succession Skills Readiness %]]="","",
     EmployeesTable[[#This Row],[Succession Skills Readiness %]]&lt;0.6,"Not Ready",
     EmployeesTable[[#This Row],[Succession Skills Readiness %]]&lt;0.8,"Developing",
     TRUE,"Ready")</f>
        <v/>
      </c>
      <c r="Q263" s="4" t="e" cm="1" vm="1">
        <f t="array" ref="Q263">_xlfn.TEXTJOIN(", ",TRUE,
  _xlfn._xlws.FILTER(JobCodeSkills!$G:$G,
    (JobCodeSkills!$B:$B=EmployeesTable[[#This Row],[Job Code]])*
    (JobCodeSkills!$K:$K="Required")
  )
)</f>
        <v>#VALUE!</v>
      </c>
      <c r="R263" s="4"/>
      <c r="S263" s="4"/>
      <c r="T263" s="4"/>
      <c r="U263" s="4"/>
      <c r="V263" s="4" t="str" cm="1">
        <f t="array" ref="V263">IF(EmployeesTable[[#This Row],[Additional Executive Role]]="","",
  _xlfn.TEXTJOIN(", ",TRUE,
    _xlfn._xlws.FILTER(ExecRoleSkills!$B:$B,
      ExecRoleSkills!$A:$A=EmployeesTable[[#This Row],[Additional Executive Role]]
    )
  )
)</f>
        <v/>
      </c>
    </row>
    <row r="264" spans="1:22" ht="30" x14ac:dyDescent="0.25">
      <c r="A264" s="19" t="s">
        <v>642</v>
      </c>
      <c r="B264" s="9">
        <v>10814</v>
      </c>
      <c r="C264" s="3" t="s">
        <v>127</v>
      </c>
      <c r="D264" s="9"/>
      <c r="E264" s="15">
        <v>45491</v>
      </c>
      <c r="F264" s="3" t="s">
        <v>643</v>
      </c>
      <c r="G264" s="3" t="s">
        <v>454</v>
      </c>
      <c r="H264" s="3" t="s">
        <v>12</v>
      </c>
      <c r="I264" s="9" t="s">
        <v>13</v>
      </c>
      <c r="J264" s="4"/>
      <c r="K264" s="4"/>
      <c r="L264" s="4"/>
      <c r="M264" s="4">
        <f>COUNTIFS(JobCodeSkills!$B:$B, EmployeesTable[[#This Row],[Succession Plan Job Code]],
          JobCodeSkills!$K:$K, "Required")</f>
        <v>0</v>
      </c>
      <c r="N264" s="4">
        <f>COUNTIFS(EmployeeSkills!$A:$A, EmployeesTable[[#This Row],[User Name]],
          EmployeeSkills!$B:$B, EmployeesTable[[#This Row],[Succession Plan Job Code]],
          EmployeeSkills!$D:$D, "Competent")</f>
        <v>0</v>
      </c>
      <c r="O264" s="4" t="str">
        <f>IF(EmployeesTable[[#This Row],[Succession Skills Ready – Required Total]]=0,"",
   EmployeesTable[[#This Row],[Succession Skills Ready – Required Met]]/EmployeesTable[[#This Row],[Succession Skills Ready – Required Total]])</f>
        <v/>
      </c>
      <c r="P264" s="4" t="str" cm="1">
        <f t="array" ref="P264">_xlfn.IFS(EmployeesTable[[#This Row],[Succession Skills Readiness %]]="","",
     EmployeesTable[[#This Row],[Succession Skills Readiness %]]&lt;0.6,"Not Ready",
     EmployeesTable[[#This Row],[Succession Skills Readiness %]]&lt;0.8,"Developing",
     TRUE,"Ready")</f>
        <v/>
      </c>
      <c r="Q264" s="4" t="e" cm="1" vm="1">
        <f t="array" ref="Q264">_xlfn.TEXTJOIN(", ",TRUE,
  _xlfn._xlws.FILTER(JobCodeSkills!$G:$G,
    (JobCodeSkills!$B:$B=EmployeesTable[[#This Row],[Job Code]])*
    (JobCodeSkills!$K:$K="Required")
  )
)</f>
        <v>#VALUE!</v>
      </c>
      <c r="R264" s="4"/>
      <c r="S264" s="4"/>
      <c r="T264" s="4"/>
      <c r="U264" s="4"/>
      <c r="V264" s="4" t="str" cm="1">
        <f t="array" ref="V264">IF(EmployeesTable[[#This Row],[Additional Executive Role]]="","",
  _xlfn.TEXTJOIN(", ",TRUE,
    _xlfn._xlws.FILTER(ExecRoleSkills!$B:$B,
      ExecRoleSkills!$A:$A=EmployeesTable[[#This Row],[Additional Executive Role]]
    )
  )
)</f>
        <v/>
      </c>
    </row>
    <row r="265" spans="1:22" ht="30" x14ac:dyDescent="0.25">
      <c r="A265" s="19" t="s">
        <v>366</v>
      </c>
      <c r="B265" s="9">
        <v>10803</v>
      </c>
      <c r="C265" s="3" t="s">
        <v>141</v>
      </c>
      <c r="D265" s="9"/>
      <c r="E265" s="15">
        <v>45300</v>
      </c>
      <c r="F265" s="3" t="s">
        <v>367</v>
      </c>
      <c r="G265" s="3" t="s">
        <v>129</v>
      </c>
      <c r="H265" s="3" t="s">
        <v>12</v>
      </c>
      <c r="I265" s="10" t="s">
        <v>712</v>
      </c>
      <c r="J265" s="4"/>
      <c r="K265" s="4"/>
      <c r="L265" s="4"/>
      <c r="M265" s="4">
        <f>COUNTIFS(JobCodeSkills!$B:$B, EmployeesTable[[#This Row],[Succession Plan Job Code]],
          JobCodeSkills!$K:$K, "Required")</f>
        <v>0</v>
      </c>
      <c r="N265" s="4">
        <f>COUNTIFS(EmployeeSkills!$A:$A, EmployeesTable[[#This Row],[User Name]],
          EmployeeSkills!$B:$B, EmployeesTable[[#This Row],[Succession Plan Job Code]],
          EmployeeSkills!$D:$D, "Competent")</f>
        <v>0</v>
      </c>
      <c r="O265" s="4" t="str">
        <f>IF(EmployeesTable[[#This Row],[Succession Skills Ready – Required Total]]=0,"",
   EmployeesTable[[#This Row],[Succession Skills Ready – Required Met]]/EmployeesTable[[#This Row],[Succession Skills Ready – Required Total]])</f>
        <v/>
      </c>
      <c r="P265" s="4" t="str" cm="1">
        <f t="array" ref="P265">_xlfn.IFS(EmployeesTable[[#This Row],[Succession Skills Readiness %]]="","",
     EmployeesTable[[#This Row],[Succession Skills Readiness %]]&lt;0.6,"Not Ready",
     EmployeesTable[[#This Row],[Succession Skills Readiness %]]&lt;0.8,"Developing",
     TRUE,"Ready")</f>
        <v/>
      </c>
      <c r="Q265" s="4" t="e" cm="1" vm="1">
        <f t="array" ref="Q265">_xlfn.TEXTJOIN(", ",TRUE,
  _xlfn._xlws.FILTER(JobCodeSkills!$G:$G,
    (JobCodeSkills!$B:$B=EmployeesTable[[#This Row],[Job Code]])*
    (JobCodeSkills!$K:$K="Required")
  )
)</f>
        <v>#VALUE!</v>
      </c>
      <c r="R265" s="4"/>
      <c r="S265" s="4"/>
      <c r="T265" s="4"/>
      <c r="U265" s="4"/>
      <c r="V265" s="4" t="str" cm="1">
        <f t="array" ref="V265">IF(EmployeesTable[[#This Row],[Additional Executive Role]]="","",
  _xlfn.TEXTJOIN(", ",TRUE,
    _xlfn._xlws.FILTER(ExecRoleSkills!$B:$B,
      ExecRoleSkills!$A:$A=EmployeesTable[[#This Row],[Additional Executive Role]]
    )
  )
)</f>
        <v/>
      </c>
    </row>
    <row r="266" spans="1:22" ht="30" x14ac:dyDescent="0.25">
      <c r="A266" s="19" t="s">
        <v>368</v>
      </c>
      <c r="B266" s="9">
        <v>10812</v>
      </c>
      <c r="C266" s="3" t="s">
        <v>161</v>
      </c>
      <c r="D266" s="9"/>
      <c r="E266" s="15">
        <v>45306</v>
      </c>
      <c r="F266" s="3" t="s">
        <v>369</v>
      </c>
      <c r="G266" s="3" t="s">
        <v>129</v>
      </c>
      <c r="H266" s="3" t="s">
        <v>12</v>
      </c>
      <c r="I266" s="10" t="s">
        <v>712</v>
      </c>
      <c r="J266" s="4"/>
      <c r="K266" s="4"/>
      <c r="L266" s="4"/>
      <c r="M266" s="4">
        <f>COUNTIFS(JobCodeSkills!$B:$B, EmployeesTable[[#This Row],[Succession Plan Job Code]],
          JobCodeSkills!$K:$K, "Required")</f>
        <v>0</v>
      </c>
      <c r="N266" s="4">
        <f>COUNTIFS(EmployeeSkills!$A:$A, EmployeesTable[[#This Row],[User Name]],
          EmployeeSkills!$B:$B, EmployeesTable[[#This Row],[Succession Plan Job Code]],
          EmployeeSkills!$D:$D, "Competent")</f>
        <v>0</v>
      </c>
      <c r="O266" s="4" t="str">
        <f>IF(EmployeesTable[[#This Row],[Succession Skills Ready – Required Total]]=0,"",
   EmployeesTable[[#This Row],[Succession Skills Ready – Required Met]]/EmployeesTable[[#This Row],[Succession Skills Ready – Required Total]])</f>
        <v/>
      </c>
      <c r="P266" s="4" t="str" cm="1">
        <f t="array" ref="P266">_xlfn.IFS(EmployeesTable[[#This Row],[Succession Skills Readiness %]]="","",
     EmployeesTable[[#This Row],[Succession Skills Readiness %]]&lt;0.6,"Not Ready",
     EmployeesTable[[#This Row],[Succession Skills Readiness %]]&lt;0.8,"Developing",
     TRUE,"Ready")</f>
        <v/>
      </c>
      <c r="Q266" s="4" t="e" cm="1" vm="1">
        <f t="array" ref="Q266">_xlfn.TEXTJOIN(", ",TRUE,
  _xlfn._xlws.FILTER(JobCodeSkills!$G:$G,
    (JobCodeSkills!$B:$B=EmployeesTable[[#This Row],[Job Code]])*
    (JobCodeSkills!$K:$K="Required")
  )
)</f>
        <v>#VALUE!</v>
      </c>
      <c r="R266" s="4"/>
      <c r="S266" s="4"/>
      <c r="T266" s="4"/>
      <c r="U266" s="4"/>
      <c r="V266" s="4" t="str" cm="1">
        <f t="array" ref="V266">IF(EmployeesTable[[#This Row],[Additional Executive Role]]="","",
  _xlfn.TEXTJOIN(", ",TRUE,
    _xlfn._xlws.FILTER(ExecRoleSkills!$B:$B,
      ExecRoleSkills!$A:$A=EmployeesTable[[#This Row],[Additional Executive Role]]
    )
  )
)</f>
        <v/>
      </c>
    </row>
    <row r="267" spans="1:22" ht="45" x14ac:dyDescent="0.25">
      <c r="A267" s="19" t="s">
        <v>46</v>
      </c>
      <c r="B267" s="9">
        <v>10203</v>
      </c>
      <c r="C267" s="3" t="s">
        <v>44</v>
      </c>
      <c r="D267" s="9"/>
      <c r="E267" s="15">
        <v>34911</v>
      </c>
      <c r="F267" s="3" t="s">
        <v>47</v>
      </c>
      <c r="G267" s="3" t="s">
        <v>20</v>
      </c>
      <c r="H267" s="3" t="s">
        <v>12</v>
      </c>
      <c r="I267" s="10" t="s">
        <v>13</v>
      </c>
      <c r="J267" s="4"/>
      <c r="K267" s="4"/>
      <c r="L267" s="4"/>
      <c r="M267" s="4">
        <f>COUNTIFS(JobCodeSkills!$B:$B, EmployeesTable[[#This Row],[Succession Plan Job Code]],
          JobCodeSkills!$K:$K, "Required")</f>
        <v>0</v>
      </c>
      <c r="N267" s="4">
        <f>COUNTIFS(EmployeeSkills!$A:$A, EmployeesTable[[#This Row],[User Name]],
          EmployeeSkills!$B:$B, EmployeesTable[[#This Row],[Succession Plan Job Code]],
          EmployeeSkills!$D:$D, "Competent")</f>
        <v>0</v>
      </c>
      <c r="O267" s="4" t="str">
        <f>IF(EmployeesTable[[#This Row],[Succession Skills Ready – Required Total]]=0,"",
   EmployeesTable[[#This Row],[Succession Skills Ready – Required Met]]/EmployeesTable[[#This Row],[Succession Skills Ready – Required Total]])</f>
        <v/>
      </c>
      <c r="P267" s="4" t="str" cm="1">
        <f t="array" ref="P267">_xlfn.IFS(EmployeesTable[[#This Row],[Succession Skills Readiness %]]="","",
     EmployeesTable[[#This Row],[Succession Skills Readiness %]]&lt;0.6,"Not Ready",
     EmployeesTable[[#This Row],[Succession Skills Readiness %]]&lt;0.8,"Developing",
     TRUE,"Ready")</f>
        <v/>
      </c>
      <c r="Q267" s="4" t="e" cm="1" vm="1">
        <f t="array" ref="Q267">_xlfn.TEXTJOIN(", ",TRUE,
  _xlfn._xlws.FILTER(JobCodeSkills!$G:$G,
    (JobCodeSkills!$B:$B=EmployeesTable[[#This Row],[Job Code]])*
    (JobCodeSkills!$K:$K="Required")
  )
)</f>
        <v>#VALUE!</v>
      </c>
      <c r="R267" s="4"/>
      <c r="S267" s="4"/>
      <c r="T267" s="4"/>
      <c r="U267" s="4"/>
      <c r="V267" s="4" t="str" cm="1">
        <f t="array" ref="V267">IF(EmployeesTable[[#This Row],[Additional Executive Role]]="","",
  _xlfn.TEXTJOIN(", ",TRUE,
    _xlfn._xlws.FILTER(ExecRoleSkills!$B:$B,
      ExecRoleSkills!$A:$A=EmployeesTable[[#This Row],[Additional Executive Role]]
    )
  )
)</f>
        <v/>
      </c>
    </row>
    <row r="268" spans="1:22" ht="45" x14ac:dyDescent="0.25">
      <c r="A268" s="19" t="s">
        <v>120</v>
      </c>
      <c r="B268" s="9">
        <v>11301</v>
      </c>
      <c r="C268" s="3" t="s">
        <v>121</v>
      </c>
      <c r="D268" s="9"/>
      <c r="E268" s="15">
        <v>41673</v>
      </c>
      <c r="F268" s="3" t="s">
        <v>122</v>
      </c>
      <c r="G268" s="3" t="s">
        <v>103</v>
      </c>
      <c r="H268" s="3" t="s">
        <v>12</v>
      </c>
      <c r="I268" s="10" t="s">
        <v>712</v>
      </c>
      <c r="J268" s="4"/>
      <c r="K268" s="4"/>
      <c r="L268" s="4"/>
      <c r="M268" s="4">
        <f>COUNTIFS(JobCodeSkills!$B:$B, EmployeesTable[[#This Row],[Succession Plan Job Code]],
          JobCodeSkills!$K:$K, "Required")</f>
        <v>0</v>
      </c>
      <c r="N268" s="4">
        <f>COUNTIFS(EmployeeSkills!$A:$A, EmployeesTable[[#This Row],[User Name]],
          EmployeeSkills!$B:$B, EmployeesTable[[#This Row],[Succession Plan Job Code]],
          EmployeeSkills!$D:$D, "Competent")</f>
        <v>0</v>
      </c>
      <c r="O268" s="4" t="str">
        <f>IF(EmployeesTable[[#This Row],[Succession Skills Ready – Required Total]]=0,"",
   EmployeesTable[[#This Row],[Succession Skills Ready – Required Met]]/EmployeesTable[[#This Row],[Succession Skills Ready – Required Total]])</f>
        <v/>
      </c>
      <c r="P268" s="4" t="str" cm="1">
        <f t="array" ref="P268">_xlfn.IFS(EmployeesTable[[#This Row],[Succession Skills Readiness %]]="","",
     EmployeesTable[[#This Row],[Succession Skills Readiness %]]&lt;0.6,"Not Ready",
     EmployeesTable[[#This Row],[Succession Skills Readiness %]]&lt;0.8,"Developing",
     TRUE,"Ready")</f>
        <v/>
      </c>
      <c r="Q268" s="4" t="e" cm="1" vm="1">
        <f t="array" ref="Q268">_xlfn.TEXTJOIN(", ",TRUE,
  _xlfn._xlws.FILTER(JobCodeSkills!$G:$G,
    (JobCodeSkills!$B:$B=EmployeesTable[[#This Row],[Job Code]])*
    (JobCodeSkills!$K:$K="Required")
  )
)</f>
        <v>#VALUE!</v>
      </c>
      <c r="R268" s="4"/>
      <c r="S268" s="4"/>
      <c r="T268" s="4"/>
      <c r="U268" s="4"/>
      <c r="V268" s="4" t="str" cm="1">
        <f t="array" ref="V268">IF(EmployeesTable[[#This Row],[Additional Executive Role]]="","",
  _xlfn.TEXTJOIN(", ",TRUE,
    _xlfn._xlws.FILTER(ExecRoleSkills!$B:$B,
      ExecRoleSkills!$A:$A=EmployeesTable[[#This Row],[Additional Executive Role]]
    )
  )
)</f>
        <v/>
      </c>
    </row>
    <row r="269" spans="1:22" ht="30" x14ac:dyDescent="0.25">
      <c r="A269" s="19" t="s">
        <v>48</v>
      </c>
      <c r="B269" s="9">
        <v>10205</v>
      </c>
      <c r="C269" s="3" t="s">
        <v>49</v>
      </c>
      <c r="D269" s="9"/>
      <c r="E269" s="15">
        <v>37726</v>
      </c>
      <c r="F269" s="3" t="s">
        <v>50</v>
      </c>
      <c r="G269" s="3" t="s">
        <v>20</v>
      </c>
      <c r="H269" s="3" t="s">
        <v>12</v>
      </c>
      <c r="I269" s="10" t="s">
        <v>13</v>
      </c>
      <c r="J269" s="4"/>
      <c r="K269" s="4"/>
      <c r="L269" s="4"/>
      <c r="M269" s="4">
        <f>COUNTIFS(JobCodeSkills!$B:$B, EmployeesTable[[#This Row],[Succession Plan Job Code]],
          JobCodeSkills!$K:$K, "Required")</f>
        <v>0</v>
      </c>
      <c r="N269" s="4">
        <f>COUNTIFS(EmployeeSkills!$A:$A, EmployeesTable[[#This Row],[User Name]],
          EmployeeSkills!$B:$B, EmployeesTable[[#This Row],[Succession Plan Job Code]],
          EmployeeSkills!$D:$D, "Competent")</f>
        <v>0</v>
      </c>
      <c r="O269" s="4" t="str">
        <f>IF(EmployeesTable[[#This Row],[Succession Skills Ready – Required Total]]=0,"",
   EmployeesTable[[#This Row],[Succession Skills Ready – Required Met]]/EmployeesTable[[#This Row],[Succession Skills Ready – Required Total]])</f>
        <v/>
      </c>
      <c r="P269" s="4" t="str" cm="1">
        <f t="array" ref="P269">_xlfn.IFS(EmployeesTable[[#This Row],[Succession Skills Readiness %]]="","",
     EmployeesTable[[#This Row],[Succession Skills Readiness %]]&lt;0.6,"Not Ready",
     EmployeesTable[[#This Row],[Succession Skills Readiness %]]&lt;0.8,"Developing",
     TRUE,"Ready")</f>
        <v/>
      </c>
      <c r="Q269" s="4" t="e" cm="1" vm="1">
        <f t="array" ref="Q269">_xlfn.TEXTJOIN(", ",TRUE,
  _xlfn._xlws.FILTER(JobCodeSkills!$G:$G,
    (JobCodeSkills!$B:$B=EmployeesTable[[#This Row],[Job Code]])*
    (JobCodeSkills!$K:$K="Required")
  )
)</f>
        <v>#VALUE!</v>
      </c>
      <c r="R269" s="4"/>
      <c r="S269" s="4"/>
      <c r="T269" s="4"/>
      <c r="U269" s="4"/>
      <c r="V269" s="4" t="str" cm="1">
        <f t="array" ref="V269">IF(EmployeesTable[[#This Row],[Additional Executive Role]]="","",
  _xlfn.TEXTJOIN(", ",TRUE,
    _xlfn._xlws.FILTER(ExecRoleSkills!$B:$B,
      ExecRoleSkills!$A:$A=EmployeesTable[[#This Row],[Additional Executive Role]]
    )
  )
)</f>
        <v/>
      </c>
    </row>
    <row r="270" spans="1:22" ht="30" x14ac:dyDescent="0.25">
      <c r="A270" s="19" t="s">
        <v>644</v>
      </c>
      <c r="B270" s="9">
        <v>10814</v>
      </c>
      <c r="C270" s="3" t="s">
        <v>167</v>
      </c>
      <c r="D270" s="9"/>
      <c r="E270" s="15">
        <v>43714</v>
      </c>
      <c r="F270" s="3" t="s">
        <v>645</v>
      </c>
      <c r="G270" s="3" t="s">
        <v>454</v>
      </c>
      <c r="H270" s="3" t="s">
        <v>12</v>
      </c>
      <c r="I270" s="9" t="s">
        <v>13</v>
      </c>
      <c r="J270" s="4"/>
      <c r="K270" s="4"/>
      <c r="L270" s="4"/>
      <c r="M270" s="4">
        <f>COUNTIFS(JobCodeSkills!$B:$B, EmployeesTable[[#This Row],[Succession Plan Job Code]],
          JobCodeSkills!$K:$K, "Required")</f>
        <v>0</v>
      </c>
      <c r="N270" s="4">
        <f>COUNTIFS(EmployeeSkills!$A:$A, EmployeesTable[[#This Row],[User Name]],
          EmployeeSkills!$B:$B, EmployeesTable[[#This Row],[Succession Plan Job Code]],
          EmployeeSkills!$D:$D, "Competent")</f>
        <v>0</v>
      </c>
      <c r="O270" s="4" t="str">
        <f>IF(EmployeesTable[[#This Row],[Succession Skills Ready – Required Total]]=0,"",
   EmployeesTable[[#This Row],[Succession Skills Ready – Required Met]]/EmployeesTable[[#This Row],[Succession Skills Ready – Required Total]])</f>
        <v/>
      </c>
      <c r="P270" s="4" t="str" cm="1">
        <f t="array" ref="P270">_xlfn.IFS(EmployeesTable[[#This Row],[Succession Skills Readiness %]]="","",
     EmployeesTable[[#This Row],[Succession Skills Readiness %]]&lt;0.6,"Not Ready",
     EmployeesTable[[#This Row],[Succession Skills Readiness %]]&lt;0.8,"Developing",
     TRUE,"Ready")</f>
        <v/>
      </c>
      <c r="Q270" s="4" t="e" cm="1" vm="1">
        <f t="array" ref="Q270">_xlfn.TEXTJOIN(", ",TRUE,
  _xlfn._xlws.FILTER(JobCodeSkills!$G:$G,
    (JobCodeSkills!$B:$B=EmployeesTable[[#This Row],[Job Code]])*
    (JobCodeSkills!$K:$K="Required")
  )
)</f>
        <v>#VALUE!</v>
      </c>
      <c r="R270" s="4"/>
      <c r="S270" s="4"/>
      <c r="T270" s="4"/>
      <c r="U270" s="4"/>
      <c r="V270" s="4" t="str" cm="1">
        <f t="array" ref="V270">IF(EmployeesTable[[#This Row],[Additional Executive Role]]="","",
  _xlfn.TEXTJOIN(", ",TRUE,
    _xlfn._xlws.FILTER(ExecRoleSkills!$B:$B,
      ExecRoleSkills!$A:$A=EmployeesTable[[#This Row],[Additional Executive Role]]
    )
  )
)</f>
        <v/>
      </c>
    </row>
    <row r="271" spans="1:22" ht="30" x14ac:dyDescent="0.25">
      <c r="A271" s="19" t="s">
        <v>646</v>
      </c>
      <c r="B271" s="9">
        <v>10805</v>
      </c>
      <c r="C271" s="3" t="s">
        <v>522</v>
      </c>
      <c r="D271" s="9"/>
      <c r="E271" s="15">
        <v>42226</v>
      </c>
      <c r="F271" s="3" t="s">
        <v>647</v>
      </c>
      <c r="G271" s="3" t="s">
        <v>454</v>
      </c>
      <c r="H271" s="3" t="s">
        <v>12</v>
      </c>
      <c r="I271" s="9" t="s">
        <v>13</v>
      </c>
      <c r="J271" s="4"/>
      <c r="K271" s="4"/>
      <c r="L271" s="4"/>
      <c r="M271" s="4">
        <f>COUNTIFS(JobCodeSkills!$B:$B, EmployeesTable[[#This Row],[Succession Plan Job Code]],
          JobCodeSkills!$K:$K, "Required")</f>
        <v>0</v>
      </c>
      <c r="N271" s="4">
        <f>COUNTIFS(EmployeeSkills!$A:$A, EmployeesTable[[#This Row],[User Name]],
          EmployeeSkills!$B:$B, EmployeesTable[[#This Row],[Succession Plan Job Code]],
          EmployeeSkills!$D:$D, "Competent")</f>
        <v>0</v>
      </c>
      <c r="O271" s="4" t="str">
        <f>IF(EmployeesTable[[#This Row],[Succession Skills Ready – Required Total]]=0,"",
   EmployeesTable[[#This Row],[Succession Skills Ready – Required Met]]/EmployeesTable[[#This Row],[Succession Skills Ready – Required Total]])</f>
        <v/>
      </c>
      <c r="P271" s="4" t="str" cm="1">
        <f t="array" ref="P271">_xlfn.IFS(EmployeesTable[[#This Row],[Succession Skills Readiness %]]="","",
     EmployeesTable[[#This Row],[Succession Skills Readiness %]]&lt;0.6,"Not Ready",
     EmployeesTable[[#This Row],[Succession Skills Readiness %]]&lt;0.8,"Developing",
     TRUE,"Ready")</f>
        <v/>
      </c>
      <c r="Q271" s="4" t="e" cm="1" vm="1">
        <f t="array" ref="Q271">_xlfn.TEXTJOIN(", ",TRUE,
  _xlfn._xlws.FILTER(JobCodeSkills!$G:$G,
    (JobCodeSkills!$B:$B=EmployeesTable[[#This Row],[Job Code]])*
    (JobCodeSkills!$K:$K="Required")
  )
)</f>
        <v>#VALUE!</v>
      </c>
      <c r="R271" s="4"/>
      <c r="S271" s="4"/>
      <c r="T271" s="4"/>
      <c r="U271" s="4"/>
      <c r="V271" s="4" t="str" cm="1">
        <f t="array" ref="V271">IF(EmployeesTable[[#This Row],[Additional Executive Role]]="","",
  _xlfn.TEXTJOIN(", ",TRUE,
    _xlfn._xlws.FILTER(ExecRoleSkills!$B:$B,
      ExecRoleSkills!$A:$A=EmployeesTable[[#This Row],[Additional Executive Role]]
    )
  )
)</f>
        <v/>
      </c>
    </row>
    <row r="272" spans="1:22" ht="30" x14ac:dyDescent="0.25">
      <c r="A272" s="19" t="s">
        <v>449</v>
      </c>
      <c r="B272" s="9">
        <v>10905</v>
      </c>
      <c r="C272" s="3" t="s">
        <v>60</v>
      </c>
      <c r="D272" s="9"/>
      <c r="E272" s="15">
        <v>36651</v>
      </c>
      <c r="F272" s="3" t="s">
        <v>450</v>
      </c>
      <c r="G272" s="3" t="s">
        <v>451</v>
      </c>
      <c r="H272" s="3" t="s">
        <v>12</v>
      </c>
      <c r="I272" s="9" t="s">
        <v>13</v>
      </c>
      <c r="J272" s="4"/>
      <c r="K272" s="4"/>
      <c r="L272" s="4"/>
      <c r="M272" s="4">
        <f>COUNTIFS(JobCodeSkills!$B:$B, EmployeesTable[[#This Row],[Succession Plan Job Code]],
          JobCodeSkills!$K:$K, "Required")</f>
        <v>0</v>
      </c>
      <c r="N272" s="4">
        <f>COUNTIFS(EmployeeSkills!$A:$A, EmployeesTable[[#This Row],[User Name]],
          EmployeeSkills!$B:$B, EmployeesTable[[#This Row],[Succession Plan Job Code]],
          EmployeeSkills!$D:$D, "Competent")</f>
        <v>0</v>
      </c>
      <c r="O272" s="4" t="str">
        <f>IF(EmployeesTable[[#This Row],[Succession Skills Ready – Required Total]]=0,"",
   EmployeesTable[[#This Row],[Succession Skills Ready – Required Met]]/EmployeesTable[[#This Row],[Succession Skills Ready – Required Total]])</f>
        <v/>
      </c>
      <c r="P272" s="4" t="str" cm="1">
        <f t="array" ref="P272">_xlfn.IFS(EmployeesTable[[#This Row],[Succession Skills Readiness %]]="","",
     EmployeesTable[[#This Row],[Succession Skills Readiness %]]&lt;0.6,"Not Ready",
     EmployeesTable[[#This Row],[Succession Skills Readiness %]]&lt;0.8,"Developing",
     TRUE,"Ready")</f>
        <v/>
      </c>
      <c r="Q272" s="4" t="e" cm="1" vm="1">
        <f t="array" ref="Q272">_xlfn.TEXTJOIN(", ",TRUE,
  _xlfn._xlws.FILTER(JobCodeSkills!$G:$G,
    (JobCodeSkills!$B:$B=EmployeesTable[[#This Row],[Job Code]])*
    (JobCodeSkills!$K:$K="Required")
  )
)</f>
        <v>#VALUE!</v>
      </c>
      <c r="R272" s="4"/>
      <c r="S272" s="4"/>
      <c r="T272" s="4"/>
      <c r="U272" s="4"/>
      <c r="V272" s="4" t="str" cm="1">
        <f t="array" ref="V272">IF(EmployeesTable[[#This Row],[Additional Executive Role]]="","",
  _xlfn.TEXTJOIN(", ",TRUE,
    _xlfn._xlws.FILTER(ExecRoleSkills!$B:$B,
      ExecRoleSkills!$A:$A=EmployeesTable[[#This Row],[Additional Executive Role]]
    )
  )
)</f>
        <v/>
      </c>
    </row>
    <row r="273" spans="1:22" ht="30" x14ac:dyDescent="0.25">
      <c r="A273" s="19" t="s">
        <v>648</v>
      </c>
      <c r="B273" s="9">
        <v>10301</v>
      </c>
      <c r="C273" s="3" t="s">
        <v>222</v>
      </c>
      <c r="D273" s="9"/>
      <c r="E273" s="15">
        <v>36410</v>
      </c>
      <c r="F273" s="3" t="s">
        <v>649</v>
      </c>
      <c r="G273" s="3" t="s">
        <v>454</v>
      </c>
      <c r="H273" s="3" t="s">
        <v>12</v>
      </c>
      <c r="I273" s="9" t="s">
        <v>13</v>
      </c>
      <c r="J273" s="4"/>
      <c r="K273" s="4"/>
      <c r="L273" s="4"/>
      <c r="M273" s="4">
        <f>COUNTIFS(JobCodeSkills!$B:$B, EmployeesTable[[#This Row],[Succession Plan Job Code]],
          JobCodeSkills!$K:$K, "Required")</f>
        <v>0</v>
      </c>
      <c r="N273" s="4">
        <f>COUNTIFS(EmployeeSkills!$A:$A, EmployeesTable[[#This Row],[User Name]],
          EmployeeSkills!$B:$B, EmployeesTable[[#This Row],[Succession Plan Job Code]],
          EmployeeSkills!$D:$D, "Competent")</f>
        <v>0</v>
      </c>
      <c r="O273" s="4" t="str">
        <f>IF(EmployeesTable[[#This Row],[Succession Skills Ready – Required Total]]=0,"",
   EmployeesTable[[#This Row],[Succession Skills Ready – Required Met]]/EmployeesTable[[#This Row],[Succession Skills Ready – Required Total]])</f>
        <v/>
      </c>
      <c r="P273" s="4" t="str" cm="1">
        <f t="array" ref="P273">_xlfn.IFS(EmployeesTable[[#This Row],[Succession Skills Readiness %]]="","",
     EmployeesTable[[#This Row],[Succession Skills Readiness %]]&lt;0.6,"Not Ready",
     EmployeesTable[[#This Row],[Succession Skills Readiness %]]&lt;0.8,"Developing",
     TRUE,"Ready")</f>
        <v/>
      </c>
      <c r="Q273" s="4" t="e" cm="1" vm="1">
        <f t="array" ref="Q273">_xlfn.TEXTJOIN(", ",TRUE,
  _xlfn._xlws.FILTER(JobCodeSkills!$G:$G,
    (JobCodeSkills!$B:$B=EmployeesTable[[#This Row],[Job Code]])*
    (JobCodeSkills!$K:$K="Required")
  )
)</f>
        <v>#VALUE!</v>
      </c>
      <c r="R273" s="4"/>
      <c r="S273" s="4"/>
      <c r="T273" s="4"/>
      <c r="U273" s="4"/>
      <c r="V273" s="4" t="str" cm="1">
        <f t="array" ref="V273">IF(EmployeesTable[[#This Row],[Additional Executive Role]]="","",
  _xlfn.TEXTJOIN(", ",TRUE,
    _xlfn._xlws.FILTER(ExecRoleSkills!$B:$B,
      ExecRoleSkills!$A:$A=EmployeesTable[[#This Row],[Additional Executive Role]]
    )
  )
)</f>
        <v/>
      </c>
    </row>
    <row r="274" spans="1:22" ht="30" x14ac:dyDescent="0.25">
      <c r="A274" s="19" t="s">
        <v>650</v>
      </c>
      <c r="B274" s="9">
        <v>10804</v>
      </c>
      <c r="C274" s="3" t="s">
        <v>167</v>
      </c>
      <c r="D274" s="9"/>
      <c r="E274" s="15">
        <v>44735</v>
      </c>
      <c r="F274" s="3" t="s">
        <v>651</v>
      </c>
      <c r="G274" s="3" t="s">
        <v>454</v>
      </c>
      <c r="H274" s="3" t="s">
        <v>12</v>
      </c>
      <c r="I274" s="9" t="s">
        <v>13</v>
      </c>
      <c r="J274" s="4"/>
      <c r="K274" s="4"/>
      <c r="L274" s="4"/>
      <c r="M274" s="4">
        <f>COUNTIFS(JobCodeSkills!$B:$B, EmployeesTable[[#This Row],[Succession Plan Job Code]],
          JobCodeSkills!$K:$K, "Required")</f>
        <v>0</v>
      </c>
      <c r="N274" s="4">
        <f>COUNTIFS(EmployeeSkills!$A:$A, EmployeesTable[[#This Row],[User Name]],
          EmployeeSkills!$B:$B, EmployeesTable[[#This Row],[Succession Plan Job Code]],
          EmployeeSkills!$D:$D, "Competent")</f>
        <v>0</v>
      </c>
      <c r="O274" s="4" t="str">
        <f>IF(EmployeesTable[[#This Row],[Succession Skills Ready – Required Total]]=0,"",
   EmployeesTable[[#This Row],[Succession Skills Ready – Required Met]]/EmployeesTable[[#This Row],[Succession Skills Ready – Required Total]])</f>
        <v/>
      </c>
      <c r="P274" s="4" t="str" cm="1">
        <f t="array" ref="P274">_xlfn.IFS(EmployeesTable[[#This Row],[Succession Skills Readiness %]]="","",
     EmployeesTable[[#This Row],[Succession Skills Readiness %]]&lt;0.6,"Not Ready",
     EmployeesTable[[#This Row],[Succession Skills Readiness %]]&lt;0.8,"Developing",
     TRUE,"Ready")</f>
        <v/>
      </c>
      <c r="Q274" s="4" t="e" cm="1" vm="1">
        <f t="array" ref="Q274">_xlfn.TEXTJOIN(", ",TRUE,
  _xlfn._xlws.FILTER(JobCodeSkills!$G:$G,
    (JobCodeSkills!$B:$B=EmployeesTable[[#This Row],[Job Code]])*
    (JobCodeSkills!$K:$K="Required")
  )
)</f>
        <v>#VALUE!</v>
      </c>
      <c r="R274" s="4"/>
      <c r="S274" s="4"/>
      <c r="T274" s="4"/>
      <c r="U274" s="4"/>
      <c r="V274" s="4" t="str" cm="1">
        <f t="array" ref="V274">IF(EmployeesTable[[#This Row],[Additional Executive Role]]="","",
  _xlfn.TEXTJOIN(", ",TRUE,
    _xlfn._xlws.FILTER(ExecRoleSkills!$B:$B,
      ExecRoleSkills!$A:$A=EmployeesTable[[#This Row],[Additional Executive Role]]
    )
  )
)</f>
        <v/>
      </c>
    </row>
    <row r="275" spans="1:22" ht="45" x14ac:dyDescent="0.25">
      <c r="A275" s="19" t="s">
        <v>51</v>
      </c>
      <c r="B275" s="9">
        <v>10201</v>
      </c>
      <c r="C275" s="3" t="s">
        <v>52</v>
      </c>
      <c r="D275" s="9"/>
      <c r="E275" s="15">
        <v>45237</v>
      </c>
      <c r="F275" s="3" t="s">
        <v>53</v>
      </c>
      <c r="G275" s="3" t="s">
        <v>20</v>
      </c>
      <c r="H275" s="3" t="s">
        <v>12</v>
      </c>
      <c r="I275" s="10" t="s">
        <v>13</v>
      </c>
      <c r="J275" s="4"/>
      <c r="K275" s="4"/>
      <c r="L275" s="4"/>
      <c r="M275" s="4">
        <f>COUNTIFS(JobCodeSkills!$B:$B, EmployeesTable[[#This Row],[Succession Plan Job Code]],
          JobCodeSkills!$K:$K, "Required")</f>
        <v>0</v>
      </c>
      <c r="N275" s="4">
        <f>COUNTIFS(EmployeeSkills!$A:$A, EmployeesTable[[#This Row],[User Name]],
          EmployeeSkills!$B:$B, EmployeesTable[[#This Row],[Succession Plan Job Code]],
          EmployeeSkills!$D:$D, "Competent")</f>
        <v>0</v>
      </c>
      <c r="O275" s="4" t="str">
        <f>IF(EmployeesTable[[#This Row],[Succession Skills Ready – Required Total]]=0,"",
   EmployeesTable[[#This Row],[Succession Skills Ready – Required Met]]/EmployeesTable[[#This Row],[Succession Skills Ready – Required Total]])</f>
        <v/>
      </c>
      <c r="P275" s="4" t="str" cm="1">
        <f t="array" ref="P275">_xlfn.IFS(EmployeesTable[[#This Row],[Succession Skills Readiness %]]="","",
     EmployeesTable[[#This Row],[Succession Skills Readiness %]]&lt;0.6,"Not Ready",
     EmployeesTable[[#This Row],[Succession Skills Readiness %]]&lt;0.8,"Developing",
     TRUE,"Ready")</f>
        <v/>
      </c>
      <c r="Q275" s="4" t="e" cm="1" vm="1">
        <f t="array" ref="Q275">_xlfn.TEXTJOIN(", ",TRUE,
  _xlfn._xlws.FILTER(JobCodeSkills!$G:$G,
    (JobCodeSkills!$B:$B=EmployeesTable[[#This Row],[Job Code]])*
    (JobCodeSkills!$K:$K="Required")
  )
)</f>
        <v>#VALUE!</v>
      </c>
      <c r="R275" s="4"/>
      <c r="S275" s="4"/>
      <c r="T275" s="4"/>
      <c r="U275" s="4"/>
      <c r="V275" s="4" t="str" cm="1">
        <f t="array" ref="V275">IF(EmployeesTable[[#This Row],[Additional Executive Role]]="","",
  _xlfn.TEXTJOIN(", ",TRUE,
    _xlfn._xlws.FILTER(ExecRoleSkills!$B:$B,
      ExecRoleSkills!$A:$A=EmployeesTable[[#This Row],[Additional Executive Role]]
    )
  )
)</f>
        <v/>
      </c>
    </row>
    <row r="276" spans="1:22" ht="30" x14ac:dyDescent="0.25">
      <c r="A276" s="19" t="s">
        <v>652</v>
      </c>
      <c r="B276" s="9">
        <v>10402</v>
      </c>
      <c r="C276" s="3" t="s">
        <v>458</v>
      </c>
      <c r="D276" s="9"/>
      <c r="E276" s="15">
        <v>35040</v>
      </c>
      <c r="F276" s="3" t="s">
        <v>653</v>
      </c>
      <c r="G276" s="3" t="s">
        <v>454</v>
      </c>
      <c r="H276" s="3" t="s">
        <v>12</v>
      </c>
      <c r="I276" s="9" t="s">
        <v>13</v>
      </c>
      <c r="J276" s="4"/>
      <c r="K276" s="4"/>
      <c r="L276" s="4"/>
      <c r="M276" s="4">
        <f>COUNTIFS(JobCodeSkills!$B:$B, EmployeesTable[[#This Row],[Succession Plan Job Code]],
          JobCodeSkills!$K:$K, "Required")</f>
        <v>0</v>
      </c>
      <c r="N276" s="4">
        <f>COUNTIFS(EmployeeSkills!$A:$A, EmployeesTable[[#This Row],[User Name]],
          EmployeeSkills!$B:$B, EmployeesTable[[#This Row],[Succession Plan Job Code]],
          EmployeeSkills!$D:$D, "Competent")</f>
        <v>0</v>
      </c>
      <c r="O276" s="4" t="str">
        <f>IF(EmployeesTable[[#This Row],[Succession Skills Ready – Required Total]]=0,"",
   EmployeesTable[[#This Row],[Succession Skills Ready – Required Met]]/EmployeesTable[[#This Row],[Succession Skills Ready – Required Total]])</f>
        <v/>
      </c>
      <c r="P276" s="4" t="str" cm="1">
        <f t="array" ref="P276">_xlfn.IFS(EmployeesTable[[#This Row],[Succession Skills Readiness %]]="","",
     EmployeesTable[[#This Row],[Succession Skills Readiness %]]&lt;0.6,"Not Ready",
     EmployeesTable[[#This Row],[Succession Skills Readiness %]]&lt;0.8,"Developing",
     TRUE,"Ready")</f>
        <v/>
      </c>
      <c r="Q276" s="4" t="e" cm="1" vm="1">
        <f t="array" ref="Q276">_xlfn.TEXTJOIN(", ",TRUE,
  _xlfn._xlws.FILTER(JobCodeSkills!$G:$G,
    (JobCodeSkills!$B:$B=EmployeesTable[[#This Row],[Job Code]])*
    (JobCodeSkills!$K:$K="Required")
  )
)</f>
        <v>#VALUE!</v>
      </c>
      <c r="R276" s="4"/>
      <c r="S276" s="4"/>
      <c r="T276" s="4"/>
      <c r="U276" s="4"/>
      <c r="V276" s="4" t="str" cm="1">
        <f t="array" ref="V276">IF(EmployeesTable[[#This Row],[Additional Executive Role]]="","",
  _xlfn.TEXTJOIN(", ",TRUE,
    _xlfn._xlws.FILTER(ExecRoleSkills!$B:$B,
      ExecRoleSkills!$A:$A=EmployeesTable[[#This Row],[Additional Executive Role]]
    )
  )
)</f>
        <v/>
      </c>
    </row>
    <row r="277" spans="1:22" ht="45" x14ac:dyDescent="0.25">
      <c r="A277" s="19" t="s">
        <v>54</v>
      </c>
      <c r="B277" s="9">
        <v>10201</v>
      </c>
      <c r="C277" s="3" t="s">
        <v>52</v>
      </c>
      <c r="D277" s="9"/>
      <c r="E277" s="15">
        <v>36906</v>
      </c>
      <c r="F277" s="3" t="s">
        <v>55</v>
      </c>
      <c r="G277" s="3" t="s">
        <v>20</v>
      </c>
      <c r="H277" s="3" t="s">
        <v>12</v>
      </c>
      <c r="I277" s="10" t="s">
        <v>13</v>
      </c>
      <c r="J277" s="4"/>
      <c r="K277" s="4"/>
      <c r="L277" s="4"/>
      <c r="M277" s="4">
        <f>COUNTIFS(JobCodeSkills!$B:$B, EmployeesTable[[#This Row],[Succession Plan Job Code]],
          JobCodeSkills!$K:$K, "Required")</f>
        <v>0</v>
      </c>
      <c r="N277" s="4">
        <f>COUNTIFS(EmployeeSkills!$A:$A, EmployeesTable[[#This Row],[User Name]],
          EmployeeSkills!$B:$B, EmployeesTable[[#This Row],[Succession Plan Job Code]],
          EmployeeSkills!$D:$D, "Competent")</f>
        <v>0</v>
      </c>
      <c r="O277" s="4" t="str">
        <f>IF(EmployeesTable[[#This Row],[Succession Skills Ready – Required Total]]=0,"",
   EmployeesTable[[#This Row],[Succession Skills Ready – Required Met]]/EmployeesTable[[#This Row],[Succession Skills Ready – Required Total]])</f>
        <v/>
      </c>
      <c r="P277" s="4" t="str" cm="1">
        <f t="array" ref="P277">_xlfn.IFS(EmployeesTable[[#This Row],[Succession Skills Readiness %]]="","",
     EmployeesTable[[#This Row],[Succession Skills Readiness %]]&lt;0.6,"Not Ready",
     EmployeesTable[[#This Row],[Succession Skills Readiness %]]&lt;0.8,"Developing",
     TRUE,"Ready")</f>
        <v/>
      </c>
      <c r="Q277" s="4" t="e" cm="1" vm="1">
        <f t="array" ref="Q277">_xlfn.TEXTJOIN(", ",TRUE,
  _xlfn._xlws.FILTER(JobCodeSkills!$G:$G,
    (JobCodeSkills!$B:$B=EmployeesTable[[#This Row],[Job Code]])*
    (JobCodeSkills!$K:$K="Required")
  )
)</f>
        <v>#VALUE!</v>
      </c>
      <c r="R277" s="4"/>
      <c r="S277" s="4"/>
      <c r="T277" s="4"/>
      <c r="U277" s="4"/>
      <c r="V277" s="4" t="str" cm="1">
        <f t="array" ref="V277">IF(EmployeesTable[[#This Row],[Additional Executive Role]]="","",
  _xlfn.TEXTJOIN(", ",TRUE,
    _xlfn._xlws.FILTER(ExecRoleSkills!$B:$B,
      ExecRoleSkills!$A:$A=EmployeesTable[[#This Row],[Additional Executive Role]]
    )
  )
)</f>
        <v/>
      </c>
    </row>
    <row r="278" spans="1:22" ht="30" x14ac:dyDescent="0.25">
      <c r="A278" s="19" t="s">
        <v>74</v>
      </c>
      <c r="B278" s="9">
        <v>5115</v>
      </c>
      <c r="C278" s="3" t="s">
        <v>66</v>
      </c>
      <c r="D278" s="9"/>
      <c r="E278" s="15">
        <v>29897</v>
      </c>
      <c r="F278" s="3" t="s">
        <v>75</v>
      </c>
      <c r="G278" s="3" t="s">
        <v>70</v>
      </c>
      <c r="H278" s="3" t="s">
        <v>12</v>
      </c>
      <c r="I278" s="10" t="s">
        <v>13</v>
      </c>
      <c r="J278" s="4"/>
      <c r="K278" s="4"/>
      <c r="L278" s="4"/>
      <c r="M278" s="4">
        <f>COUNTIFS(JobCodeSkills!$B:$B, EmployeesTable[[#This Row],[Succession Plan Job Code]],
          JobCodeSkills!$K:$K, "Required")</f>
        <v>0</v>
      </c>
      <c r="N278" s="4">
        <f>COUNTIFS(EmployeeSkills!$A:$A, EmployeesTable[[#This Row],[User Name]],
          EmployeeSkills!$B:$B, EmployeesTable[[#This Row],[Succession Plan Job Code]],
          EmployeeSkills!$D:$D, "Competent")</f>
        <v>0</v>
      </c>
      <c r="O278" s="4" t="str">
        <f>IF(EmployeesTable[[#This Row],[Succession Skills Ready – Required Total]]=0,"",
   EmployeesTable[[#This Row],[Succession Skills Ready – Required Met]]/EmployeesTable[[#This Row],[Succession Skills Ready – Required Total]])</f>
        <v/>
      </c>
      <c r="P278" s="4" t="str" cm="1">
        <f t="array" ref="P278">_xlfn.IFS(EmployeesTable[[#This Row],[Succession Skills Readiness %]]="","",
     EmployeesTable[[#This Row],[Succession Skills Readiness %]]&lt;0.6,"Not Ready",
     EmployeesTable[[#This Row],[Succession Skills Readiness %]]&lt;0.8,"Developing",
     TRUE,"Ready")</f>
        <v/>
      </c>
      <c r="Q278" s="4" t="e" cm="1" vm="1">
        <f t="array" ref="Q278">_xlfn.TEXTJOIN(", ",TRUE,
  _xlfn._xlws.FILTER(JobCodeSkills!$G:$G,
    (JobCodeSkills!$B:$B=EmployeesTable[[#This Row],[Job Code]])*
    (JobCodeSkills!$K:$K="Required")
  )
)</f>
        <v>#VALUE!</v>
      </c>
      <c r="R278" s="4"/>
      <c r="S278" s="4"/>
      <c r="T278" s="4"/>
      <c r="U278" s="4"/>
      <c r="V278" s="4" t="str" cm="1">
        <f t="array" ref="V278">IF(EmployeesTable[[#This Row],[Additional Executive Role]]="","",
  _xlfn.TEXTJOIN(", ",TRUE,
    _xlfn._xlws.FILTER(ExecRoleSkills!$B:$B,
      ExecRoleSkills!$A:$A=EmployeesTable[[#This Row],[Additional Executive Role]]
    )
  )
)</f>
        <v/>
      </c>
    </row>
    <row r="279" spans="1:22" ht="30" x14ac:dyDescent="0.25">
      <c r="A279" s="19" t="s">
        <v>370</v>
      </c>
      <c r="B279" s="9">
        <v>10802</v>
      </c>
      <c r="C279" s="3" t="s">
        <v>161</v>
      </c>
      <c r="D279" s="9"/>
      <c r="E279" s="15">
        <v>45489</v>
      </c>
      <c r="F279" s="3" t="s">
        <v>371</v>
      </c>
      <c r="G279" s="3" t="s">
        <v>129</v>
      </c>
      <c r="H279" s="3" t="s">
        <v>12</v>
      </c>
      <c r="I279" s="10" t="s">
        <v>712</v>
      </c>
      <c r="J279" s="4"/>
      <c r="K279" s="4"/>
      <c r="L279" s="4"/>
      <c r="M279" s="4">
        <f>COUNTIFS(JobCodeSkills!$B:$B, EmployeesTable[[#This Row],[Succession Plan Job Code]],
          JobCodeSkills!$K:$K, "Required")</f>
        <v>0</v>
      </c>
      <c r="N279" s="4">
        <f>COUNTIFS(EmployeeSkills!$A:$A, EmployeesTable[[#This Row],[User Name]],
          EmployeeSkills!$B:$B, EmployeesTable[[#This Row],[Succession Plan Job Code]],
          EmployeeSkills!$D:$D, "Competent")</f>
        <v>0</v>
      </c>
      <c r="O279" s="4" t="str">
        <f>IF(EmployeesTable[[#This Row],[Succession Skills Ready – Required Total]]=0,"",
   EmployeesTable[[#This Row],[Succession Skills Ready – Required Met]]/EmployeesTable[[#This Row],[Succession Skills Ready – Required Total]])</f>
        <v/>
      </c>
      <c r="P279" s="4" t="str" cm="1">
        <f t="array" ref="P279">_xlfn.IFS(EmployeesTable[[#This Row],[Succession Skills Readiness %]]="","",
     EmployeesTable[[#This Row],[Succession Skills Readiness %]]&lt;0.6,"Not Ready",
     EmployeesTable[[#This Row],[Succession Skills Readiness %]]&lt;0.8,"Developing",
     TRUE,"Ready")</f>
        <v/>
      </c>
      <c r="Q279" s="4" t="e" cm="1" vm="1">
        <f t="array" ref="Q279">_xlfn.TEXTJOIN(", ",TRUE,
  _xlfn._xlws.FILTER(JobCodeSkills!$G:$G,
    (JobCodeSkills!$B:$B=EmployeesTable[[#This Row],[Job Code]])*
    (JobCodeSkills!$K:$K="Required")
  )
)</f>
        <v>#VALUE!</v>
      </c>
      <c r="R279" s="4"/>
      <c r="S279" s="4"/>
      <c r="T279" s="4"/>
      <c r="U279" s="4"/>
      <c r="V279" s="4" t="str" cm="1">
        <f t="array" ref="V279">IF(EmployeesTable[[#This Row],[Additional Executive Role]]="","",
  _xlfn.TEXTJOIN(", ",TRUE,
    _xlfn._xlws.FILTER(ExecRoleSkills!$B:$B,
      ExecRoleSkills!$A:$A=EmployeesTable[[#This Row],[Additional Executive Role]]
    )
  )
)</f>
        <v/>
      </c>
    </row>
    <row r="280" spans="1:22" ht="30" x14ac:dyDescent="0.25">
      <c r="A280" s="19" t="s">
        <v>372</v>
      </c>
      <c r="B280" s="9">
        <v>10705</v>
      </c>
      <c r="C280" s="3" t="s">
        <v>136</v>
      </c>
      <c r="D280" s="9"/>
      <c r="E280" s="15">
        <v>43907</v>
      </c>
      <c r="F280" s="3" t="s">
        <v>373</v>
      </c>
      <c r="G280" s="3" t="s">
        <v>129</v>
      </c>
      <c r="H280" s="3" t="s">
        <v>12</v>
      </c>
      <c r="I280" s="10" t="s">
        <v>712</v>
      </c>
      <c r="J280" s="4"/>
      <c r="K280" s="4"/>
      <c r="L280" s="4"/>
      <c r="M280" s="4">
        <f>COUNTIFS(JobCodeSkills!$B:$B, EmployeesTable[[#This Row],[Succession Plan Job Code]],
          JobCodeSkills!$K:$K, "Required")</f>
        <v>0</v>
      </c>
      <c r="N280" s="4">
        <f>COUNTIFS(EmployeeSkills!$A:$A, EmployeesTable[[#This Row],[User Name]],
          EmployeeSkills!$B:$B, EmployeesTable[[#This Row],[Succession Plan Job Code]],
          EmployeeSkills!$D:$D, "Competent")</f>
        <v>0</v>
      </c>
      <c r="O280" s="4" t="str">
        <f>IF(EmployeesTable[[#This Row],[Succession Skills Ready – Required Total]]=0,"",
   EmployeesTable[[#This Row],[Succession Skills Ready – Required Met]]/EmployeesTable[[#This Row],[Succession Skills Ready – Required Total]])</f>
        <v/>
      </c>
      <c r="P280" s="4" t="str" cm="1">
        <f t="array" ref="P280">_xlfn.IFS(EmployeesTable[[#This Row],[Succession Skills Readiness %]]="","",
     EmployeesTable[[#This Row],[Succession Skills Readiness %]]&lt;0.6,"Not Ready",
     EmployeesTable[[#This Row],[Succession Skills Readiness %]]&lt;0.8,"Developing",
     TRUE,"Ready")</f>
        <v/>
      </c>
      <c r="Q280" s="4" t="e" cm="1" vm="1">
        <f t="array" ref="Q280">_xlfn.TEXTJOIN(", ",TRUE,
  _xlfn._xlws.FILTER(JobCodeSkills!$G:$G,
    (JobCodeSkills!$B:$B=EmployeesTable[[#This Row],[Job Code]])*
    (JobCodeSkills!$K:$K="Required")
  )
)</f>
        <v>#VALUE!</v>
      </c>
      <c r="R280" s="4"/>
      <c r="S280" s="4"/>
      <c r="T280" s="4"/>
      <c r="U280" s="4"/>
      <c r="V280" s="4" t="str" cm="1">
        <f t="array" ref="V280">IF(EmployeesTable[[#This Row],[Additional Executive Role]]="","",
  _xlfn.TEXTJOIN(", ",TRUE,
    _xlfn._xlws.FILTER(ExecRoleSkills!$B:$B,
      ExecRoleSkills!$A:$A=EmployeesTable[[#This Row],[Additional Executive Role]]
    )
  )
)</f>
        <v/>
      </c>
    </row>
    <row r="281" spans="1:22" ht="30" x14ac:dyDescent="0.25">
      <c r="A281" s="19" t="s">
        <v>654</v>
      </c>
      <c r="B281" s="9">
        <v>10802</v>
      </c>
      <c r="C281" s="3" t="s">
        <v>141</v>
      </c>
      <c r="D281" s="9"/>
      <c r="E281" s="15">
        <v>45454</v>
      </c>
      <c r="F281" s="3" t="s">
        <v>655</v>
      </c>
      <c r="G281" s="3" t="s">
        <v>454</v>
      </c>
      <c r="H281" s="3" t="s">
        <v>12</v>
      </c>
      <c r="I281" s="9" t="s">
        <v>13</v>
      </c>
      <c r="J281" s="4"/>
      <c r="K281" s="4"/>
      <c r="L281" s="4"/>
      <c r="M281" s="4">
        <f>COUNTIFS(JobCodeSkills!$B:$B, EmployeesTable[[#This Row],[Succession Plan Job Code]],
          JobCodeSkills!$K:$K, "Required")</f>
        <v>0</v>
      </c>
      <c r="N281" s="4">
        <f>COUNTIFS(EmployeeSkills!$A:$A, EmployeesTable[[#This Row],[User Name]],
          EmployeeSkills!$B:$B, EmployeesTable[[#This Row],[Succession Plan Job Code]],
          EmployeeSkills!$D:$D, "Competent")</f>
        <v>0</v>
      </c>
      <c r="O281" s="4" t="str">
        <f>IF(EmployeesTable[[#This Row],[Succession Skills Ready – Required Total]]=0,"",
   EmployeesTable[[#This Row],[Succession Skills Ready – Required Met]]/EmployeesTable[[#This Row],[Succession Skills Ready – Required Total]])</f>
        <v/>
      </c>
      <c r="P281" s="4" t="str" cm="1">
        <f t="array" ref="P281">_xlfn.IFS(EmployeesTable[[#This Row],[Succession Skills Readiness %]]="","",
     EmployeesTable[[#This Row],[Succession Skills Readiness %]]&lt;0.6,"Not Ready",
     EmployeesTable[[#This Row],[Succession Skills Readiness %]]&lt;0.8,"Developing",
     TRUE,"Ready")</f>
        <v/>
      </c>
      <c r="Q281" s="4" t="e" cm="1" vm="1">
        <f t="array" ref="Q281">_xlfn.TEXTJOIN(", ",TRUE,
  _xlfn._xlws.FILTER(JobCodeSkills!$G:$G,
    (JobCodeSkills!$B:$B=EmployeesTable[[#This Row],[Job Code]])*
    (JobCodeSkills!$K:$K="Required")
  )
)</f>
        <v>#VALUE!</v>
      </c>
      <c r="R281" s="4"/>
      <c r="S281" s="4"/>
      <c r="T281" s="4"/>
      <c r="U281" s="4"/>
      <c r="V281" s="4" t="str" cm="1">
        <f t="array" ref="V281">IF(EmployeesTable[[#This Row],[Additional Executive Role]]="","",
  _xlfn.TEXTJOIN(", ",TRUE,
    _xlfn._xlws.FILTER(ExecRoleSkills!$B:$B,
      ExecRoleSkills!$A:$A=EmployeesTable[[#This Row],[Additional Executive Role]]
    )
  )
)</f>
        <v/>
      </c>
    </row>
    <row r="282" spans="1:22" ht="30" x14ac:dyDescent="0.25">
      <c r="A282" s="19" t="s">
        <v>374</v>
      </c>
      <c r="B282" s="9">
        <v>10601</v>
      </c>
      <c r="C282" s="3" t="s">
        <v>219</v>
      </c>
      <c r="D282" s="9"/>
      <c r="E282" s="15">
        <v>45356</v>
      </c>
      <c r="F282" s="3" t="s">
        <v>375</v>
      </c>
      <c r="G282" s="3" t="s">
        <v>129</v>
      </c>
      <c r="H282" s="3" t="s">
        <v>12</v>
      </c>
      <c r="I282" s="10" t="s">
        <v>712</v>
      </c>
      <c r="J282" s="4"/>
      <c r="K282" s="4"/>
      <c r="L282" s="4"/>
      <c r="M282" s="4">
        <f>COUNTIFS(JobCodeSkills!$B:$B, EmployeesTable[[#This Row],[Succession Plan Job Code]],
          JobCodeSkills!$K:$K, "Required")</f>
        <v>0</v>
      </c>
      <c r="N282" s="4">
        <f>COUNTIFS(EmployeeSkills!$A:$A, EmployeesTable[[#This Row],[User Name]],
          EmployeeSkills!$B:$B, EmployeesTable[[#This Row],[Succession Plan Job Code]],
          EmployeeSkills!$D:$D, "Competent")</f>
        <v>0</v>
      </c>
      <c r="O282" s="4" t="str">
        <f>IF(EmployeesTable[[#This Row],[Succession Skills Ready – Required Total]]=0,"",
   EmployeesTable[[#This Row],[Succession Skills Ready – Required Met]]/EmployeesTable[[#This Row],[Succession Skills Ready – Required Total]])</f>
        <v/>
      </c>
      <c r="P282" s="4" t="str" cm="1">
        <f t="array" ref="P282">_xlfn.IFS(EmployeesTable[[#This Row],[Succession Skills Readiness %]]="","",
     EmployeesTable[[#This Row],[Succession Skills Readiness %]]&lt;0.6,"Not Ready",
     EmployeesTable[[#This Row],[Succession Skills Readiness %]]&lt;0.8,"Developing",
     TRUE,"Ready")</f>
        <v/>
      </c>
      <c r="Q282" s="4" t="e" cm="1" vm="1">
        <f t="array" ref="Q282">_xlfn.TEXTJOIN(", ",TRUE,
  _xlfn._xlws.FILTER(JobCodeSkills!$G:$G,
    (JobCodeSkills!$B:$B=EmployeesTable[[#This Row],[Job Code]])*
    (JobCodeSkills!$K:$K="Required")
  )
)</f>
        <v>#VALUE!</v>
      </c>
      <c r="R282" s="4"/>
      <c r="S282" s="4"/>
      <c r="T282" s="4"/>
      <c r="U282" s="4"/>
      <c r="V282" s="4" t="str" cm="1">
        <f t="array" ref="V282">IF(EmployeesTable[[#This Row],[Additional Executive Role]]="","",
  _xlfn.TEXTJOIN(", ",TRUE,
    _xlfn._xlws.FILTER(ExecRoleSkills!$B:$B,
      ExecRoleSkills!$A:$A=EmployeesTable[[#This Row],[Additional Executive Role]]
    )
  )
)</f>
        <v/>
      </c>
    </row>
    <row r="283" spans="1:22" ht="30" x14ac:dyDescent="0.25">
      <c r="A283" s="19" t="s">
        <v>376</v>
      </c>
      <c r="B283" s="9">
        <v>10401</v>
      </c>
      <c r="C283" s="3" t="s">
        <v>184</v>
      </c>
      <c r="D283" s="9"/>
      <c r="E283" s="15">
        <v>40658</v>
      </c>
      <c r="F283" s="3" t="s">
        <v>377</v>
      </c>
      <c r="G283" s="3" t="s">
        <v>129</v>
      </c>
      <c r="H283" s="3" t="s">
        <v>12</v>
      </c>
      <c r="I283" s="10" t="s">
        <v>712</v>
      </c>
      <c r="J283" s="4"/>
      <c r="K283" s="4"/>
      <c r="L283" s="4"/>
      <c r="M283" s="4">
        <f>COUNTIFS(JobCodeSkills!$B:$B, EmployeesTable[[#This Row],[Succession Plan Job Code]],
          JobCodeSkills!$K:$K, "Required")</f>
        <v>0</v>
      </c>
      <c r="N283" s="4">
        <f>COUNTIFS(EmployeeSkills!$A:$A, EmployeesTable[[#This Row],[User Name]],
          EmployeeSkills!$B:$B, EmployeesTable[[#This Row],[Succession Plan Job Code]],
          EmployeeSkills!$D:$D, "Competent")</f>
        <v>0</v>
      </c>
      <c r="O283" s="4" t="str">
        <f>IF(EmployeesTable[[#This Row],[Succession Skills Ready – Required Total]]=0,"",
   EmployeesTable[[#This Row],[Succession Skills Ready – Required Met]]/EmployeesTable[[#This Row],[Succession Skills Ready – Required Total]])</f>
        <v/>
      </c>
      <c r="P283" s="4" t="str" cm="1">
        <f t="array" ref="P283">_xlfn.IFS(EmployeesTable[[#This Row],[Succession Skills Readiness %]]="","",
     EmployeesTable[[#This Row],[Succession Skills Readiness %]]&lt;0.6,"Not Ready",
     EmployeesTable[[#This Row],[Succession Skills Readiness %]]&lt;0.8,"Developing",
     TRUE,"Ready")</f>
        <v/>
      </c>
      <c r="Q283" s="4" t="e" cm="1" vm="1">
        <f t="array" ref="Q283">_xlfn.TEXTJOIN(", ",TRUE,
  _xlfn._xlws.FILTER(JobCodeSkills!$G:$G,
    (JobCodeSkills!$B:$B=EmployeesTable[[#This Row],[Job Code]])*
    (JobCodeSkills!$K:$K="Required")
  )
)</f>
        <v>#VALUE!</v>
      </c>
      <c r="R283" s="4"/>
      <c r="S283" s="4"/>
      <c r="T283" s="4"/>
      <c r="U283" s="4"/>
      <c r="V283" s="4" t="str" cm="1">
        <f t="array" ref="V283">IF(EmployeesTable[[#This Row],[Additional Executive Role]]="","",
  _xlfn.TEXTJOIN(", ",TRUE,
    _xlfn._xlws.FILTER(ExecRoleSkills!$B:$B,
      ExecRoleSkills!$A:$A=EmployeesTable[[#This Row],[Additional Executive Role]]
    )
  )
)</f>
        <v/>
      </c>
    </row>
    <row r="284" spans="1:22" ht="30" x14ac:dyDescent="0.25">
      <c r="A284" s="19" t="s">
        <v>444</v>
      </c>
      <c r="B284" s="9">
        <v>40103</v>
      </c>
      <c r="C284" s="3" t="s">
        <v>445</v>
      </c>
      <c r="D284" s="9"/>
      <c r="E284" s="15">
        <v>37721</v>
      </c>
      <c r="F284" s="3" t="s">
        <v>446</v>
      </c>
      <c r="G284" s="3" t="s">
        <v>441</v>
      </c>
      <c r="H284" s="3" t="s">
        <v>12</v>
      </c>
      <c r="I284" s="9" t="s">
        <v>13</v>
      </c>
      <c r="J284" s="4"/>
      <c r="K284" s="4"/>
      <c r="L284" s="4"/>
      <c r="M284" s="4">
        <f>COUNTIFS(JobCodeSkills!$B:$B, EmployeesTable[[#This Row],[Succession Plan Job Code]],
          JobCodeSkills!$K:$K, "Required")</f>
        <v>0</v>
      </c>
      <c r="N284" s="4">
        <f>COUNTIFS(EmployeeSkills!$A:$A, EmployeesTable[[#This Row],[User Name]],
          EmployeeSkills!$B:$B, EmployeesTable[[#This Row],[Succession Plan Job Code]],
          EmployeeSkills!$D:$D, "Competent")</f>
        <v>0</v>
      </c>
      <c r="O284" s="4" t="str">
        <f>IF(EmployeesTable[[#This Row],[Succession Skills Ready – Required Total]]=0,"",
   EmployeesTable[[#This Row],[Succession Skills Ready – Required Met]]/EmployeesTable[[#This Row],[Succession Skills Ready – Required Total]])</f>
        <v/>
      </c>
      <c r="P284" s="4" t="str" cm="1">
        <f t="array" ref="P284">_xlfn.IFS(EmployeesTable[[#This Row],[Succession Skills Readiness %]]="","",
     EmployeesTable[[#This Row],[Succession Skills Readiness %]]&lt;0.6,"Not Ready",
     EmployeesTable[[#This Row],[Succession Skills Readiness %]]&lt;0.8,"Developing",
     TRUE,"Ready")</f>
        <v/>
      </c>
      <c r="Q284" s="4" t="e" cm="1" vm="1">
        <f t="array" ref="Q284">_xlfn.TEXTJOIN(", ",TRUE,
  _xlfn._xlws.FILTER(JobCodeSkills!$G:$G,
    (JobCodeSkills!$B:$B=EmployeesTable[[#This Row],[Job Code]])*
    (JobCodeSkills!$K:$K="Required")
  )
)</f>
        <v>#VALUE!</v>
      </c>
      <c r="R284" s="4"/>
      <c r="S284" s="4"/>
      <c r="T284" s="4"/>
      <c r="U284" s="4"/>
      <c r="V284" s="4" t="str" cm="1">
        <f t="array" ref="V284">IF(EmployeesTable[[#This Row],[Additional Executive Role]]="","",
  _xlfn.TEXTJOIN(", ",TRUE,
    _xlfn._xlws.FILTER(ExecRoleSkills!$B:$B,
      ExecRoleSkills!$A:$A=EmployeesTable[[#This Row],[Additional Executive Role]]
    )
  )
)</f>
        <v/>
      </c>
    </row>
    <row r="285" spans="1:22" ht="30" x14ac:dyDescent="0.25">
      <c r="A285" s="19" t="s">
        <v>378</v>
      </c>
      <c r="B285" s="9">
        <v>10812</v>
      </c>
      <c r="C285" s="3" t="s">
        <v>141</v>
      </c>
      <c r="D285" s="9"/>
      <c r="E285" s="15">
        <v>45384</v>
      </c>
      <c r="F285" s="3" t="s">
        <v>379</v>
      </c>
      <c r="G285" s="3" t="s">
        <v>129</v>
      </c>
      <c r="H285" s="3" t="s">
        <v>12</v>
      </c>
      <c r="I285" s="10" t="s">
        <v>712</v>
      </c>
      <c r="J285" s="4"/>
      <c r="K285" s="4"/>
      <c r="L285" s="4"/>
      <c r="M285" s="4">
        <f>COUNTIFS(JobCodeSkills!$B:$B, EmployeesTable[[#This Row],[Succession Plan Job Code]],
          JobCodeSkills!$K:$K, "Required")</f>
        <v>0</v>
      </c>
      <c r="N285" s="4">
        <f>COUNTIFS(EmployeeSkills!$A:$A, EmployeesTable[[#This Row],[User Name]],
          EmployeeSkills!$B:$B, EmployeesTable[[#This Row],[Succession Plan Job Code]],
          EmployeeSkills!$D:$D, "Competent")</f>
        <v>0</v>
      </c>
      <c r="O285" s="4" t="str">
        <f>IF(EmployeesTable[[#This Row],[Succession Skills Ready – Required Total]]=0,"",
   EmployeesTable[[#This Row],[Succession Skills Ready – Required Met]]/EmployeesTable[[#This Row],[Succession Skills Ready – Required Total]])</f>
        <v/>
      </c>
      <c r="P285" s="4" t="str" cm="1">
        <f t="array" ref="P285">_xlfn.IFS(EmployeesTable[[#This Row],[Succession Skills Readiness %]]="","",
     EmployeesTable[[#This Row],[Succession Skills Readiness %]]&lt;0.6,"Not Ready",
     EmployeesTable[[#This Row],[Succession Skills Readiness %]]&lt;0.8,"Developing",
     TRUE,"Ready")</f>
        <v/>
      </c>
      <c r="Q285" s="4" t="e" cm="1" vm="1">
        <f t="array" ref="Q285">_xlfn.TEXTJOIN(", ",TRUE,
  _xlfn._xlws.FILTER(JobCodeSkills!$G:$G,
    (JobCodeSkills!$B:$B=EmployeesTable[[#This Row],[Job Code]])*
    (JobCodeSkills!$K:$K="Required")
  )
)</f>
        <v>#VALUE!</v>
      </c>
      <c r="R285" s="4"/>
      <c r="S285" s="4"/>
      <c r="T285" s="4"/>
      <c r="U285" s="4"/>
      <c r="V285" s="4" t="str" cm="1">
        <f t="array" ref="V285">IF(EmployeesTable[[#This Row],[Additional Executive Role]]="","",
  _xlfn.TEXTJOIN(", ",TRUE,
    _xlfn._xlws.FILTER(ExecRoleSkills!$B:$B,
      ExecRoleSkills!$A:$A=EmployeesTable[[#This Row],[Additional Executive Role]]
    )
  )
)</f>
        <v/>
      </c>
    </row>
    <row r="286" spans="1:22" ht="30" x14ac:dyDescent="0.25">
      <c r="A286" s="19" t="s">
        <v>656</v>
      </c>
      <c r="B286" s="9">
        <v>10804</v>
      </c>
      <c r="C286" s="3" t="s">
        <v>167</v>
      </c>
      <c r="D286" s="9"/>
      <c r="E286" s="15">
        <v>44621</v>
      </c>
      <c r="F286" s="3" t="s">
        <v>657</v>
      </c>
      <c r="G286" s="3" t="s">
        <v>454</v>
      </c>
      <c r="H286" s="3" t="s">
        <v>12</v>
      </c>
      <c r="I286" s="9" t="s">
        <v>13</v>
      </c>
      <c r="J286" s="4"/>
      <c r="K286" s="4"/>
      <c r="L286" s="4"/>
      <c r="M286" s="4">
        <f>COUNTIFS(JobCodeSkills!$B:$B, EmployeesTable[[#This Row],[Succession Plan Job Code]],
          JobCodeSkills!$K:$K, "Required")</f>
        <v>0</v>
      </c>
      <c r="N286" s="4">
        <f>COUNTIFS(EmployeeSkills!$A:$A, EmployeesTable[[#This Row],[User Name]],
          EmployeeSkills!$B:$B, EmployeesTable[[#This Row],[Succession Plan Job Code]],
          EmployeeSkills!$D:$D, "Competent")</f>
        <v>0</v>
      </c>
      <c r="O286" s="4" t="str">
        <f>IF(EmployeesTable[[#This Row],[Succession Skills Ready – Required Total]]=0,"",
   EmployeesTable[[#This Row],[Succession Skills Ready – Required Met]]/EmployeesTable[[#This Row],[Succession Skills Ready – Required Total]])</f>
        <v/>
      </c>
      <c r="P286" s="4" t="str" cm="1">
        <f t="array" ref="P286">_xlfn.IFS(EmployeesTable[[#This Row],[Succession Skills Readiness %]]="","",
     EmployeesTable[[#This Row],[Succession Skills Readiness %]]&lt;0.6,"Not Ready",
     EmployeesTable[[#This Row],[Succession Skills Readiness %]]&lt;0.8,"Developing",
     TRUE,"Ready")</f>
        <v/>
      </c>
      <c r="Q286" s="4" t="e" cm="1" vm="1">
        <f t="array" ref="Q286">_xlfn.TEXTJOIN(", ",TRUE,
  _xlfn._xlws.FILTER(JobCodeSkills!$G:$G,
    (JobCodeSkills!$B:$B=EmployeesTable[[#This Row],[Job Code]])*
    (JobCodeSkills!$K:$K="Required")
  )
)</f>
        <v>#VALUE!</v>
      </c>
      <c r="R286" s="4"/>
      <c r="S286" s="4"/>
      <c r="T286" s="4"/>
      <c r="U286" s="4"/>
      <c r="V286" s="4" t="str" cm="1">
        <f t="array" ref="V286">IF(EmployeesTable[[#This Row],[Additional Executive Role]]="","",
  _xlfn.TEXTJOIN(", ",TRUE,
    _xlfn._xlws.FILTER(ExecRoleSkills!$B:$B,
      ExecRoleSkills!$A:$A=EmployeesTable[[#This Row],[Additional Executive Role]]
    )
  )
)</f>
        <v/>
      </c>
    </row>
    <row r="287" spans="1:22" ht="30" x14ac:dyDescent="0.25">
      <c r="A287" s="19" t="s">
        <v>658</v>
      </c>
      <c r="B287" s="9">
        <v>10804</v>
      </c>
      <c r="C287" s="3" t="s">
        <v>167</v>
      </c>
      <c r="D287" s="9"/>
      <c r="E287" s="15">
        <v>43858</v>
      </c>
      <c r="F287" s="3" t="s">
        <v>659</v>
      </c>
      <c r="G287" s="3" t="s">
        <v>454</v>
      </c>
      <c r="H287" s="3" t="s">
        <v>12</v>
      </c>
      <c r="I287" s="9" t="s">
        <v>13</v>
      </c>
      <c r="J287" s="4"/>
      <c r="K287" s="4"/>
      <c r="L287" s="4"/>
      <c r="M287" s="4">
        <f>COUNTIFS(JobCodeSkills!$B:$B, EmployeesTable[[#This Row],[Succession Plan Job Code]],
          JobCodeSkills!$K:$K, "Required")</f>
        <v>0</v>
      </c>
      <c r="N287" s="4">
        <f>COUNTIFS(EmployeeSkills!$A:$A, EmployeesTable[[#This Row],[User Name]],
          EmployeeSkills!$B:$B, EmployeesTable[[#This Row],[Succession Plan Job Code]],
          EmployeeSkills!$D:$D, "Competent")</f>
        <v>0</v>
      </c>
      <c r="O287" s="4" t="str">
        <f>IF(EmployeesTable[[#This Row],[Succession Skills Ready – Required Total]]=0,"",
   EmployeesTable[[#This Row],[Succession Skills Ready – Required Met]]/EmployeesTable[[#This Row],[Succession Skills Ready – Required Total]])</f>
        <v/>
      </c>
      <c r="P287" s="4" t="str" cm="1">
        <f t="array" ref="P287">_xlfn.IFS(EmployeesTable[[#This Row],[Succession Skills Readiness %]]="","",
     EmployeesTable[[#This Row],[Succession Skills Readiness %]]&lt;0.6,"Not Ready",
     EmployeesTable[[#This Row],[Succession Skills Readiness %]]&lt;0.8,"Developing",
     TRUE,"Ready")</f>
        <v/>
      </c>
      <c r="Q287" s="4" t="e" cm="1" vm="1">
        <f t="array" ref="Q287">_xlfn.TEXTJOIN(", ",TRUE,
  _xlfn._xlws.FILTER(JobCodeSkills!$G:$G,
    (JobCodeSkills!$B:$B=EmployeesTable[[#This Row],[Job Code]])*
    (JobCodeSkills!$K:$K="Required")
  )
)</f>
        <v>#VALUE!</v>
      </c>
      <c r="R287" s="4"/>
      <c r="S287" s="4"/>
      <c r="T287" s="4"/>
      <c r="U287" s="4"/>
      <c r="V287" s="4" t="str" cm="1">
        <f t="array" ref="V287">IF(EmployeesTable[[#This Row],[Additional Executive Role]]="","",
  _xlfn.TEXTJOIN(", ",TRUE,
    _xlfn._xlws.FILTER(ExecRoleSkills!$B:$B,
      ExecRoleSkills!$A:$A=EmployeesTable[[#This Row],[Additional Executive Role]]
    )
  )
)</f>
        <v/>
      </c>
    </row>
    <row r="288" spans="1:22" ht="30" x14ac:dyDescent="0.25">
      <c r="A288" s="19" t="s">
        <v>382</v>
      </c>
      <c r="B288" s="9">
        <v>10804</v>
      </c>
      <c r="C288" s="3" t="s">
        <v>346</v>
      </c>
      <c r="D288" s="9"/>
      <c r="E288" s="15">
        <v>44903</v>
      </c>
      <c r="F288" s="3" t="s">
        <v>383</v>
      </c>
      <c r="G288" s="3" t="s">
        <v>129</v>
      </c>
      <c r="H288" s="3" t="s">
        <v>12</v>
      </c>
      <c r="I288" s="10" t="s">
        <v>712</v>
      </c>
      <c r="J288" s="4"/>
      <c r="K288" s="4"/>
      <c r="L288" s="4"/>
      <c r="M288" s="4">
        <f>COUNTIFS(JobCodeSkills!$B:$B, EmployeesTable[[#This Row],[Succession Plan Job Code]],
          JobCodeSkills!$K:$K, "Required")</f>
        <v>0</v>
      </c>
      <c r="N288" s="4">
        <f>COUNTIFS(EmployeeSkills!$A:$A, EmployeesTable[[#This Row],[User Name]],
          EmployeeSkills!$B:$B, EmployeesTable[[#This Row],[Succession Plan Job Code]],
          EmployeeSkills!$D:$D, "Competent")</f>
        <v>0</v>
      </c>
      <c r="O288" s="4" t="str">
        <f>IF(EmployeesTable[[#This Row],[Succession Skills Ready – Required Total]]=0,"",
   EmployeesTable[[#This Row],[Succession Skills Ready – Required Met]]/EmployeesTable[[#This Row],[Succession Skills Ready – Required Total]])</f>
        <v/>
      </c>
      <c r="P288" s="4" t="str" cm="1">
        <f t="array" ref="P288">_xlfn.IFS(EmployeesTable[[#This Row],[Succession Skills Readiness %]]="","",
     EmployeesTable[[#This Row],[Succession Skills Readiness %]]&lt;0.6,"Not Ready",
     EmployeesTable[[#This Row],[Succession Skills Readiness %]]&lt;0.8,"Developing",
     TRUE,"Ready")</f>
        <v/>
      </c>
      <c r="Q288" s="4" t="e" cm="1" vm="1">
        <f t="array" ref="Q288">_xlfn.TEXTJOIN(", ",TRUE,
  _xlfn._xlws.FILTER(JobCodeSkills!$G:$G,
    (JobCodeSkills!$B:$B=EmployeesTable[[#This Row],[Job Code]])*
    (JobCodeSkills!$K:$K="Required")
  )
)</f>
        <v>#VALUE!</v>
      </c>
      <c r="R288" s="4"/>
      <c r="S288" s="4"/>
      <c r="T288" s="4"/>
      <c r="U288" s="4"/>
      <c r="V288" s="4" t="str" cm="1">
        <f t="array" ref="V288">IF(EmployeesTable[[#This Row],[Additional Executive Role]]="","",
  _xlfn.TEXTJOIN(", ",TRUE,
    _xlfn._xlws.FILTER(ExecRoleSkills!$B:$B,
      ExecRoleSkills!$A:$A=EmployeesTable[[#This Row],[Additional Executive Role]]
    )
  )
)</f>
        <v/>
      </c>
    </row>
    <row r="289" spans="1:22" ht="30" x14ac:dyDescent="0.25">
      <c r="A289" s="19" t="s">
        <v>380</v>
      </c>
      <c r="B289" s="9">
        <v>10705</v>
      </c>
      <c r="C289" s="3" t="s">
        <v>136</v>
      </c>
      <c r="D289" s="9"/>
      <c r="E289" s="15">
        <v>45358</v>
      </c>
      <c r="F289" s="3" t="s">
        <v>381</v>
      </c>
      <c r="G289" s="3" t="s">
        <v>129</v>
      </c>
      <c r="H289" s="3" t="s">
        <v>12</v>
      </c>
      <c r="I289" s="10" t="s">
        <v>712</v>
      </c>
      <c r="J289" s="4"/>
      <c r="K289" s="4"/>
      <c r="L289" s="4"/>
      <c r="M289" s="4">
        <f>COUNTIFS(JobCodeSkills!$B:$B, EmployeesTable[[#This Row],[Succession Plan Job Code]],
          JobCodeSkills!$K:$K, "Required")</f>
        <v>0</v>
      </c>
      <c r="N289" s="4">
        <f>COUNTIFS(EmployeeSkills!$A:$A, EmployeesTable[[#This Row],[User Name]],
          EmployeeSkills!$B:$B, EmployeesTable[[#This Row],[Succession Plan Job Code]],
          EmployeeSkills!$D:$D, "Competent")</f>
        <v>0</v>
      </c>
      <c r="O289" s="4" t="str">
        <f>IF(EmployeesTable[[#This Row],[Succession Skills Ready – Required Total]]=0,"",
   EmployeesTable[[#This Row],[Succession Skills Ready – Required Met]]/EmployeesTable[[#This Row],[Succession Skills Ready – Required Total]])</f>
        <v/>
      </c>
      <c r="P289" s="4" t="str" cm="1">
        <f t="array" ref="P289">_xlfn.IFS(EmployeesTable[[#This Row],[Succession Skills Readiness %]]="","",
     EmployeesTable[[#This Row],[Succession Skills Readiness %]]&lt;0.6,"Not Ready",
     EmployeesTable[[#This Row],[Succession Skills Readiness %]]&lt;0.8,"Developing",
     TRUE,"Ready")</f>
        <v/>
      </c>
      <c r="Q289" s="4" t="e" cm="1" vm="1">
        <f t="array" ref="Q289">_xlfn.TEXTJOIN(", ",TRUE,
  _xlfn._xlws.FILTER(JobCodeSkills!$G:$G,
    (JobCodeSkills!$B:$B=EmployeesTable[[#This Row],[Job Code]])*
    (JobCodeSkills!$K:$K="Required")
  )
)</f>
        <v>#VALUE!</v>
      </c>
      <c r="R289" s="4"/>
      <c r="S289" s="4"/>
      <c r="T289" s="4"/>
      <c r="U289" s="4"/>
      <c r="V289" s="4" t="str" cm="1">
        <f t="array" ref="V289">IF(EmployeesTable[[#This Row],[Additional Executive Role]]="","",
  _xlfn.TEXTJOIN(", ",TRUE,
    _xlfn._xlws.FILTER(ExecRoleSkills!$B:$B,
      ExecRoleSkills!$A:$A=EmployeesTable[[#This Row],[Additional Executive Role]]
    )
  )
)</f>
        <v/>
      </c>
    </row>
    <row r="290" spans="1:22" ht="45" x14ac:dyDescent="0.25">
      <c r="A290" s="19" t="s">
        <v>56</v>
      </c>
      <c r="B290" s="9">
        <v>10206</v>
      </c>
      <c r="C290" s="3" t="s">
        <v>57</v>
      </c>
      <c r="D290" s="9"/>
      <c r="E290" s="15">
        <v>37546</v>
      </c>
      <c r="F290" s="3" t="s">
        <v>58</v>
      </c>
      <c r="G290" s="3" t="s">
        <v>20</v>
      </c>
      <c r="H290" s="3" t="s">
        <v>12</v>
      </c>
      <c r="I290" s="10" t="s">
        <v>13</v>
      </c>
      <c r="J290" s="4"/>
      <c r="K290" s="4"/>
      <c r="L290" s="4"/>
      <c r="M290" s="4">
        <f>COUNTIFS(JobCodeSkills!$B:$B, EmployeesTable[[#This Row],[Succession Plan Job Code]],
          JobCodeSkills!$K:$K, "Required")</f>
        <v>0</v>
      </c>
      <c r="N290" s="4">
        <f>COUNTIFS(EmployeeSkills!$A:$A, EmployeesTable[[#This Row],[User Name]],
          EmployeeSkills!$B:$B, EmployeesTable[[#This Row],[Succession Plan Job Code]],
          EmployeeSkills!$D:$D, "Competent")</f>
        <v>0</v>
      </c>
      <c r="O290" s="4" t="str">
        <f>IF(EmployeesTable[[#This Row],[Succession Skills Ready – Required Total]]=0,"",
   EmployeesTable[[#This Row],[Succession Skills Ready – Required Met]]/EmployeesTable[[#This Row],[Succession Skills Ready – Required Total]])</f>
        <v/>
      </c>
      <c r="P290" s="4" t="str" cm="1">
        <f t="array" ref="P290">_xlfn.IFS(EmployeesTable[[#This Row],[Succession Skills Readiness %]]="","",
     EmployeesTable[[#This Row],[Succession Skills Readiness %]]&lt;0.6,"Not Ready",
     EmployeesTable[[#This Row],[Succession Skills Readiness %]]&lt;0.8,"Developing",
     TRUE,"Ready")</f>
        <v/>
      </c>
      <c r="Q290" s="4" t="e" cm="1" vm="1">
        <f t="array" ref="Q290">_xlfn.TEXTJOIN(", ",TRUE,
  _xlfn._xlws.FILTER(JobCodeSkills!$G:$G,
    (JobCodeSkills!$B:$B=EmployeesTable[[#This Row],[Job Code]])*
    (JobCodeSkills!$K:$K="Required")
  )
)</f>
        <v>#VALUE!</v>
      </c>
      <c r="R290" s="4"/>
      <c r="S290" s="4"/>
      <c r="T290" s="4"/>
      <c r="U290" s="4"/>
      <c r="V290" s="4" t="str" cm="1">
        <f t="array" ref="V290">IF(EmployeesTable[[#This Row],[Additional Executive Role]]="","",
  _xlfn.TEXTJOIN(", ",TRUE,
    _xlfn._xlws.FILTER(ExecRoleSkills!$B:$B,
      ExecRoleSkills!$A:$A=EmployeesTable[[#This Row],[Additional Executive Role]]
    )
  )
)</f>
        <v/>
      </c>
    </row>
    <row r="291" spans="1:22" ht="30" x14ac:dyDescent="0.25">
      <c r="A291" s="19" t="s">
        <v>384</v>
      </c>
      <c r="B291" s="9">
        <v>10812</v>
      </c>
      <c r="C291" s="3" t="s">
        <v>141</v>
      </c>
      <c r="D291" s="9"/>
      <c r="E291" s="15">
        <v>45342</v>
      </c>
      <c r="F291" s="3" t="s">
        <v>385</v>
      </c>
      <c r="G291" s="3" t="s">
        <v>129</v>
      </c>
      <c r="H291" s="3" t="s">
        <v>12</v>
      </c>
      <c r="I291" s="10" t="s">
        <v>712</v>
      </c>
      <c r="J291" s="4"/>
      <c r="K291" s="4"/>
      <c r="L291" s="4"/>
      <c r="M291" s="4">
        <f>COUNTIFS(JobCodeSkills!$B:$B, EmployeesTable[[#This Row],[Succession Plan Job Code]],
          JobCodeSkills!$K:$K, "Required")</f>
        <v>0</v>
      </c>
      <c r="N291" s="4">
        <f>COUNTIFS(EmployeeSkills!$A:$A, EmployeesTable[[#This Row],[User Name]],
          EmployeeSkills!$B:$B, EmployeesTable[[#This Row],[Succession Plan Job Code]],
          EmployeeSkills!$D:$D, "Competent")</f>
        <v>0</v>
      </c>
      <c r="O291" s="4" t="str">
        <f>IF(EmployeesTable[[#This Row],[Succession Skills Ready – Required Total]]=0,"",
   EmployeesTable[[#This Row],[Succession Skills Ready – Required Met]]/EmployeesTable[[#This Row],[Succession Skills Ready – Required Total]])</f>
        <v/>
      </c>
      <c r="P291" s="4" t="str" cm="1">
        <f t="array" ref="P291">_xlfn.IFS(EmployeesTable[[#This Row],[Succession Skills Readiness %]]="","",
     EmployeesTable[[#This Row],[Succession Skills Readiness %]]&lt;0.6,"Not Ready",
     EmployeesTable[[#This Row],[Succession Skills Readiness %]]&lt;0.8,"Developing",
     TRUE,"Ready")</f>
        <v/>
      </c>
      <c r="Q291" s="4" t="e" cm="1" vm="1">
        <f t="array" ref="Q291">_xlfn.TEXTJOIN(", ",TRUE,
  _xlfn._xlws.FILTER(JobCodeSkills!$G:$G,
    (JobCodeSkills!$B:$B=EmployeesTable[[#This Row],[Job Code]])*
    (JobCodeSkills!$K:$K="Required")
  )
)</f>
        <v>#VALUE!</v>
      </c>
      <c r="R291" s="4"/>
      <c r="S291" s="4"/>
      <c r="T291" s="4"/>
      <c r="U291" s="4"/>
      <c r="V291" s="4" t="str" cm="1">
        <f t="array" ref="V291">IF(EmployeesTable[[#This Row],[Additional Executive Role]]="","",
  _xlfn.TEXTJOIN(", ",TRUE,
    _xlfn._xlws.FILTER(ExecRoleSkills!$B:$B,
      ExecRoleSkills!$A:$A=EmployeesTable[[#This Row],[Additional Executive Role]]
    )
  )
)</f>
        <v/>
      </c>
    </row>
    <row r="292" spans="1:22" ht="30" x14ac:dyDescent="0.25">
      <c r="A292" s="19" t="s">
        <v>386</v>
      </c>
      <c r="B292" s="9">
        <v>10705</v>
      </c>
      <c r="C292" s="3" t="s">
        <v>136</v>
      </c>
      <c r="D292" s="9"/>
      <c r="E292" s="15">
        <v>44340</v>
      </c>
      <c r="F292" s="3" t="s">
        <v>387</v>
      </c>
      <c r="G292" s="3" t="s">
        <v>129</v>
      </c>
      <c r="H292" s="3" t="s">
        <v>12</v>
      </c>
      <c r="I292" s="10" t="s">
        <v>712</v>
      </c>
      <c r="J292" s="4"/>
      <c r="K292" s="4"/>
      <c r="L292" s="4"/>
      <c r="M292" s="4">
        <f>COUNTIFS(JobCodeSkills!$B:$B, EmployeesTable[[#This Row],[Succession Plan Job Code]],
          JobCodeSkills!$K:$K, "Required")</f>
        <v>0</v>
      </c>
      <c r="N292" s="4">
        <f>COUNTIFS(EmployeeSkills!$A:$A, EmployeesTable[[#This Row],[User Name]],
          EmployeeSkills!$B:$B, EmployeesTable[[#This Row],[Succession Plan Job Code]],
          EmployeeSkills!$D:$D, "Competent")</f>
        <v>0</v>
      </c>
      <c r="O292" s="4" t="str">
        <f>IF(EmployeesTable[[#This Row],[Succession Skills Ready – Required Total]]=0,"",
   EmployeesTable[[#This Row],[Succession Skills Ready – Required Met]]/EmployeesTable[[#This Row],[Succession Skills Ready – Required Total]])</f>
        <v/>
      </c>
      <c r="P292" s="4" t="str" cm="1">
        <f t="array" ref="P292">_xlfn.IFS(EmployeesTable[[#This Row],[Succession Skills Readiness %]]="","",
     EmployeesTable[[#This Row],[Succession Skills Readiness %]]&lt;0.6,"Not Ready",
     EmployeesTable[[#This Row],[Succession Skills Readiness %]]&lt;0.8,"Developing",
     TRUE,"Ready")</f>
        <v/>
      </c>
      <c r="Q292" s="4" t="e" cm="1" vm="1">
        <f t="array" ref="Q292">_xlfn.TEXTJOIN(", ",TRUE,
  _xlfn._xlws.FILTER(JobCodeSkills!$G:$G,
    (JobCodeSkills!$B:$B=EmployeesTable[[#This Row],[Job Code]])*
    (JobCodeSkills!$K:$K="Required")
  )
)</f>
        <v>#VALUE!</v>
      </c>
      <c r="R292" s="4"/>
      <c r="S292" s="4"/>
      <c r="T292" s="4"/>
      <c r="U292" s="4"/>
      <c r="V292" s="4" t="str" cm="1">
        <f t="array" ref="V292">IF(EmployeesTable[[#This Row],[Additional Executive Role]]="","",
  _xlfn.TEXTJOIN(", ",TRUE,
    _xlfn._xlws.FILTER(ExecRoleSkills!$B:$B,
      ExecRoleSkills!$A:$A=EmployeesTable[[#This Row],[Additional Executive Role]]
    )
  )
)</f>
        <v/>
      </c>
    </row>
    <row r="293" spans="1:22" ht="30" x14ac:dyDescent="0.25">
      <c r="A293" s="19" t="s">
        <v>447</v>
      </c>
      <c r="B293" s="9">
        <v>40102</v>
      </c>
      <c r="C293" s="3" t="s">
        <v>9</v>
      </c>
      <c r="D293" s="9"/>
      <c r="E293" s="15">
        <v>39384</v>
      </c>
      <c r="F293" s="3" t="s">
        <v>448</v>
      </c>
      <c r="G293" s="3" t="s">
        <v>441</v>
      </c>
      <c r="H293" s="3" t="s">
        <v>12</v>
      </c>
      <c r="I293" s="9" t="s">
        <v>13</v>
      </c>
      <c r="J293" s="4"/>
      <c r="K293" s="4"/>
      <c r="L293" s="4"/>
      <c r="M293" s="4">
        <f>COUNTIFS(JobCodeSkills!$B:$B, EmployeesTable[[#This Row],[Succession Plan Job Code]],
          JobCodeSkills!$K:$K, "Required")</f>
        <v>0</v>
      </c>
      <c r="N293" s="4">
        <f>COUNTIFS(EmployeeSkills!$A:$A, EmployeesTable[[#This Row],[User Name]],
          EmployeeSkills!$B:$B, EmployeesTable[[#This Row],[Succession Plan Job Code]],
          EmployeeSkills!$D:$D, "Competent")</f>
        <v>0</v>
      </c>
      <c r="O293" s="4" t="str">
        <f>IF(EmployeesTable[[#This Row],[Succession Skills Ready – Required Total]]=0,"",
   EmployeesTable[[#This Row],[Succession Skills Ready – Required Met]]/EmployeesTable[[#This Row],[Succession Skills Ready – Required Total]])</f>
        <v/>
      </c>
      <c r="P293" s="4" t="str" cm="1">
        <f t="array" ref="P293">_xlfn.IFS(EmployeesTable[[#This Row],[Succession Skills Readiness %]]="","",
     EmployeesTable[[#This Row],[Succession Skills Readiness %]]&lt;0.6,"Not Ready",
     EmployeesTable[[#This Row],[Succession Skills Readiness %]]&lt;0.8,"Developing",
     TRUE,"Ready")</f>
        <v/>
      </c>
      <c r="Q293" s="4" t="e" cm="1" vm="1">
        <f t="array" ref="Q293">_xlfn.TEXTJOIN(", ",TRUE,
  _xlfn._xlws.FILTER(JobCodeSkills!$G:$G,
    (JobCodeSkills!$B:$B=EmployeesTable[[#This Row],[Job Code]])*
    (JobCodeSkills!$K:$K="Required")
  )
)</f>
        <v>#VALUE!</v>
      </c>
      <c r="R293" s="4"/>
      <c r="S293" s="4"/>
      <c r="T293" s="4"/>
      <c r="U293" s="4"/>
      <c r="V293" s="4" t="str" cm="1">
        <f t="array" ref="V293">IF(EmployeesTable[[#This Row],[Additional Executive Role]]="","",
  _xlfn.TEXTJOIN(", ",TRUE,
    _xlfn._xlws.FILTER(ExecRoleSkills!$B:$B,
      ExecRoleSkills!$A:$A=EmployeesTable[[#This Row],[Additional Executive Role]]
    )
  )
)</f>
        <v/>
      </c>
    </row>
    <row r="294" spans="1:22" ht="30" x14ac:dyDescent="0.25">
      <c r="A294" s="19" t="s">
        <v>660</v>
      </c>
      <c r="B294" s="9">
        <v>10502</v>
      </c>
      <c r="C294" s="3" t="s">
        <v>187</v>
      </c>
      <c r="D294" s="9"/>
      <c r="E294" s="15">
        <v>36010</v>
      </c>
      <c r="F294" s="3" t="s">
        <v>661</v>
      </c>
      <c r="G294" s="3" t="s">
        <v>454</v>
      </c>
      <c r="H294" s="3" t="s">
        <v>12</v>
      </c>
      <c r="I294" s="9" t="s">
        <v>13</v>
      </c>
      <c r="J294" s="4"/>
      <c r="K294" s="4"/>
      <c r="L294" s="4"/>
      <c r="M294" s="4">
        <f>COUNTIFS(JobCodeSkills!$B:$B, EmployeesTable[[#This Row],[Succession Plan Job Code]],
          JobCodeSkills!$K:$K, "Required")</f>
        <v>0</v>
      </c>
      <c r="N294" s="4">
        <f>COUNTIFS(EmployeeSkills!$A:$A, EmployeesTable[[#This Row],[User Name]],
          EmployeeSkills!$B:$B, EmployeesTable[[#This Row],[Succession Plan Job Code]],
          EmployeeSkills!$D:$D, "Competent")</f>
        <v>0</v>
      </c>
      <c r="O294" s="4" t="str">
        <f>IF(EmployeesTable[[#This Row],[Succession Skills Ready – Required Total]]=0,"",
   EmployeesTable[[#This Row],[Succession Skills Ready – Required Met]]/EmployeesTable[[#This Row],[Succession Skills Ready – Required Total]])</f>
        <v/>
      </c>
      <c r="P294" s="4" t="str" cm="1">
        <f t="array" ref="P294">_xlfn.IFS(EmployeesTable[[#This Row],[Succession Skills Readiness %]]="","",
     EmployeesTable[[#This Row],[Succession Skills Readiness %]]&lt;0.6,"Not Ready",
     EmployeesTable[[#This Row],[Succession Skills Readiness %]]&lt;0.8,"Developing",
     TRUE,"Ready")</f>
        <v/>
      </c>
      <c r="Q294" s="4" t="e" cm="1" vm="1">
        <f t="array" ref="Q294">_xlfn.TEXTJOIN(", ",TRUE,
  _xlfn._xlws.FILTER(JobCodeSkills!$G:$G,
    (JobCodeSkills!$B:$B=EmployeesTable[[#This Row],[Job Code]])*
    (JobCodeSkills!$K:$K="Required")
  )
)</f>
        <v>#VALUE!</v>
      </c>
      <c r="R294" s="4"/>
      <c r="S294" s="4"/>
      <c r="T294" s="4"/>
      <c r="U294" s="4"/>
      <c r="V294" s="4" t="str" cm="1">
        <f t="array" ref="V294">IF(EmployeesTable[[#This Row],[Additional Executive Role]]="","",
  _xlfn.TEXTJOIN(", ",TRUE,
    _xlfn._xlws.FILTER(ExecRoleSkills!$B:$B,
      ExecRoleSkills!$A:$A=EmployeesTable[[#This Row],[Additional Executive Role]]
    )
  )
)</f>
        <v/>
      </c>
    </row>
    <row r="295" spans="1:22" ht="30" x14ac:dyDescent="0.25">
      <c r="A295" s="19" t="s">
        <v>662</v>
      </c>
      <c r="B295" s="9">
        <v>10804</v>
      </c>
      <c r="C295" s="3" t="s">
        <v>167</v>
      </c>
      <c r="D295" s="9"/>
      <c r="E295" s="15">
        <v>44455</v>
      </c>
      <c r="F295" s="3" t="s">
        <v>663</v>
      </c>
      <c r="G295" s="3" t="s">
        <v>454</v>
      </c>
      <c r="H295" s="3" t="s">
        <v>12</v>
      </c>
      <c r="I295" s="9" t="s">
        <v>13</v>
      </c>
      <c r="J295" s="4"/>
      <c r="K295" s="4"/>
      <c r="L295" s="4"/>
      <c r="M295" s="4">
        <f>COUNTIFS(JobCodeSkills!$B:$B, EmployeesTable[[#This Row],[Succession Plan Job Code]],
          JobCodeSkills!$K:$K, "Required")</f>
        <v>0</v>
      </c>
      <c r="N295" s="4">
        <f>COUNTIFS(EmployeeSkills!$A:$A, EmployeesTable[[#This Row],[User Name]],
          EmployeeSkills!$B:$B, EmployeesTable[[#This Row],[Succession Plan Job Code]],
          EmployeeSkills!$D:$D, "Competent")</f>
        <v>0</v>
      </c>
      <c r="O295" s="4" t="str">
        <f>IF(EmployeesTable[[#This Row],[Succession Skills Ready – Required Total]]=0,"",
   EmployeesTable[[#This Row],[Succession Skills Ready – Required Met]]/EmployeesTable[[#This Row],[Succession Skills Ready – Required Total]])</f>
        <v/>
      </c>
      <c r="P295" s="4" t="str" cm="1">
        <f t="array" ref="P295">_xlfn.IFS(EmployeesTable[[#This Row],[Succession Skills Readiness %]]="","",
     EmployeesTable[[#This Row],[Succession Skills Readiness %]]&lt;0.6,"Not Ready",
     EmployeesTable[[#This Row],[Succession Skills Readiness %]]&lt;0.8,"Developing",
     TRUE,"Ready")</f>
        <v/>
      </c>
      <c r="Q295" s="4" t="e" cm="1" vm="1">
        <f t="array" ref="Q295">_xlfn.TEXTJOIN(", ",TRUE,
  _xlfn._xlws.FILTER(JobCodeSkills!$G:$G,
    (JobCodeSkills!$B:$B=EmployeesTable[[#This Row],[Job Code]])*
    (JobCodeSkills!$K:$K="Required")
  )
)</f>
        <v>#VALUE!</v>
      </c>
      <c r="R295" s="4"/>
      <c r="S295" s="4"/>
      <c r="T295" s="4"/>
      <c r="U295" s="4"/>
      <c r="V295" s="4" t="str" cm="1">
        <f t="array" ref="V295">IF(EmployeesTable[[#This Row],[Additional Executive Role]]="","",
  _xlfn.TEXTJOIN(", ",TRUE,
    _xlfn._xlws.FILTER(ExecRoleSkills!$B:$B,
      ExecRoleSkills!$A:$A=EmployeesTable[[#This Row],[Additional Executive Role]]
    )
  )
)</f>
        <v/>
      </c>
    </row>
    <row r="296" spans="1:22" ht="30" x14ac:dyDescent="0.25">
      <c r="A296" s="19" t="s">
        <v>435</v>
      </c>
      <c r="B296" s="9">
        <v>30210</v>
      </c>
      <c r="C296" s="3" t="s">
        <v>436</v>
      </c>
      <c r="D296" s="9"/>
      <c r="E296" s="15">
        <v>45468</v>
      </c>
      <c r="F296" s="3" t="s">
        <v>437</v>
      </c>
      <c r="G296" s="3" t="s">
        <v>434</v>
      </c>
      <c r="H296" s="3" t="s">
        <v>12</v>
      </c>
      <c r="I296" s="9" t="s">
        <v>13</v>
      </c>
      <c r="J296" s="4"/>
      <c r="K296" s="4"/>
      <c r="L296" s="4"/>
      <c r="M296" s="4">
        <f>COUNTIFS(JobCodeSkills!$B:$B, EmployeesTable[[#This Row],[Succession Plan Job Code]],
          JobCodeSkills!$K:$K, "Required")</f>
        <v>0</v>
      </c>
      <c r="N296" s="4">
        <f>COUNTIFS(EmployeeSkills!$A:$A, EmployeesTable[[#This Row],[User Name]],
          EmployeeSkills!$B:$B, EmployeesTable[[#This Row],[Succession Plan Job Code]],
          EmployeeSkills!$D:$D, "Competent")</f>
        <v>0</v>
      </c>
      <c r="O296" s="4" t="str">
        <f>IF(EmployeesTable[[#This Row],[Succession Skills Ready – Required Total]]=0,"",
   EmployeesTable[[#This Row],[Succession Skills Ready – Required Met]]/EmployeesTable[[#This Row],[Succession Skills Ready – Required Total]])</f>
        <v/>
      </c>
      <c r="P296" s="4" t="str" cm="1">
        <f t="array" ref="P296">_xlfn.IFS(EmployeesTable[[#This Row],[Succession Skills Readiness %]]="","",
     EmployeesTable[[#This Row],[Succession Skills Readiness %]]&lt;0.6,"Not Ready",
     EmployeesTable[[#This Row],[Succession Skills Readiness %]]&lt;0.8,"Developing",
     TRUE,"Ready")</f>
        <v/>
      </c>
      <c r="Q296" s="4" t="e" cm="1" vm="1">
        <f t="array" ref="Q296">_xlfn.TEXTJOIN(", ",TRUE,
  _xlfn._xlws.FILTER(JobCodeSkills!$G:$G,
    (JobCodeSkills!$B:$B=EmployeesTable[[#This Row],[Job Code]])*
    (JobCodeSkills!$K:$K="Required")
  )
)</f>
        <v>#VALUE!</v>
      </c>
      <c r="R296" s="4"/>
      <c r="S296" s="4"/>
      <c r="T296" s="4"/>
      <c r="U296" s="4"/>
      <c r="V296" s="4" t="str" cm="1">
        <f t="array" ref="V296">IF(EmployeesTable[[#This Row],[Additional Executive Role]]="","",
  _xlfn.TEXTJOIN(", ",TRUE,
    _xlfn._xlws.FILTER(ExecRoleSkills!$B:$B,
      ExecRoleSkills!$A:$A=EmployeesTable[[#This Row],[Additional Executive Role]]
    )
  )
)</f>
        <v/>
      </c>
    </row>
    <row r="297" spans="1:22" ht="30" x14ac:dyDescent="0.25">
      <c r="A297" s="19" t="s">
        <v>428</v>
      </c>
      <c r="B297" s="9">
        <v>1115</v>
      </c>
      <c r="C297" s="3" t="s">
        <v>429</v>
      </c>
      <c r="D297" s="9"/>
      <c r="E297" s="15">
        <v>35912</v>
      </c>
      <c r="F297" s="3" t="s">
        <v>430</v>
      </c>
      <c r="G297" s="3" t="s">
        <v>405</v>
      </c>
      <c r="H297" s="3" t="s">
        <v>12</v>
      </c>
      <c r="I297" s="9" t="s">
        <v>711</v>
      </c>
      <c r="J297" s="4"/>
      <c r="K297" s="4"/>
      <c r="L297" s="4"/>
      <c r="M297" s="4">
        <f>COUNTIFS(JobCodeSkills!$B:$B, EmployeesTable[[#This Row],[Succession Plan Job Code]],
          JobCodeSkills!$K:$K, "Required")</f>
        <v>0</v>
      </c>
      <c r="N297" s="4">
        <f>COUNTIFS(EmployeeSkills!$A:$A, EmployeesTable[[#This Row],[User Name]],
          EmployeeSkills!$B:$B, EmployeesTable[[#This Row],[Succession Plan Job Code]],
          EmployeeSkills!$D:$D, "Competent")</f>
        <v>0</v>
      </c>
      <c r="O297" s="4" t="str">
        <f>IF(EmployeesTable[[#This Row],[Succession Skills Ready – Required Total]]=0,"",
   EmployeesTable[[#This Row],[Succession Skills Ready – Required Met]]/EmployeesTable[[#This Row],[Succession Skills Ready – Required Total]])</f>
        <v/>
      </c>
      <c r="P297" s="4" t="str" cm="1">
        <f t="array" ref="P297">_xlfn.IFS(EmployeesTable[[#This Row],[Succession Skills Readiness %]]="","",
     EmployeesTable[[#This Row],[Succession Skills Readiness %]]&lt;0.6,"Not Ready",
     EmployeesTable[[#This Row],[Succession Skills Readiness %]]&lt;0.8,"Developing",
     TRUE,"Ready")</f>
        <v/>
      </c>
      <c r="Q297" s="4" t="e" cm="1" vm="1">
        <f t="array" ref="Q297">_xlfn.TEXTJOIN(", ",TRUE,
  _xlfn._xlws.FILTER(JobCodeSkills!$G:$G,
    (JobCodeSkills!$B:$B=EmployeesTable[[#This Row],[Job Code]])*
    (JobCodeSkills!$K:$K="Required")
  )
)</f>
        <v>#VALUE!</v>
      </c>
      <c r="R297" s="4"/>
      <c r="S297" s="4"/>
      <c r="T297" s="4"/>
      <c r="U297" s="4"/>
      <c r="V297" s="4" t="str" cm="1">
        <f t="array" ref="V297">IF(EmployeesTable[[#This Row],[Additional Executive Role]]="","",
  _xlfn.TEXTJOIN(", ",TRUE,
    _xlfn._xlws.FILTER(ExecRoleSkills!$B:$B,
      ExecRoleSkills!$A:$A=EmployeesTable[[#This Row],[Additional Executive Role]]
    )
  )
)</f>
        <v/>
      </c>
    </row>
    <row r="298" spans="1:22" ht="30" x14ac:dyDescent="0.25">
      <c r="A298" s="19" t="s">
        <v>664</v>
      </c>
      <c r="B298" s="9">
        <v>10804</v>
      </c>
      <c r="C298" s="3" t="s">
        <v>167</v>
      </c>
      <c r="D298" s="9"/>
      <c r="E298" s="15">
        <v>44399</v>
      </c>
      <c r="F298" s="3" t="s">
        <v>665</v>
      </c>
      <c r="G298" s="3" t="s">
        <v>454</v>
      </c>
      <c r="H298" s="3" t="s">
        <v>12</v>
      </c>
      <c r="I298" s="9" t="s">
        <v>13</v>
      </c>
      <c r="J298" s="4"/>
      <c r="K298" s="4"/>
      <c r="L298" s="4"/>
      <c r="M298" s="4">
        <f>COUNTIFS(JobCodeSkills!$B:$B, EmployeesTable[[#This Row],[Succession Plan Job Code]],
          JobCodeSkills!$K:$K, "Required")</f>
        <v>0</v>
      </c>
      <c r="N298" s="4">
        <f>COUNTIFS(EmployeeSkills!$A:$A, EmployeesTable[[#This Row],[User Name]],
          EmployeeSkills!$B:$B, EmployeesTable[[#This Row],[Succession Plan Job Code]],
          EmployeeSkills!$D:$D, "Competent")</f>
        <v>0</v>
      </c>
      <c r="O298" s="4" t="str">
        <f>IF(EmployeesTable[[#This Row],[Succession Skills Ready – Required Total]]=0,"",
   EmployeesTable[[#This Row],[Succession Skills Ready – Required Met]]/EmployeesTable[[#This Row],[Succession Skills Ready – Required Total]])</f>
        <v/>
      </c>
      <c r="P298" s="4" t="str" cm="1">
        <f t="array" ref="P298">_xlfn.IFS(EmployeesTable[[#This Row],[Succession Skills Readiness %]]="","",
     EmployeesTable[[#This Row],[Succession Skills Readiness %]]&lt;0.6,"Not Ready",
     EmployeesTable[[#This Row],[Succession Skills Readiness %]]&lt;0.8,"Developing",
     TRUE,"Ready")</f>
        <v/>
      </c>
      <c r="Q298" s="4" t="e" cm="1" vm="1">
        <f t="array" ref="Q298">_xlfn.TEXTJOIN(", ",TRUE,
  _xlfn._xlws.FILTER(JobCodeSkills!$G:$G,
    (JobCodeSkills!$B:$B=EmployeesTable[[#This Row],[Job Code]])*
    (JobCodeSkills!$K:$K="Required")
  )
)</f>
        <v>#VALUE!</v>
      </c>
      <c r="R298" s="4"/>
      <c r="S298" s="4"/>
      <c r="T298" s="4"/>
      <c r="U298" s="4"/>
      <c r="V298" s="4" t="str" cm="1">
        <f t="array" ref="V298">IF(EmployeesTable[[#This Row],[Additional Executive Role]]="","",
  _xlfn.TEXTJOIN(", ",TRUE,
    _xlfn._xlws.FILTER(ExecRoleSkills!$B:$B,
      ExecRoleSkills!$A:$A=EmployeesTable[[#This Row],[Additional Executive Role]]
    )
  )
)</f>
        <v/>
      </c>
    </row>
    <row r="299" spans="1:22" ht="30" x14ac:dyDescent="0.25">
      <c r="A299" s="19" t="s">
        <v>98</v>
      </c>
      <c r="B299" s="9">
        <v>6103</v>
      </c>
      <c r="C299" s="3" t="s">
        <v>714</v>
      </c>
      <c r="D299" s="9"/>
      <c r="E299" s="15">
        <v>41134</v>
      </c>
      <c r="F299" s="3" t="s">
        <v>99</v>
      </c>
      <c r="G299" s="3" t="s">
        <v>97</v>
      </c>
      <c r="H299" s="3" t="s">
        <v>12</v>
      </c>
      <c r="I299" s="10" t="s">
        <v>13</v>
      </c>
      <c r="J299" s="4"/>
      <c r="K299" s="4"/>
      <c r="L299" s="4"/>
      <c r="M299" s="4">
        <f>COUNTIFS(JobCodeSkills!$B:$B, EmployeesTable[[#This Row],[Succession Plan Job Code]],
          JobCodeSkills!$K:$K, "Required")</f>
        <v>0</v>
      </c>
      <c r="N299" s="4">
        <f>COUNTIFS(EmployeeSkills!$A:$A, EmployeesTable[[#This Row],[User Name]],
          EmployeeSkills!$B:$B, EmployeesTable[[#This Row],[Succession Plan Job Code]],
          EmployeeSkills!$D:$D, "Competent")</f>
        <v>0</v>
      </c>
      <c r="O299" s="4" t="str">
        <f>IF(EmployeesTable[[#This Row],[Succession Skills Ready – Required Total]]=0,"",
   EmployeesTable[[#This Row],[Succession Skills Ready – Required Met]]/EmployeesTable[[#This Row],[Succession Skills Ready – Required Total]])</f>
        <v/>
      </c>
      <c r="P299" s="4" t="str" cm="1">
        <f t="array" ref="P299">_xlfn.IFS(EmployeesTable[[#This Row],[Succession Skills Readiness %]]="","",
     EmployeesTable[[#This Row],[Succession Skills Readiness %]]&lt;0.6,"Not Ready",
     EmployeesTable[[#This Row],[Succession Skills Readiness %]]&lt;0.8,"Developing",
     TRUE,"Ready")</f>
        <v/>
      </c>
      <c r="Q299" s="4" t="e" cm="1" vm="1">
        <f t="array" ref="Q299">_xlfn.TEXTJOIN(", ",TRUE,
  _xlfn._xlws.FILTER(JobCodeSkills!$G:$G,
    (JobCodeSkills!$B:$B=EmployeesTable[[#This Row],[Job Code]])*
    (JobCodeSkills!$K:$K="Required")
  )
)</f>
        <v>#VALUE!</v>
      </c>
      <c r="R299" s="4"/>
      <c r="S299" s="4"/>
      <c r="T299" s="4"/>
      <c r="U299" s="4"/>
      <c r="V299" s="4" t="str" cm="1">
        <f t="array" ref="V299">IF(EmployeesTable[[#This Row],[Additional Executive Role]]="","",
  _xlfn.TEXTJOIN(", ",TRUE,
    _xlfn._xlws.FILTER(ExecRoleSkills!$B:$B,
      ExecRoleSkills!$A:$A=EmployeesTable[[#This Row],[Additional Executive Role]]
    )
  )
)</f>
        <v/>
      </c>
    </row>
    <row r="300" spans="1:22" ht="30" x14ac:dyDescent="0.25">
      <c r="A300" s="19" t="s">
        <v>707</v>
      </c>
      <c r="B300" s="9">
        <v>10205</v>
      </c>
      <c r="C300" s="3" t="s">
        <v>49</v>
      </c>
      <c r="D300" s="9"/>
      <c r="E300" s="15">
        <v>42565</v>
      </c>
      <c r="F300" s="3" t="s">
        <v>708</v>
      </c>
      <c r="G300" s="3" t="s">
        <v>706</v>
      </c>
      <c r="H300" s="3" t="s">
        <v>12</v>
      </c>
      <c r="I300" s="9" t="s">
        <v>712</v>
      </c>
      <c r="J300" s="4"/>
      <c r="K300" s="4"/>
      <c r="L300" s="4"/>
      <c r="M300" s="4">
        <f>COUNTIFS(JobCodeSkills!$B:$B, EmployeesTable[[#This Row],[Succession Plan Job Code]],
          JobCodeSkills!$K:$K, "Required")</f>
        <v>0</v>
      </c>
      <c r="N300" s="4">
        <f>COUNTIFS(EmployeeSkills!$A:$A, EmployeesTable[[#This Row],[User Name]],
          EmployeeSkills!$B:$B, EmployeesTable[[#This Row],[Succession Plan Job Code]],
          EmployeeSkills!$D:$D, "Competent")</f>
        <v>0</v>
      </c>
      <c r="O300" s="4" t="str">
        <f>IF(EmployeesTable[[#This Row],[Succession Skills Ready – Required Total]]=0,"",
   EmployeesTable[[#This Row],[Succession Skills Ready – Required Met]]/EmployeesTable[[#This Row],[Succession Skills Ready – Required Total]])</f>
        <v/>
      </c>
      <c r="P300" s="4" t="str" cm="1">
        <f t="array" ref="P300">_xlfn.IFS(EmployeesTable[[#This Row],[Succession Skills Readiness %]]="","",
     EmployeesTable[[#This Row],[Succession Skills Readiness %]]&lt;0.6,"Not Ready",
     EmployeesTable[[#This Row],[Succession Skills Readiness %]]&lt;0.8,"Developing",
     TRUE,"Ready")</f>
        <v/>
      </c>
      <c r="Q300" s="4" t="e" cm="1" vm="1">
        <f t="array" ref="Q300">_xlfn.TEXTJOIN(", ",TRUE,
  _xlfn._xlws.FILTER(JobCodeSkills!$G:$G,
    (JobCodeSkills!$B:$B=EmployeesTable[[#This Row],[Job Code]])*
    (JobCodeSkills!$K:$K="Required")
  )
)</f>
        <v>#VALUE!</v>
      </c>
      <c r="R300" s="4"/>
      <c r="S300" s="4"/>
      <c r="T300" s="4"/>
      <c r="U300" s="4"/>
      <c r="V300" s="4" t="str" cm="1">
        <f t="array" ref="V300">IF(EmployeesTable[[#This Row],[Additional Executive Role]]="","",
  _xlfn.TEXTJOIN(", ",TRUE,
    _xlfn._xlws.FILTER(ExecRoleSkills!$B:$B,
      ExecRoleSkills!$A:$A=EmployeesTable[[#This Row],[Additional Executive Role]]
    )
  )
)</f>
        <v/>
      </c>
    </row>
    <row r="301" spans="1:22" ht="30" x14ac:dyDescent="0.25">
      <c r="A301" s="19" t="s">
        <v>666</v>
      </c>
      <c r="B301" s="9">
        <v>10803</v>
      </c>
      <c r="C301" s="3" t="s">
        <v>272</v>
      </c>
      <c r="D301" s="9"/>
      <c r="E301" s="15">
        <v>45482</v>
      </c>
      <c r="F301" s="3" t="s">
        <v>667</v>
      </c>
      <c r="G301" s="3" t="s">
        <v>454</v>
      </c>
      <c r="H301" s="3" t="s">
        <v>12</v>
      </c>
      <c r="I301" s="9" t="s">
        <v>13</v>
      </c>
      <c r="J301" s="4"/>
      <c r="K301" s="4"/>
      <c r="L301" s="4"/>
      <c r="M301" s="4">
        <f>COUNTIFS(JobCodeSkills!$B:$B, EmployeesTable[[#This Row],[Succession Plan Job Code]],
          JobCodeSkills!$K:$K, "Required")</f>
        <v>0</v>
      </c>
      <c r="N301" s="4">
        <f>COUNTIFS(EmployeeSkills!$A:$A, EmployeesTable[[#This Row],[User Name]],
          EmployeeSkills!$B:$B, EmployeesTable[[#This Row],[Succession Plan Job Code]],
          EmployeeSkills!$D:$D, "Competent")</f>
        <v>0</v>
      </c>
      <c r="O301" s="4" t="str">
        <f>IF(EmployeesTable[[#This Row],[Succession Skills Ready – Required Total]]=0,"",
   EmployeesTable[[#This Row],[Succession Skills Ready – Required Met]]/EmployeesTable[[#This Row],[Succession Skills Ready – Required Total]])</f>
        <v/>
      </c>
      <c r="P301" s="4" t="str" cm="1">
        <f t="array" ref="P301">_xlfn.IFS(EmployeesTable[[#This Row],[Succession Skills Readiness %]]="","",
     EmployeesTable[[#This Row],[Succession Skills Readiness %]]&lt;0.6,"Not Ready",
     EmployeesTable[[#This Row],[Succession Skills Readiness %]]&lt;0.8,"Developing",
     TRUE,"Ready")</f>
        <v/>
      </c>
      <c r="Q301" s="4" t="e" cm="1" vm="1">
        <f t="array" ref="Q301">_xlfn.TEXTJOIN(", ",TRUE,
  _xlfn._xlws.FILTER(JobCodeSkills!$G:$G,
    (JobCodeSkills!$B:$B=EmployeesTable[[#This Row],[Job Code]])*
    (JobCodeSkills!$K:$K="Required")
  )
)</f>
        <v>#VALUE!</v>
      </c>
      <c r="R301" s="4"/>
      <c r="S301" s="4"/>
      <c r="T301" s="4"/>
      <c r="U301" s="4"/>
      <c r="V301" s="4" t="str" cm="1">
        <f t="array" ref="V301">IF(EmployeesTable[[#This Row],[Additional Executive Role]]="","",
  _xlfn.TEXTJOIN(", ",TRUE,
    _xlfn._xlws.FILTER(ExecRoleSkills!$B:$B,
      ExecRoleSkills!$A:$A=EmployeesTable[[#This Row],[Additional Executive Role]]
    )
  )
)</f>
        <v/>
      </c>
    </row>
    <row r="302" spans="1:22" ht="30" x14ac:dyDescent="0.25">
      <c r="A302" s="19" t="s">
        <v>388</v>
      </c>
      <c r="B302" s="9">
        <v>10403</v>
      </c>
      <c r="C302" s="3" t="s">
        <v>249</v>
      </c>
      <c r="D302" s="9"/>
      <c r="E302" s="15">
        <v>42601</v>
      </c>
      <c r="F302" s="3" t="s">
        <v>389</v>
      </c>
      <c r="G302" s="3" t="s">
        <v>129</v>
      </c>
      <c r="H302" s="3" t="s">
        <v>12</v>
      </c>
      <c r="I302" s="10" t="s">
        <v>712</v>
      </c>
      <c r="J302" s="4"/>
      <c r="K302" s="4"/>
      <c r="L302" s="4"/>
      <c r="M302" s="4">
        <f>COUNTIFS(JobCodeSkills!$B:$B, EmployeesTable[[#This Row],[Succession Plan Job Code]],
          JobCodeSkills!$K:$K, "Required")</f>
        <v>0</v>
      </c>
      <c r="N302" s="4">
        <f>COUNTIFS(EmployeeSkills!$A:$A, EmployeesTable[[#This Row],[User Name]],
          EmployeeSkills!$B:$B, EmployeesTable[[#This Row],[Succession Plan Job Code]],
          EmployeeSkills!$D:$D, "Competent")</f>
        <v>0</v>
      </c>
      <c r="O302" s="4" t="str">
        <f>IF(EmployeesTable[[#This Row],[Succession Skills Ready – Required Total]]=0,"",
   EmployeesTable[[#This Row],[Succession Skills Ready – Required Met]]/EmployeesTable[[#This Row],[Succession Skills Ready – Required Total]])</f>
        <v/>
      </c>
      <c r="P302" s="4" t="str" cm="1">
        <f t="array" ref="P302">_xlfn.IFS(EmployeesTable[[#This Row],[Succession Skills Readiness %]]="","",
     EmployeesTable[[#This Row],[Succession Skills Readiness %]]&lt;0.6,"Not Ready",
     EmployeesTable[[#This Row],[Succession Skills Readiness %]]&lt;0.8,"Developing",
     TRUE,"Ready")</f>
        <v/>
      </c>
      <c r="Q302" s="4" t="e" cm="1" vm="1">
        <f t="array" ref="Q302">_xlfn.TEXTJOIN(", ",TRUE,
  _xlfn._xlws.FILTER(JobCodeSkills!$G:$G,
    (JobCodeSkills!$B:$B=EmployeesTable[[#This Row],[Job Code]])*
    (JobCodeSkills!$K:$K="Required")
  )
)</f>
        <v>#VALUE!</v>
      </c>
      <c r="R302" s="4"/>
      <c r="S302" s="4"/>
      <c r="T302" s="4"/>
      <c r="U302" s="4"/>
      <c r="V302" s="4" t="str" cm="1">
        <f t="array" ref="V302">IF(EmployeesTable[[#This Row],[Additional Executive Role]]="","",
  _xlfn.TEXTJOIN(", ",TRUE,
    _xlfn._xlws.FILTER(ExecRoleSkills!$B:$B,
      ExecRoleSkills!$A:$A=EmployeesTable[[#This Row],[Additional Executive Role]]
    )
  )
)</f>
        <v/>
      </c>
    </row>
    <row r="303" spans="1:22" ht="30" x14ac:dyDescent="0.25">
      <c r="A303" s="19" t="s">
        <v>400</v>
      </c>
      <c r="B303" s="9">
        <v>5100</v>
      </c>
      <c r="C303" s="3" t="s">
        <v>391</v>
      </c>
      <c r="D303" s="9"/>
      <c r="E303" s="15">
        <v>35494</v>
      </c>
      <c r="F303" s="3" t="s">
        <v>401</v>
      </c>
      <c r="G303" s="3" t="s">
        <v>399</v>
      </c>
      <c r="H303" s="3" t="s">
        <v>12</v>
      </c>
      <c r="I303" s="9" t="s">
        <v>712</v>
      </c>
      <c r="J303" s="4"/>
      <c r="K303" s="4"/>
      <c r="L303" s="4"/>
      <c r="M303" s="4">
        <f>COUNTIFS(JobCodeSkills!$B:$B, EmployeesTable[[#This Row],[Succession Plan Job Code]],
          JobCodeSkills!$K:$K, "Required")</f>
        <v>0</v>
      </c>
      <c r="N303" s="4">
        <f>COUNTIFS(EmployeeSkills!$A:$A, EmployeesTable[[#This Row],[User Name]],
          EmployeeSkills!$B:$B, EmployeesTable[[#This Row],[Succession Plan Job Code]],
          EmployeeSkills!$D:$D, "Competent")</f>
        <v>0</v>
      </c>
      <c r="O303" s="4" t="str">
        <f>IF(EmployeesTable[[#This Row],[Succession Skills Ready – Required Total]]=0,"",
   EmployeesTable[[#This Row],[Succession Skills Ready – Required Met]]/EmployeesTable[[#This Row],[Succession Skills Ready – Required Total]])</f>
        <v/>
      </c>
      <c r="P303" s="4" t="str" cm="1">
        <f t="array" ref="P303">_xlfn.IFS(EmployeesTable[[#This Row],[Succession Skills Readiness %]]="","",
     EmployeesTable[[#This Row],[Succession Skills Readiness %]]&lt;0.6,"Not Ready",
     EmployeesTable[[#This Row],[Succession Skills Readiness %]]&lt;0.8,"Developing",
     TRUE,"Ready")</f>
        <v/>
      </c>
      <c r="Q303" s="4" t="e" cm="1" vm="1">
        <f t="array" ref="Q303">_xlfn.TEXTJOIN(", ",TRUE,
  _xlfn._xlws.FILTER(JobCodeSkills!$G:$G,
    (JobCodeSkills!$B:$B=EmployeesTable[[#This Row],[Job Code]])*
    (JobCodeSkills!$K:$K="Required")
  )
)</f>
        <v>#VALUE!</v>
      </c>
      <c r="R303" s="4"/>
      <c r="S303" s="4"/>
      <c r="T303" s="4"/>
      <c r="U303" s="4"/>
      <c r="V303" s="4" t="str" cm="1">
        <f t="array" ref="V303">IF(EmployeesTable[[#This Row],[Additional Executive Role]]="","",
  _xlfn.TEXTJOIN(", ",TRUE,
    _xlfn._xlws.FILTER(ExecRoleSkills!$B:$B,
      ExecRoleSkills!$A:$A=EmployeesTable[[#This Row],[Additional Executive Role]]
    )
  )
)</f>
        <v/>
      </c>
    </row>
    <row r="304" spans="1:22" ht="30" x14ac:dyDescent="0.25">
      <c r="A304" s="37" t="s">
        <v>709</v>
      </c>
      <c r="B304" s="38">
        <v>40105</v>
      </c>
      <c r="C304" s="39" t="s">
        <v>9</v>
      </c>
      <c r="D304" s="38"/>
      <c r="E304" s="40">
        <v>43829</v>
      </c>
      <c r="F304" s="39" t="s">
        <v>710</v>
      </c>
      <c r="G304" s="39" t="s">
        <v>706</v>
      </c>
      <c r="H304" s="39" t="s">
        <v>12</v>
      </c>
      <c r="I304" s="38" t="s">
        <v>712</v>
      </c>
      <c r="J304" s="41"/>
      <c r="K304" s="41"/>
      <c r="L304" s="41"/>
      <c r="M304" s="41">
        <f>COUNTIFS(JobCodeSkills!$B:$B, EmployeesTable[[#This Row],[Succession Plan Job Code]],
          JobCodeSkills!$K:$K, "Required")</f>
        <v>0</v>
      </c>
      <c r="N304" s="41">
        <f>COUNTIFS(EmployeeSkills!$A:$A, EmployeesTable[[#This Row],[User Name]],
          EmployeeSkills!$B:$B, EmployeesTable[[#This Row],[Succession Plan Job Code]],
          EmployeeSkills!$D:$D, "Competent")</f>
        <v>0</v>
      </c>
      <c r="O304" s="41" t="str">
        <f>IF(EmployeesTable[[#This Row],[Succession Skills Ready – Required Total]]=0,"",
   EmployeesTable[[#This Row],[Succession Skills Ready – Required Met]]/EmployeesTable[[#This Row],[Succession Skills Ready – Required Total]])</f>
        <v/>
      </c>
      <c r="P304" s="41" t="str" cm="1">
        <f t="array" ref="P304">_xlfn.IFS(EmployeesTable[[#This Row],[Succession Skills Readiness %]]="","",
     EmployeesTable[[#This Row],[Succession Skills Readiness %]]&lt;0.6,"Not Ready",
     EmployeesTable[[#This Row],[Succession Skills Readiness %]]&lt;0.8,"Developing",
     TRUE,"Ready")</f>
        <v/>
      </c>
      <c r="Q304" s="41" t="e" cm="1" vm="1">
        <f t="array" ref="Q304">_xlfn.TEXTJOIN(", ",TRUE,
  _xlfn._xlws.FILTER(JobCodeSkills!$G:$G,
    (JobCodeSkills!$B:$B=EmployeesTable[[#This Row],[Job Code]])*
    (JobCodeSkills!$K:$K="Required")
  )
)</f>
        <v>#VALUE!</v>
      </c>
      <c r="R304" s="41"/>
      <c r="S304" s="41"/>
      <c r="T304" s="41"/>
      <c r="U304" s="41"/>
      <c r="V304" s="41" t="str" cm="1">
        <f t="array" ref="V304">IF(EmployeesTable[[#This Row],[Additional Executive Role]]="","",
  _xlfn.TEXTJOIN(", ",TRUE,
    _xlfn._xlws.FILTER(ExecRoleSkills!$B:$B,
      ExecRoleSkills!$A:$A=EmployeesTable[[#This Row],[Additional Executive Role]]
    )
  )
)</f>
        <v/>
      </c>
    </row>
    <row r="305" spans="1:8" x14ac:dyDescent="0.25">
      <c r="A305" s="20"/>
    </row>
    <row r="309" spans="1:8" x14ac:dyDescent="0.25">
      <c r="A309" s="20"/>
    </row>
    <row r="310" spans="1:8" x14ac:dyDescent="0.25">
      <c r="A310" s="22"/>
      <c r="B310" s="12"/>
      <c r="C310" s="2"/>
      <c r="D310" s="12"/>
      <c r="F310" s="2"/>
      <c r="G310" s="2"/>
      <c r="H310" s="2"/>
    </row>
    <row r="311" spans="1:8" x14ac:dyDescent="0.25">
      <c r="A311" s="22"/>
      <c r="B311" s="12"/>
      <c r="C311" s="2"/>
      <c r="D311" s="12"/>
      <c r="F311" s="2"/>
      <c r="G311" s="2"/>
      <c r="H311" s="2"/>
    </row>
    <row r="312" spans="1:8" x14ac:dyDescent="0.25">
      <c r="A312" s="22"/>
      <c r="B312" s="12"/>
      <c r="C312" s="2"/>
      <c r="D312" s="12"/>
      <c r="F312" s="2"/>
      <c r="G312" s="2"/>
      <c r="H312" s="2"/>
    </row>
    <row r="313" spans="1:8" x14ac:dyDescent="0.25">
      <c r="A313" s="22"/>
      <c r="B313" s="12"/>
      <c r="C313" s="2"/>
      <c r="D313" s="12"/>
      <c r="F313" s="2"/>
      <c r="G313" s="2"/>
      <c r="H313" s="2"/>
    </row>
    <row r="314" spans="1:8" x14ac:dyDescent="0.25">
      <c r="A314" s="22"/>
      <c r="B314" s="12"/>
      <c r="C314" s="2"/>
      <c r="D314" s="12"/>
      <c r="F314" s="2"/>
      <c r="G314" s="2"/>
      <c r="H314" s="2"/>
    </row>
    <row r="315" spans="1:8" x14ac:dyDescent="0.25">
      <c r="A315" s="22"/>
      <c r="B315" s="12"/>
      <c r="C315" s="2"/>
      <c r="D315" s="12"/>
      <c r="F315" s="2"/>
      <c r="G315" s="2"/>
      <c r="H315" s="2"/>
    </row>
    <row r="316" spans="1:8" x14ac:dyDescent="0.25">
      <c r="A316" s="22"/>
      <c r="B316" s="12"/>
      <c r="C316" s="2"/>
      <c r="D316" s="12"/>
      <c r="F316" s="2"/>
      <c r="G316" s="2"/>
      <c r="H316" s="2"/>
    </row>
    <row r="317" spans="1:8" x14ac:dyDescent="0.25">
      <c r="A317" s="22"/>
      <c r="B317" s="12"/>
      <c r="C317" s="2"/>
      <c r="D317" s="12"/>
      <c r="F317" s="2"/>
      <c r="G317" s="2"/>
      <c r="H317" s="2"/>
    </row>
    <row r="318" spans="1:8" x14ac:dyDescent="0.25">
      <c r="A318" s="22"/>
      <c r="B318" s="12"/>
      <c r="C318" s="2"/>
      <c r="D318" s="12"/>
      <c r="F318" s="2"/>
      <c r="G318" s="2"/>
      <c r="H318" s="2"/>
    </row>
    <row r="319" spans="1:8" x14ac:dyDescent="0.25">
      <c r="A319" s="22"/>
      <c r="B319" s="12"/>
      <c r="C319" s="2"/>
      <c r="D319" s="12"/>
      <c r="F319" s="2"/>
      <c r="G319" s="2"/>
      <c r="H319" s="2"/>
    </row>
    <row r="320" spans="1:8" x14ac:dyDescent="0.25">
      <c r="A320" s="22"/>
      <c r="B320" s="12"/>
      <c r="C320" s="2"/>
      <c r="D320" s="12"/>
      <c r="F320" s="2"/>
      <c r="G320" s="2"/>
      <c r="H320" s="2"/>
    </row>
    <row r="321" spans="1:8" x14ac:dyDescent="0.25">
      <c r="A321" s="22"/>
      <c r="B321" s="12"/>
      <c r="C321" s="2"/>
      <c r="D321" s="12"/>
      <c r="F321" s="2"/>
      <c r="G321" s="2"/>
      <c r="H321" s="2"/>
    </row>
    <row r="322" spans="1:8" x14ac:dyDescent="0.25">
      <c r="A322" s="22"/>
      <c r="B322" s="12"/>
      <c r="C322" s="2"/>
      <c r="D322" s="12"/>
      <c r="F322" s="2"/>
      <c r="G322" s="2"/>
      <c r="H322" s="2"/>
    </row>
    <row r="323" spans="1:8" x14ac:dyDescent="0.25">
      <c r="A323" s="22"/>
      <c r="B323" s="12"/>
      <c r="C323" s="2"/>
      <c r="D323" s="12"/>
      <c r="F323" s="2"/>
      <c r="G323" s="2"/>
      <c r="H323" s="2"/>
    </row>
    <row r="324" spans="1:8" x14ac:dyDescent="0.25">
      <c r="A324" s="22"/>
      <c r="B324" s="12"/>
      <c r="C324" s="2"/>
      <c r="D324" s="12"/>
      <c r="F324" s="2"/>
      <c r="G324" s="2"/>
      <c r="H324" s="2"/>
    </row>
    <row r="325" spans="1:8" x14ac:dyDescent="0.25">
      <c r="A325" s="22"/>
      <c r="B325" s="12"/>
      <c r="C325" s="2"/>
      <c r="D325" s="12"/>
      <c r="F325" s="2"/>
      <c r="G325" s="2"/>
      <c r="H325" s="2"/>
    </row>
    <row r="326" spans="1:8" x14ac:dyDescent="0.25">
      <c r="A326" s="22"/>
      <c r="B326" s="12"/>
      <c r="C326" s="2"/>
      <c r="D326" s="12"/>
      <c r="F326" s="2"/>
      <c r="G326" s="2"/>
      <c r="H326" s="2"/>
    </row>
    <row r="327" spans="1:8" x14ac:dyDescent="0.25">
      <c r="A327" s="22"/>
      <c r="B327" s="12"/>
      <c r="C327" s="2"/>
      <c r="D327" s="12"/>
      <c r="F327" s="2"/>
      <c r="G327" s="2"/>
      <c r="H327" s="2"/>
    </row>
    <row r="328" spans="1:8" x14ac:dyDescent="0.25">
      <c r="A328" s="22"/>
      <c r="B328" s="12"/>
      <c r="C328" s="2"/>
      <c r="D328" s="12"/>
      <c r="F328" s="2"/>
      <c r="G328" s="2"/>
      <c r="H328" s="2"/>
    </row>
    <row r="329" spans="1:8" x14ac:dyDescent="0.25">
      <c r="A329" s="22"/>
      <c r="B329" s="12"/>
      <c r="C329" s="2"/>
      <c r="D329" s="12"/>
      <c r="F329" s="2"/>
      <c r="G329" s="2"/>
      <c r="H329" s="2"/>
    </row>
    <row r="330" spans="1:8" x14ac:dyDescent="0.25">
      <c r="A330" s="22"/>
      <c r="B330" s="12"/>
      <c r="C330" s="2"/>
      <c r="D330" s="12"/>
      <c r="F330" s="2"/>
      <c r="G330" s="2"/>
      <c r="H330" s="2"/>
    </row>
    <row r="331" spans="1:8" x14ac:dyDescent="0.25">
      <c r="A331" s="22"/>
      <c r="B331" s="12"/>
      <c r="C331" s="2"/>
      <c r="D331" s="12"/>
      <c r="F331" s="2"/>
      <c r="G331" s="2"/>
      <c r="H331" s="2"/>
    </row>
    <row r="332" spans="1:8" x14ac:dyDescent="0.25">
      <c r="A332" s="22"/>
      <c r="B332" s="12"/>
      <c r="C332" s="2"/>
      <c r="D332" s="12"/>
      <c r="F332" s="2"/>
      <c r="G332" s="2"/>
      <c r="H332" s="2"/>
    </row>
    <row r="333" spans="1:8" x14ac:dyDescent="0.25">
      <c r="A333" s="22"/>
      <c r="B333" s="12"/>
      <c r="C333" s="2"/>
      <c r="D333" s="12"/>
      <c r="F333" s="2"/>
      <c r="G333" s="2"/>
      <c r="H333" s="2"/>
    </row>
    <row r="334" spans="1:8" x14ac:dyDescent="0.25">
      <c r="A334" s="22"/>
      <c r="B334" s="12"/>
      <c r="C334" s="2"/>
      <c r="D334" s="12"/>
      <c r="F334" s="2"/>
      <c r="G334" s="2"/>
      <c r="H334" s="2"/>
    </row>
    <row r="335" spans="1:8" x14ac:dyDescent="0.25">
      <c r="A335" s="22"/>
      <c r="B335" s="12"/>
      <c r="C335" s="2"/>
      <c r="D335" s="12"/>
      <c r="F335" s="2"/>
      <c r="G335" s="2"/>
      <c r="H335" s="2"/>
    </row>
    <row r="336" spans="1:8" x14ac:dyDescent="0.25">
      <c r="A336" s="22"/>
      <c r="B336" s="12"/>
      <c r="C336" s="2"/>
      <c r="D336" s="12"/>
      <c r="F336" s="2"/>
      <c r="G336" s="2"/>
      <c r="H336" s="2"/>
    </row>
    <row r="337" spans="1:8" x14ac:dyDescent="0.25">
      <c r="A337" s="22"/>
      <c r="B337" s="12"/>
      <c r="C337" s="2"/>
      <c r="D337" s="12"/>
      <c r="F337" s="2"/>
      <c r="G337" s="2"/>
      <c r="H337" s="2"/>
    </row>
    <row r="338" spans="1:8" x14ac:dyDescent="0.25">
      <c r="A338" s="22"/>
      <c r="B338" s="12"/>
      <c r="C338" s="2"/>
      <c r="D338" s="12"/>
      <c r="F338" s="2"/>
      <c r="G338" s="2"/>
      <c r="H338" s="2"/>
    </row>
    <row r="339" spans="1:8" x14ac:dyDescent="0.25">
      <c r="A339" s="22"/>
      <c r="B339" s="12"/>
      <c r="C339" s="2"/>
      <c r="D339" s="12"/>
      <c r="F339" s="2"/>
      <c r="G339" s="2"/>
      <c r="H339" s="2"/>
    </row>
    <row r="340" spans="1:8" x14ac:dyDescent="0.25">
      <c r="A340" s="22"/>
      <c r="B340" s="12"/>
      <c r="C340" s="2"/>
      <c r="D340" s="12"/>
      <c r="F340" s="2"/>
      <c r="G340" s="2"/>
      <c r="H340" s="2"/>
    </row>
    <row r="341" spans="1:8" x14ac:dyDescent="0.25">
      <c r="A341" s="22"/>
      <c r="B341" s="12"/>
      <c r="C341" s="2"/>
      <c r="D341" s="12"/>
      <c r="F341" s="2"/>
      <c r="G341" s="2"/>
      <c r="H341" s="2"/>
    </row>
    <row r="342" spans="1:8" x14ac:dyDescent="0.25">
      <c r="A342" s="22"/>
      <c r="B342" s="12"/>
      <c r="C342" s="2"/>
      <c r="D342" s="12"/>
      <c r="F342" s="2"/>
      <c r="G342" s="2"/>
      <c r="H342" s="2"/>
    </row>
    <row r="343" spans="1:8" x14ac:dyDescent="0.25">
      <c r="A343" s="22"/>
      <c r="B343" s="12"/>
      <c r="C343" s="2"/>
      <c r="D343" s="12"/>
      <c r="F343" s="2"/>
      <c r="G343" s="2"/>
      <c r="H343" s="2"/>
    </row>
    <row r="344" spans="1:8" x14ac:dyDescent="0.25">
      <c r="A344" s="22"/>
      <c r="B344" s="12"/>
      <c r="C344" s="2"/>
      <c r="D344" s="12"/>
      <c r="F344" s="2"/>
      <c r="G344" s="2"/>
      <c r="H344" s="2"/>
    </row>
    <row r="345" spans="1:8" x14ac:dyDescent="0.25">
      <c r="A345" s="22"/>
      <c r="B345" s="12"/>
      <c r="C345" s="2"/>
      <c r="D345" s="12"/>
      <c r="F345" s="2"/>
      <c r="G345" s="2"/>
      <c r="H345" s="2"/>
    </row>
    <row r="346" spans="1:8" x14ac:dyDescent="0.25">
      <c r="A346" s="22"/>
      <c r="B346" s="12"/>
      <c r="C346" s="2"/>
      <c r="D346" s="12"/>
      <c r="F346" s="2"/>
      <c r="G346" s="2"/>
      <c r="H346" s="2"/>
    </row>
    <row r="347" spans="1:8" x14ac:dyDescent="0.25">
      <c r="A347" s="22"/>
      <c r="B347" s="12"/>
      <c r="C347" s="2"/>
      <c r="D347" s="12"/>
      <c r="F347" s="2"/>
      <c r="G347" s="2"/>
      <c r="H347" s="2"/>
    </row>
    <row r="348" spans="1:8" x14ac:dyDescent="0.25">
      <c r="A348" s="22"/>
      <c r="B348" s="12"/>
      <c r="C348" s="2"/>
      <c r="D348" s="12"/>
      <c r="F348" s="2"/>
      <c r="G348" s="2"/>
      <c r="H348" s="2"/>
    </row>
    <row r="349" spans="1:8" x14ac:dyDescent="0.25">
      <c r="A349" s="22"/>
      <c r="B349" s="12"/>
      <c r="C349" s="2"/>
      <c r="D349" s="12"/>
      <c r="F349" s="2"/>
      <c r="G349" s="2"/>
      <c r="H349" s="2"/>
    </row>
    <row r="350" spans="1:8" x14ac:dyDescent="0.25">
      <c r="A350" s="22"/>
      <c r="B350" s="12"/>
      <c r="C350" s="2"/>
      <c r="D350" s="12"/>
      <c r="F350" s="2"/>
      <c r="G350" s="2"/>
      <c r="H350" s="2"/>
    </row>
    <row r="351" spans="1:8" x14ac:dyDescent="0.25">
      <c r="A351" s="22"/>
      <c r="B351" s="12"/>
      <c r="C351" s="2"/>
      <c r="D351" s="12"/>
      <c r="F351" s="2"/>
      <c r="G351" s="2"/>
      <c r="H351" s="2"/>
    </row>
    <row r="352" spans="1:8" x14ac:dyDescent="0.25">
      <c r="A352" s="22"/>
      <c r="B352" s="12"/>
      <c r="C352" s="2"/>
      <c r="D352" s="12"/>
      <c r="F352" s="2"/>
      <c r="G352" s="2"/>
      <c r="H352" s="2"/>
    </row>
    <row r="353" spans="1:8" x14ac:dyDescent="0.25">
      <c r="A353" s="22"/>
      <c r="B353" s="12"/>
      <c r="C353" s="2"/>
      <c r="D353" s="12"/>
      <c r="F353" s="2"/>
      <c r="G353" s="2"/>
      <c r="H353" s="2"/>
    </row>
    <row r="354" spans="1:8" x14ac:dyDescent="0.25">
      <c r="A354" s="22"/>
      <c r="B354" s="12"/>
      <c r="C354" s="2"/>
      <c r="D354" s="12"/>
      <c r="F354" s="2"/>
      <c r="G354" s="2"/>
      <c r="H354" s="2"/>
    </row>
    <row r="355" spans="1:8" x14ac:dyDescent="0.25">
      <c r="A355" s="22"/>
      <c r="B355" s="12"/>
      <c r="C355" s="2"/>
      <c r="D355" s="12"/>
      <c r="F355" s="2"/>
      <c r="G355" s="2"/>
      <c r="H355" s="2"/>
    </row>
    <row r="356" spans="1:8" x14ac:dyDescent="0.25">
      <c r="A356" s="22"/>
      <c r="B356" s="12"/>
      <c r="C356" s="2"/>
      <c r="D356" s="12"/>
      <c r="F356" s="2"/>
      <c r="G356" s="2"/>
      <c r="H356" s="2"/>
    </row>
    <row r="357" spans="1:8" x14ac:dyDescent="0.25">
      <c r="A357" s="22"/>
      <c r="B357" s="12"/>
      <c r="C357" s="2"/>
      <c r="D357" s="12"/>
      <c r="F357" s="2"/>
      <c r="G357" s="2"/>
      <c r="H357" s="2"/>
    </row>
    <row r="358" spans="1:8" x14ac:dyDescent="0.25">
      <c r="A358" s="22"/>
      <c r="B358" s="12"/>
      <c r="C358" s="2"/>
      <c r="D358" s="12"/>
      <c r="F358" s="2"/>
      <c r="G358" s="2"/>
      <c r="H358" s="2"/>
    </row>
    <row r="359" spans="1:8" x14ac:dyDescent="0.25">
      <c r="A359" s="22"/>
      <c r="B359" s="12"/>
      <c r="C359" s="2"/>
      <c r="D359" s="12"/>
      <c r="F359" s="2"/>
      <c r="G359" s="2"/>
      <c r="H359" s="2"/>
    </row>
    <row r="360" spans="1:8" x14ac:dyDescent="0.25">
      <c r="A360" s="22"/>
      <c r="B360" s="12"/>
      <c r="C360" s="2"/>
      <c r="D360" s="12"/>
      <c r="F360" s="2"/>
      <c r="G360" s="2"/>
      <c r="H360" s="2"/>
    </row>
    <row r="361" spans="1:8" x14ac:dyDescent="0.25">
      <c r="A361" s="22"/>
      <c r="B361" s="12"/>
      <c r="C361" s="2"/>
      <c r="D361" s="12"/>
      <c r="F361" s="2"/>
      <c r="G361" s="2"/>
      <c r="H361" s="2"/>
    </row>
    <row r="362" spans="1:8" x14ac:dyDescent="0.25">
      <c r="A362" s="22"/>
      <c r="B362" s="12"/>
      <c r="C362" s="2"/>
      <c r="D362" s="12"/>
      <c r="F362" s="2"/>
      <c r="G362" s="2"/>
      <c r="H362" s="2"/>
    </row>
    <row r="363" spans="1:8" x14ac:dyDescent="0.25">
      <c r="A363" s="22"/>
      <c r="B363" s="12"/>
      <c r="C363" s="2"/>
      <c r="D363" s="12"/>
      <c r="F363" s="2"/>
      <c r="G363" s="2"/>
      <c r="H363" s="2"/>
    </row>
    <row r="364" spans="1:8" x14ac:dyDescent="0.25">
      <c r="A364" s="22"/>
      <c r="B364" s="12"/>
      <c r="C364" s="2"/>
      <c r="D364" s="12"/>
      <c r="F364" s="2"/>
      <c r="G364" s="2"/>
      <c r="H364" s="2"/>
    </row>
    <row r="365" spans="1:8" x14ac:dyDescent="0.25">
      <c r="A365" s="22"/>
      <c r="B365" s="12"/>
      <c r="C365" s="2"/>
      <c r="D365" s="12"/>
      <c r="F365" s="2"/>
      <c r="G365" s="2"/>
      <c r="H365" s="2"/>
    </row>
    <row r="366" spans="1:8" x14ac:dyDescent="0.25">
      <c r="A366" s="22"/>
      <c r="B366" s="12"/>
      <c r="C366" s="2"/>
      <c r="D366" s="12"/>
      <c r="F366" s="2"/>
      <c r="G366" s="2"/>
      <c r="H366" s="2"/>
    </row>
    <row r="367" spans="1:8" x14ac:dyDescent="0.25">
      <c r="A367" s="22"/>
      <c r="B367" s="12"/>
      <c r="C367" s="2"/>
      <c r="D367" s="12"/>
      <c r="F367" s="2"/>
      <c r="G367" s="2"/>
      <c r="H367" s="2"/>
    </row>
    <row r="368" spans="1:8" x14ac:dyDescent="0.25">
      <c r="A368" s="22"/>
      <c r="B368" s="12"/>
      <c r="C368" s="2"/>
      <c r="D368" s="12"/>
      <c r="F368" s="2"/>
      <c r="G368" s="2"/>
      <c r="H368" s="2"/>
    </row>
    <row r="369" spans="1:8" x14ac:dyDescent="0.25">
      <c r="A369" s="22"/>
      <c r="B369" s="12"/>
      <c r="C369" s="2"/>
      <c r="D369" s="12"/>
      <c r="F369" s="2"/>
      <c r="G369" s="2"/>
      <c r="H369" s="2"/>
    </row>
    <row r="370" spans="1:8" x14ac:dyDescent="0.25">
      <c r="A370" s="22"/>
      <c r="B370" s="12"/>
      <c r="C370" s="2"/>
      <c r="D370" s="12"/>
      <c r="F370" s="2"/>
      <c r="G370" s="2"/>
      <c r="H370" s="2"/>
    </row>
    <row r="371" spans="1:8" x14ac:dyDescent="0.25">
      <c r="A371" s="22"/>
      <c r="B371" s="12"/>
      <c r="C371" s="2"/>
      <c r="D371" s="12"/>
      <c r="F371" s="2"/>
      <c r="G371" s="2"/>
      <c r="H371" s="2"/>
    </row>
    <row r="372" spans="1:8" x14ac:dyDescent="0.25">
      <c r="A372" s="22"/>
      <c r="B372" s="12"/>
      <c r="C372" s="2"/>
      <c r="D372" s="12"/>
      <c r="F372" s="2"/>
      <c r="G372" s="2"/>
      <c r="H372" s="2"/>
    </row>
    <row r="373" spans="1:8" x14ac:dyDescent="0.25">
      <c r="A373" s="22"/>
      <c r="B373" s="12"/>
      <c r="C373" s="2"/>
      <c r="D373" s="12"/>
      <c r="F373" s="2"/>
      <c r="G373" s="2"/>
      <c r="H373" s="2"/>
    </row>
    <row r="374" spans="1:8" x14ac:dyDescent="0.25">
      <c r="A374" s="22"/>
      <c r="B374" s="12"/>
      <c r="C374" s="2"/>
      <c r="D374" s="12"/>
      <c r="F374" s="2"/>
      <c r="G374" s="2"/>
      <c r="H374" s="2"/>
    </row>
    <row r="375" spans="1:8" x14ac:dyDescent="0.25">
      <c r="A375" s="22"/>
      <c r="B375" s="12"/>
      <c r="C375" s="2"/>
      <c r="D375" s="12"/>
      <c r="F375" s="2"/>
      <c r="G375" s="2"/>
      <c r="H375" s="2"/>
    </row>
    <row r="376" spans="1:8" x14ac:dyDescent="0.25">
      <c r="A376" s="22"/>
      <c r="B376" s="12"/>
      <c r="C376" s="2"/>
      <c r="D376" s="12"/>
      <c r="F376" s="2"/>
      <c r="G376" s="2"/>
      <c r="H376" s="2"/>
    </row>
    <row r="377" spans="1:8" x14ac:dyDescent="0.25">
      <c r="A377" s="22"/>
      <c r="B377" s="12"/>
      <c r="C377" s="2"/>
      <c r="D377" s="12"/>
      <c r="F377" s="2"/>
      <c r="G377" s="2"/>
      <c r="H377" s="2"/>
    </row>
    <row r="378" spans="1:8" x14ac:dyDescent="0.25">
      <c r="A378" s="22"/>
      <c r="B378" s="12"/>
      <c r="C378" s="2"/>
      <c r="D378" s="12"/>
      <c r="F378" s="2"/>
      <c r="G378" s="2"/>
      <c r="H378" s="2"/>
    </row>
    <row r="379" spans="1:8" x14ac:dyDescent="0.25">
      <c r="A379" s="22"/>
      <c r="B379" s="12"/>
      <c r="C379" s="2"/>
      <c r="D379" s="12"/>
      <c r="F379" s="2"/>
      <c r="G379" s="2"/>
      <c r="H379" s="2"/>
    </row>
    <row r="380" spans="1:8" x14ac:dyDescent="0.25">
      <c r="A380" s="22"/>
      <c r="B380" s="12"/>
      <c r="C380" s="2"/>
      <c r="D380" s="12"/>
      <c r="F380" s="2"/>
      <c r="G380" s="2"/>
      <c r="H380" s="2"/>
    </row>
    <row r="381" spans="1:8" x14ac:dyDescent="0.25">
      <c r="A381" s="22"/>
      <c r="B381" s="12"/>
      <c r="C381" s="2"/>
      <c r="D381" s="12"/>
      <c r="F381" s="2"/>
      <c r="G381" s="2"/>
      <c r="H381" s="2"/>
    </row>
    <row r="382" spans="1:8" x14ac:dyDescent="0.25">
      <c r="A382" s="22"/>
      <c r="B382" s="12"/>
      <c r="C382" s="2"/>
      <c r="D382" s="12"/>
      <c r="F382" s="2"/>
      <c r="G382" s="2"/>
      <c r="H382" s="2"/>
    </row>
    <row r="383" spans="1:8" x14ac:dyDescent="0.25">
      <c r="A383" s="22"/>
      <c r="B383" s="12"/>
      <c r="C383" s="2"/>
      <c r="D383" s="12"/>
      <c r="F383" s="2"/>
      <c r="G383" s="2"/>
      <c r="H383" s="2"/>
    </row>
    <row r="384" spans="1:8" x14ac:dyDescent="0.25">
      <c r="A384" s="22"/>
      <c r="B384" s="12"/>
      <c r="C384" s="2"/>
      <c r="D384" s="12"/>
      <c r="F384" s="2"/>
      <c r="G384" s="2"/>
      <c r="H384" s="2"/>
    </row>
    <row r="385" spans="1:8" x14ac:dyDescent="0.25">
      <c r="A385" s="22"/>
      <c r="B385" s="12"/>
      <c r="C385" s="2"/>
      <c r="D385" s="12"/>
      <c r="F385" s="2"/>
      <c r="G385" s="2"/>
      <c r="H385" s="2"/>
    </row>
    <row r="386" spans="1:8" x14ac:dyDescent="0.25">
      <c r="A386" s="22"/>
      <c r="B386" s="12"/>
      <c r="C386" s="2"/>
      <c r="D386" s="12"/>
      <c r="F386" s="2"/>
      <c r="G386" s="2"/>
      <c r="H386" s="2"/>
    </row>
    <row r="387" spans="1:8" x14ac:dyDescent="0.25">
      <c r="A387" s="22"/>
      <c r="B387" s="12"/>
      <c r="C387" s="2"/>
      <c r="D387" s="12"/>
      <c r="F387" s="2"/>
      <c r="G387" s="2"/>
      <c r="H387" s="2"/>
    </row>
    <row r="388" spans="1:8" x14ac:dyDescent="0.25">
      <c r="A388" s="22"/>
      <c r="B388" s="12"/>
      <c r="C388" s="2"/>
      <c r="D388" s="12"/>
      <c r="F388" s="2"/>
      <c r="G388" s="2"/>
      <c r="H388" s="2"/>
    </row>
    <row r="389" spans="1:8" x14ac:dyDescent="0.25">
      <c r="A389" s="22"/>
      <c r="B389" s="12"/>
      <c r="C389" s="2"/>
      <c r="D389" s="12"/>
      <c r="F389" s="2"/>
      <c r="G389" s="2"/>
      <c r="H389" s="2"/>
    </row>
    <row r="390" spans="1:8" x14ac:dyDescent="0.25">
      <c r="A390" s="22"/>
      <c r="B390" s="12"/>
      <c r="C390" s="2"/>
      <c r="D390" s="12"/>
      <c r="F390" s="2"/>
      <c r="G390" s="2"/>
      <c r="H390" s="2"/>
    </row>
    <row r="391" spans="1:8" x14ac:dyDescent="0.25">
      <c r="A391" s="22"/>
      <c r="B391" s="12"/>
      <c r="C391" s="2"/>
      <c r="D391" s="12"/>
      <c r="F391" s="2"/>
      <c r="G391" s="2"/>
      <c r="H391" s="2"/>
    </row>
    <row r="392" spans="1:8" x14ac:dyDescent="0.25">
      <c r="A392" s="22"/>
      <c r="B392" s="12"/>
      <c r="C392" s="2"/>
      <c r="D392" s="12"/>
      <c r="F392" s="2"/>
      <c r="G392" s="2"/>
      <c r="H392" s="2"/>
    </row>
    <row r="393" spans="1:8" x14ac:dyDescent="0.25">
      <c r="A393" s="22"/>
      <c r="B393" s="12"/>
      <c r="C393" s="2"/>
      <c r="D393" s="12"/>
      <c r="F393" s="2"/>
      <c r="G393" s="2"/>
      <c r="H393" s="2"/>
    </row>
    <row r="394" spans="1:8" x14ac:dyDescent="0.25">
      <c r="A394" s="22"/>
      <c r="B394" s="12"/>
      <c r="C394" s="2"/>
      <c r="D394" s="12"/>
      <c r="F394" s="2"/>
      <c r="G394" s="2"/>
      <c r="H394" s="2"/>
    </row>
    <row r="395" spans="1:8" x14ac:dyDescent="0.25">
      <c r="A395" s="22"/>
      <c r="B395" s="12"/>
      <c r="C395" s="2"/>
      <c r="D395" s="12"/>
      <c r="F395" s="2"/>
      <c r="G395" s="2"/>
      <c r="H395" s="2"/>
    </row>
    <row r="396" spans="1:8" x14ac:dyDescent="0.25">
      <c r="A396" s="22"/>
      <c r="B396" s="12"/>
      <c r="C396" s="2"/>
      <c r="D396" s="12"/>
      <c r="F396" s="2"/>
      <c r="G396" s="2"/>
      <c r="H396" s="2"/>
    </row>
    <row r="397" spans="1:8" x14ac:dyDescent="0.25">
      <c r="A397" s="22"/>
      <c r="B397" s="12"/>
      <c r="C397" s="2"/>
      <c r="D397" s="12"/>
      <c r="F397" s="2"/>
      <c r="G397" s="2"/>
      <c r="H397" s="2"/>
    </row>
    <row r="398" spans="1:8" x14ac:dyDescent="0.25">
      <c r="A398" s="22"/>
      <c r="B398" s="12"/>
      <c r="C398" s="2"/>
      <c r="D398" s="12"/>
      <c r="F398" s="2"/>
      <c r="G398" s="2"/>
      <c r="H398" s="2"/>
    </row>
    <row r="399" spans="1:8" x14ac:dyDescent="0.25">
      <c r="A399" s="22"/>
      <c r="B399" s="12"/>
      <c r="C399" s="2"/>
      <c r="D399" s="12"/>
      <c r="F399" s="2"/>
      <c r="G399" s="2"/>
      <c r="H399" s="2"/>
    </row>
    <row r="400" spans="1:8" x14ac:dyDescent="0.25">
      <c r="A400" s="22"/>
      <c r="B400" s="12"/>
      <c r="C400" s="2"/>
      <c r="D400" s="12"/>
      <c r="F400" s="2"/>
      <c r="G400" s="2"/>
      <c r="H400" s="2"/>
    </row>
    <row r="401" spans="1:8" x14ac:dyDescent="0.25">
      <c r="A401" s="22"/>
      <c r="B401" s="12"/>
      <c r="C401" s="2"/>
      <c r="D401" s="12"/>
      <c r="F401" s="2"/>
      <c r="G401" s="2"/>
      <c r="H401" s="2"/>
    </row>
    <row r="402" spans="1:8" x14ac:dyDescent="0.25">
      <c r="A402" s="22"/>
      <c r="B402" s="12"/>
      <c r="C402" s="2"/>
      <c r="D402" s="12"/>
      <c r="F402" s="2"/>
      <c r="G402" s="2"/>
      <c r="H402" s="2"/>
    </row>
    <row r="403" spans="1:8" x14ac:dyDescent="0.25">
      <c r="A403" s="22"/>
      <c r="B403" s="12"/>
      <c r="C403" s="2"/>
      <c r="D403" s="12"/>
      <c r="F403" s="2"/>
      <c r="G403" s="2"/>
      <c r="H403" s="2"/>
    </row>
    <row r="404" spans="1:8" x14ac:dyDescent="0.25">
      <c r="A404" s="22"/>
      <c r="B404" s="12"/>
      <c r="C404" s="2"/>
      <c r="D404" s="12"/>
      <c r="F404" s="2"/>
      <c r="G404" s="2"/>
      <c r="H404" s="2"/>
    </row>
    <row r="405" spans="1:8" x14ac:dyDescent="0.25">
      <c r="A405" s="22"/>
      <c r="B405" s="12"/>
      <c r="C405" s="2"/>
      <c r="D405" s="12"/>
      <c r="F405" s="2"/>
      <c r="G405" s="2"/>
      <c r="H405" s="2"/>
    </row>
    <row r="406" spans="1:8" x14ac:dyDescent="0.25">
      <c r="A406" s="22"/>
      <c r="B406" s="12"/>
      <c r="C406" s="2"/>
      <c r="D406" s="12"/>
      <c r="F406" s="2"/>
      <c r="G406" s="2"/>
      <c r="H406" s="2"/>
    </row>
    <row r="407" spans="1:8" x14ac:dyDescent="0.25">
      <c r="A407" s="22"/>
      <c r="B407" s="12"/>
      <c r="C407" s="2"/>
      <c r="D407" s="12"/>
      <c r="F407" s="2"/>
      <c r="G407" s="2"/>
      <c r="H407" s="2"/>
    </row>
    <row r="408" spans="1:8" x14ac:dyDescent="0.25">
      <c r="A408" s="22"/>
      <c r="B408" s="12"/>
      <c r="C408" s="2"/>
      <c r="D408" s="12"/>
      <c r="F408" s="2"/>
      <c r="G408" s="2"/>
      <c r="H408" s="2"/>
    </row>
    <row r="409" spans="1:8" x14ac:dyDescent="0.25">
      <c r="A409" s="22"/>
      <c r="B409" s="12"/>
      <c r="C409" s="2"/>
      <c r="D409" s="12"/>
      <c r="F409" s="2"/>
      <c r="G409" s="2"/>
      <c r="H409" s="2"/>
    </row>
    <row r="410" spans="1:8" x14ac:dyDescent="0.25">
      <c r="A410" s="22"/>
      <c r="B410" s="12"/>
      <c r="C410" s="2"/>
      <c r="D410" s="12"/>
      <c r="F410" s="2"/>
      <c r="G410" s="2"/>
      <c r="H410" s="2"/>
    </row>
    <row r="411" spans="1:8" x14ac:dyDescent="0.25">
      <c r="A411" s="22"/>
      <c r="B411" s="12"/>
      <c r="C411" s="2"/>
      <c r="D411" s="12"/>
      <c r="F411" s="2"/>
      <c r="G411" s="2"/>
      <c r="H411" s="2"/>
    </row>
    <row r="412" spans="1:8" x14ac:dyDescent="0.25">
      <c r="A412" s="22"/>
      <c r="B412" s="12"/>
      <c r="C412" s="2"/>
      <c r="D412" s="12"/>
      <c r="F412" s="2"/>
      <c r="G412" s="2"/>
      <c r="H412" s="2"/>
    </row>
    <row r="413" spans="1:8" x14ac:dyDescent="0.25">
      <c r="A413" s="22"/>
      <c r="B413" s="12"/>
      <c r="C413" s="2"/>
      <c r="D413" s="12"/>
      <c r="F413" s="2"/>
      <c r="G413" s="2"/>
      <c r="H413" s="2"/>
    </row>
    <row r="414" spans="1:8" x14ac:dyDescent="0.25">
      <c r="A414" s="22"/>
      <c r="B414" s="12"/>
      <c r="C414" s="2"/>
      <c r="D414" s="12"/>
      <c r="F414" s="2"/>
      <c r="G414" s="2"/>
      <c r="H414" s="2"/>
    </row>
    <row r="415" spans="1:8" x14ac:dyDescent="0.25">
      <c r="A415" s="22"/>
      <c r="B415" s="12"/>
      <c r="C415" s="2"/>
      <c r="D415" s="12"/>
      <c r="F415" s="2"/>
      <c r="G415" s="2"/>
      <c r="H415" s="2"/>
    </row>
    <row r="416" spans="1:8" x14ac:dyDescent="0.25">
      <c r="A416" s="22"/>
      <c r="B416" s="12"/>
      <c r="C416" s="2"/>
      <c r="D416" s="12"/>
      <c r="F416" s="2"/>
      <c r="G416" s="2"/>
      <c r="H416" s="2"/>
    </row>
    <row r="417" spans="1:8" x14ac:dyDescent="0.25">
      <c r="A417" s="22"/>
      <c r="B417" s="12"/>
      <c r="C417" s="2"/>
      <c r="D417" s="12"/>
      <c r="F417" s="2"/>
      <c r="G417" s="2"/>
      <c r="H417" s="2"/>
    </row>
    <row r="418" spans="1:8" x14ac:dyDescent="0.25">
      <c r="A418" s="22"/>
      <c r="B418" s="12"/>
      <c r="C418" s="2"/>
      <c r="D418" s="12"/>
      <c r="F418" s="2"/>
      <c r="G418" s="2"/>
      <c r="H418" s="2"/>
    </row>
    <row r="419" spans="1:8" x14ac:dyDescent="0.25">
      <c r="A419" s="22"/>
      <c r="B419" s="12"/>
      <c r="C419" s="2"/>
      <c r="D419" s="12"/>
      <c r="F419" s="2"/>
      <c r="G419" s="2"/>
      <c r="H419" s="2"/>
    </row>
    <row r="420" spans="1:8" x14ac:dyDescent="0.25">
      <c r="A420" s="22"/>
      <c r="B420" s="12"/>
      <c r="C420" s="2"/>
      <c r="D420" s="12"/>
      <c r="F420" s="2"/>
      <c r="G420" s="2"/>
      <c r="H420" s="2"/>
    </row>
    <row r="421" spans="1:8" x14ac:dyDescent="0.25">
      <c r="A421" s="22"/>
      <c r="B421" s="12"/>
      <c r="C421" s="2"/>
      <c r="D421" s="12"/>
      <c r="F421" s="2"/>
      <c r="G421" s="2"/>
      <c r="H421" s="2"/>
    </row>
    <row r="422" spans="1:8" x14ac:dyDescent="0.25">
      <c r="A422" s="22"/>
      <c r="B422" s="12"/>
      <c r="C422" s="2"/>
      <c r="D422" s="12"/>
      <c r="F422" s="2"/>
      <c r="G422" s="2"/>
      <c r="H422" s="2"/>
    </row>
    <row r="423" spans="1:8" x14ac:dyDescent="0.25">
      <c r="A423" s="22"/>
      <c r="B423" s="12"/>
      <c r="C423" s="2"/>
      <c r="D423" s="12"/>
      <c r="F423" s="2"/>
      <c r="G423" s="2"/>
      <c r="H423" s="2"/>
    </row>
    <row r="424" spans="1:8" x14ac:dyDescent="0.25">
      <c r="A424" s="22"/>
      <c r="B424" s="12"/>
      <c r="C424" s="2"/>
      <c r="D424" s="12"/>
      <c r="F424" s="2"/>
      <c r="G424" s="2"/>
      <c r="H424" s="2"/>
    </row>
    <row r="425" spans="1:8" x14ac:dyDescent="0.25">
      <c r="A425" s="22"/>
      <c r="B425" s="12"/>
      <c r="C425" s="2"/>
      <c r="D425" s="12"/>
      <c r="F425" s="2"/>
      <c r="G425" s="2"/>
      <c r="H425" s="2"/>
    </row>
    <row r="426" spans="1:8" x14ac:dyDescent="0.25">
      <c r="A426" s="22"/>
      <c r="B426" s="12"/>
      <c r="C426" s="2"/>
      <c r="D426" s="12"/>
      <c r="F426" s="2"/>
      <c r="G426" s="2"/>
      <c r="H426" s="2"/>
    </row>
    <row r="427" spans="1:8" x14ac:dyDescent="0.25">
      <c r="A427" s="22"/>
      <c r="B427" s="12"/>
      <c r="C427" s="2"/>
      <c r="D427" s="12"/>
      <c r="F427" s="2"/>
      <c r="G427" s="2"/>
      <c r="H427" s="2"/>
    </row>
    <row r="428" spans="1:8" x14ac:dyDescent="0.25">
      <c r="A428" s="22"/>
      <c r="B428" s="12"/>
      <c r="C428" s="2"/>
      <c r="D428" s="12"/>
      <c r="F428" s="2"/>
      <c r="G428" s="2"/>
      <c r="H428" s="2"/>
    </row>
    <row r="429" spans="1:8" x14ac:dyDescent="0.25">
      <c r="A429" s="22"/>
      <c r="B429" s="12"/>
      <c r="C429" s="2"/>
      <c r="D429" s="12"/>
      <c r="F429" s="2"/>
      <c r="G429" s="2"/>
      <c r="H429" s="2"/>
    </row>
    <row r="430" spans="1:8" x14ac:dyDescent="0.25">
      <c r="A430" s="22"/>
      <c r="B430" s="12"/>
      <c r="C430" s="2"/>
      <c r="D430" s="12"/>
      <c r="F430" s="2"/>
      <c r="G430" s="2"/>
      <c r="H430" s="2"/>
    </row>
    <row r="431" spans="1:8" x14ac:dyDescent="0.25">
      <c r="A431" s="22"/>
      <c r="B431" s="12"/>
      <c r="C431" s="2"/>
      <c r="D431" s="12"/>
      <c r="F431" s="2"/>
      <c r="G431" s="2"/>
      <c r="H431" s="2"/>
    </row>
    <row r="432" spans="1:8" x14ac:dyDescent="0.25">
      <c r="A432" s="22"/>
      <c r="B432" s="12"/>
      <c r="C432" s="2"/>
      <c r="D432" s="12"/>
      <c r="F432" s="2"/>
      <c r="G432" s="2"/>
      <c r="H432" s="2"/>
    </row>
    <row r="433" spans="1:8" x14ac:dyDescent="0.25">
      <c r="A433" s="22"/>
      <c r="B433" s="12"/>
      <c r="C433" s="2"/>
      <c r="D433" s="12"/>
      <c r="F433" s="2"/>
      <c r="G433" s="2"/>
      <c r="H433" s="2"/>
    </row>
    <row r="434" spans="1:8" x14ac:dyDescent="0.25">
      <c r="A434" s="22"/>
      <c r="B434" s="12"/>
      <c r="C434" s="2"/>
      <c r="D434" s="12"/>
      <c r="F434" s="2"/>
      <c r="G434" s="2"/>
      <c r="H434" s="2"/>
    </row>
    <row r="435" spans="1:8" x14ac:dyDescent="0.25">
      <c r="A435" s="22"/>
      <c r="B435" s="12"/>
      <c r="C435" s="2"/>
      <c r="D435" s="12"/>
      <c r="F435" s="2"/>
      <c r="G435" s="2"/>
      <c r="H435" s="2"/>
    </row>
    <row r="436" spans="1:8" x14ac:dyDescent="0.25">
      <c r="A436" s="22"/>
      <c r="B436" s="12"/>
      <c r="C436" s="2"/>
      <c r="D436" s="12"/>
      <c r="F436" s="2"/>
      <c r="G436" s="2"/>
      <c r="H436" s="2"/>
    </row>
    <row r="437" spans="1:8" x14ac:dyDescent="0.25">
      <c r="A437" s="22"/>
      <c r="B437" s="12"/>
      <c r="C437" s="2"/>
      <c r="D437" s="12"/>
      <c r="F437" s="2"/>
      <c r="G437" s="2"/>
      <c r="H437" s="2"/>
    </row>
    <row r="438" spans="1:8" x14ac:dyDescent="0.25">
      <c r="A438" s="22"/>
      <c r="B438" s="12"/>
      <c r="C438" s="2"/>
      <c r="D438" s="12"/>
      <c r="F438" s="2"/>
      <c r="G438" s="2"/>
      <c r="H438" s="2"/>
    </row>
    <row r="439" spans="1:8" x14ac:dyDescent="0.25">
      <c r="A439" s="22"/>
      <c r="B439" s="12"/>
      <c r="C439" s="2"/>
      <c r="D439" s="12"/>
      <c r="F439" s="2"/>
      <c r="G439" s="2"/>
      <c r="H439" s="2"/>
    </row>
    <row r="440" spans="1:8" x14ac:dyDescent="0.25">
      <c r="A440" s="22"/>
      <c r="B440" s="12"/>
      <c r="C440" s="2"/>
      <c r="D440" s="12"/>
      <c r="F440" s="2"/>
      <c r="G440" s="2"/>
      <c r="H440" s="2"/>
    </row>
    <row r="441" spans="1:8" x14ac:dyDescent="0.25">
      <c r="A441" s="22"/>
      <c r="B441" s="12"/>
      <c r="C441" s="2"/>
      <c r="D441" s="12"/>
      <c r="F441" s="2"/>
      <c r="G441" s="2"/>
      <c r="H441" s="2"/>
    </row>
    <row r="442" spans="1:8" x14ac:dyDescent="0.25">
      <c r="A442" s="22"/>
      <c r="B442" s="12"/>
      <c r="C442" s="2"/>
      <c r="D442" s="12"/>
      <c r="F442" s="2"/>
      <c r="G442" s="2"/>
      <c r="H442" s="2"/>
    </row>
    <row r="443" spans="1:8" x14ac:dyDescent="0.25">
      <c r="A443" s="22"/>
      <c r="B443" s="12"/>
      <c r="C443" s="2"/>
      <c r="D443" s="12"/>
      <c r="F443" s="2"/>
      <c r="G443" s="2"/>
      <c r="H443" s="2"/>
    </row>
    <row r="444" spans="1:8" x14ac:dyDescent="0.25">
      <c r="A444" s="22"/>
      <c r="B444" s="12"/>
      <c r="C444" s="2"/>
      <c r="D444" s="12"/>
      <c r="F444" s="2"/>
      <c r="G444" s="2"/>
      <c r="H444" s="2"/>
    </row>
    <row r="445" spans="1:8" x14ac:dyDescent="0.25">
      <c r="A445" s="22"/>
      <c r="B445" s="12"/>
      <c r="C445" s="2"/>
      <c r="D445" s="12"/>
      <c r="F445" s="2"/>
      <c r="G445" s="2"/>
      <c r="H445" s="2"/>
    </row>
    <row r="446" spans="1:8" x14ac:dyDescent="0.25">
      <c r="A446" s="22"/>
      <c r="B446" s="12"/>
      <c r="C446" s="2"/>
      <c r="D446" s="12"/>
      <c r="F446" s="2"/>
      <c r="G446" s="2"/>
      <c r="H446" s="2"/>
    </row>
    <row r="447" spans="1:8" x14ac:dyDescent="0.25">
      <c r="A447" s="22"/>
      <c r="B447" s="12"/>
      <c r="C447" s="2"/>
      <c r="D447" s="12"/>
      <c r="F447" s="2"/>
      <c r="G447" s="2"/>
      <c r="H447" s="2"/>
    </row>
    <row r="448" spans="1:8" x14ac:dyDescent="0.25">
      <c r="A448" s="22"/>
      <c r="B448" s="12"/>
      <c r="C448" s="2"/>
      <c r="D448" s="12"/>
      <c r="F448" s="2"/>
      <c r="G448" s="2"/>
      <c r="H448" s="2"/>
    </row>
    <row r="449" spans="1:8" x14ac:dyDescent="0.25">
      <c r="A449" s="22"/>
      <c r="B449" s="12"/>
      <c r="C449" s="2"/>
      <c r="D449" s="12"/>
      <c r="F449" s="2"/>
      <c r="G449" s="2"/>
      <c r="H449" s="2"/>
    </row>
    <row r="450" spans="1:8" x14ac:dyDescent="0.25">
      <c r="A450" s="22"/>
      <c r="B450" s="12"/>
      <c r="C450" s="2"/>
      <c r="D450" s="12"/>
      <c r="F450" s="2"/>
      <c r="G450" s="2"/>
      <c r="H450" s="2"/>
    </row>
    <row r="451" spans="1:8" x14ac:dyDescent="0.25">
      <c r="A451" s="22"/>
      <c r="B451" s="12"/>
      <c r="C451" s="2"/>
      <c r="D451" s="12"/>
      <c r="F451" s="2"/>
      <c r="G451" s="2"/>
      <c r="H451" s="2"/>
    </row>
    <row r="452" spans="1:8" x14ac:dyDescent="0.25">
      <c r="A452" s="22"/>
      <c r="B452" s="12"/>
      <c r="C452" s="2"/>
      <c r="D452" s="12"/>
      <c r="F452" s="2"/>
      <c r="G452" s="2"/>
      <c r="H452" s="2"/>
    </row>
    <row r="453" spans="1:8" x14ac:dyDescent="0.25">
      <c r="A453" s="22"/>
      <c r="B453" s="12"/>
      <c r="C453" s="2"/>
      <c r="D453" s="12"/>
      <c r="F453" s="2"/>
      <c r="G453" s="2"/>
      <c r="H453" s="2"/>
    </row>
    <row r="454" spans="1:8" x14ac:dyDescent="0.25">
      <c r="A454" s="22"/>
      <c r="B454" s="12"/>
      <c r="C454" s="2"/>
      <c r="D454" s="12"/>
      <c r="F454" s="2"/>
      <c r="G454" s="2"/>
      <c r="H454" s="2"/>
    </row>
    <row r="455" spans="1:8" x14ac:dyDescent="0.25">
      <c r="A455" s="22"/>
      <c r="B455" s="12"/>
      <c r="C455" s="2"/>
      <c r="D455" s="12"/>
      <c r="F455" s="2"/>
      <c r="G455" s="2"/>
      <c r="H455" s="2"/>
    </row>
    <row r="456" spans="1:8" x14ac:dyDescent="0.25">
      <c r="A456" s="22"/>
      <c r="B456" s="12"/>
      <c r="C456" s="2"/>
      <c r="D456" s="12"/>
      <c r="F456" s="2"/>
      <c r="G456" s="2"/>
      <c r="H456" s="2"/>
    </row>
    <row r="457" spans="1:8" x14ac:dyDescent="0.25">
      <c r="A457" s="22"/>
      <c r="B457" s="12"/>
      <c r="C457" s="2"/>
      <c r="D457" s="12"/>
      <c r="F457" s="2"/>
      <c r="G457" s="2"/>
      <c r="H457" s="2"/>
    </row>
    <row r="458" spans="1:8" x14ac:dyDescent="0.25">
      <c r="A458" s="22"/>
      <c r="B458" s="12"/>
      <c r="C458" s="2"/>
      <c r="D458" s="12"/>
      <c r="F458" s="2"/>
      <c r="G458" s="2"/>
      <c r="H458" s="2"/>
    </row>
    <row r="459" spans="1:8" x14ac:dyDescent="0.25">
      <c r="A459" s="22"/>
      <c r="B459" s="12"/>
      <c r="C459" s="2"/>
      <c r="D459" s="12"/>
      <c r="F459" s="2"/>
      <c r="G459" s="2"/>
      <c r="H459" s="2"/>
    </row>
    <row r="460" spans="1:8" x14ac:dyDescent="0.25">
      <c r="A460" s="22"/>
      <c r="B460" s="12"/>
      <c r="C460" s="2"/>
      <c r="D460" s="12"/>
      <c r="F460" s="2"/>
      <c r="G460" s="2"/>
      <c r="H460" s="2"/>
    </row>
    <row r="461" spans="1:8" x14ac:dyDescent="0.25">
      <c r="A461" s="22"/>
      <c r="B461" s="12"/>
      <c r="C461" s="2"/>
      <c r="D461" s="12"/>
      <c r="F461" s="2"/>
      <c r="G461" s="2"/>
      <c r="H461" s="2"/>
    </row>
    <row r="462" spans="1:8" x14ac:dyDescent="0.25">
      <c r="A462" s="22"/>
      <c r="B462" s="12"/>
      <c r="C462" s="2"/>
      <c r="D462" s="12"/>
      <c r="F462" s="2"/>
      <c r="G462" s="2"/>
      <c r="H462" s="2"/>
    </row>
    <row r="463" spans="1:8" x14ac:dyDescent="0.25">
      <c r="A463" s="22"/>
      <c r="B463" s="12"/>
      <c r="C463" s="2"/>
      <c r="D463" s="12"/>
      <c r="F463" s="2"/>
      <c r="G463" s="2"/>
      <c r="H463" s="2"/>
    </row>
    <row r="464" spans="1:8" x14ac:dyDescent="0.25">
      <c r="A464" s="22"/>
      <c r="B464" s="12"/>
      <c r="C464" s="2"/>
      <c r="D464" s="12"/>
      <c r="F464" s="2"/>
      <c r="G464" s="2"/>
      <c r="H464" s="2"/>
    </row>
    <row r="465" spans="1:8" x14ac:dyDescent="0.25">
      <c r="A465" s="22"/>
      <c r="B465" s="12"/>
      <c r="C465" s="2"/>
      <c r="D465" s="12"/>
      <c r="F465" s="2"/>
      <c r="G465" s="2"/>
      <c r="H465" s="2"/>
    </row>
    <row r="466" spans="1:8" x14ac:dyDescent="0.25">
      <c r="A466" s="22"/>
      <c r="B466" s="12"/>
      <c r="C466" s="2"/>
      <c r="D466" s="12"/>
      <c r="F466" s="2"/>
      <c r="G466" s="2"/>
      <c r="H466" s="2"/>
    </row>
    <row r="467" spans="1:8" x14ac:dyDescent="0.25">
      <c r="A467" s="22"/>
      <c r="B467" s="12"/>
      <c r="C467" s="2"/>
      <c r="D467" s="12"/>
      <c r="F467" s="2"/>
      <c r="G467" s="2"/>
      <c r="H467" s="2"/>
    </row>
    <row r="468" spans="1:8" x14ac:dyDescent="0.25">
      <c r="A468" s="22"/>
      <c r="B468" s="12"/>
      <c r="C468" s="2"/>
      <c r="D468" s="12"/>
      <c r="F468" s="2"/>
      <c r="G468" s="2"/>
      <c r="H468" s="2"/>
    </row>
    <row r="469" spans="1:8" x14ac:dyDescent="0.25">
      <c r="A469" s="22"/>
      <c r="B469" s="12"/>
      <c r="C469" s="2"/>
      <c r="D469" s="12"/>
      <c r="F469" s="2"/>
      <c r="G469" s="2"/>
      <c r="H469" s="2"/>
    </row>
    <row r="470" spans="1:8" x14ac:dyDescent="0.25">
      <c r="A470" s="22"/>
      <c r="B470" s="12"/>
      <c r="C470" s="2"/>
      <c r="D470" s="12"/>
      <c r="F470" s="2"/>
      <c r="G470" s="2"/>
      <c r="H470" s="2"/>
    </row>
    <row r="471" spans="1:8" x14ac:dyDescent="0.25">
      <c r="A471" s="22"/>
      <c r="B471" s="12"/>
      <c r="C471" s="2"/>
      <c r="D471" s="12"/>
      <c r="F471" s="2"/>
      <c r="G471" s="2"/>
      <c r="H471" s="2"/>
    </row>
    <row r="472" spans="1:8" x14ac:dyDescent="0.25">
      <c r="A472" s="22"/>
      <c r="B472" s="12"/>
      <c r="C472" s="2"/>
      <c r="D472" s="12"/>
      <c r="F472" s="2"/>
      <c r="G472" s="2"/>
      <c r="H472" s="2"/>
    </row>
    <row r="473" spans="1:8" x14ac:dyDescent="0.25">
      <c r="A473" s="22"/>
      <c r="B473" s="12"/>
      <c r="C473" s="2"/>
      <c r="D473" s="12"/>
      <c r="F473" s="2"/>
      <c r="G473" s="2"/>
      <c r="H473" s="2"/>
    </row>
    <row r="474" spans="1:8" x14ac:dyDescent="0.25">
      <c r="A474" s="22"/>
      <c r="B474" s="12"/>
      <c r="C474" s="2"/>
      <c r="D474" s="12"/>
      <c r="F474" s="2"/>
      <c r="G474" s="2"/>
      <c r="H474" s="2"/>
    </row>
    <row r="475" spans="1:8" x14ac:dyDescent="0.25">
      <c r="A475" s="22"/>
      <c r="B475" s="12"/>
      <c r="C475" s="2"/>
      <c r="D475" s="12"/>
      <c r="F475" s="2"/>
      <c r="G475" s="2"/>
      <c r="H475" s="2"/>
    </row>
    <row r="476" spans="1:8" x14ac:dyDescent="0.25">
      <c r="A476" s="22"/>
      <c r="B476" s="12"/>
      <c r="C476" s="2"/>
      <c r="D476" s="12"/>
      <c r="F476" s="2"/>
      <c r="G476" s="2"/>
      <c r="H476" s="2"/>
    </row>
    <row r="477" spans="1:8" x14ac:dyDescent="0.25">
      <c r="A477" s="22"/>
      <c r="B477" s="12"/>
      <c r="C477" s="2"/>
      <c r="D477" s="12"/>
      <c r="F477" s="2"/>
      <c r="G477" s="2"/>
      <c r="H477" s="2"/>
    </row>
    <row r="478" spans="1:8" x14ac:dyDescent="0.25">
      <c r="A478" s="22"/>
      <c r="B478" s="12"/>
      <c r="C478" s="2"/>
      <c r="D478" s="12"/>
      <c r="F478" s="2"/>
      <c r="G478" s="2"/>
      <c r="H478" s="2"/>
    </row>
    <row r="479" spans="1:8" x14ac:dyDescent="0.25">
      <c r="A479" s="22"/>
      <c r="B479" s="12"/>
      <c r="C479" s="2"/>
      <c r="D479" s="12"/>
      <c r="F479" s="2"/>
      <c r="G479" s="2"/>
      <c r="H479" s="2"/>
    </row>
    <row r="480" spans="1:8" x14ac:dyDescent="0.25">
      <c r="A480" s="22"/>
      <c r="B480" s="12"/>
      <c r="C480" s="2"/>
      <c r="D480" s="12"/>
      <c r="F480" s="2"/>
      <c r="G480" s="2"/>
      <c r="H480" s="2"/>
    </row>
    <row r="481" spans="1:8" x14ac:dyDescent="0.25">
      <c r="A481" s="22"/>
      <c r="B481" s="12"/>
      <c r="C481" s="2"/>
      <c r="D481" s="12"/>
      <c r="F481" s="2"/>
      <c r="G481" s="2"/>
      <c r="H481" s="2"/>
    </row>
    <row r="482" spans="1:8" x14ac:dyDescent="0.25">
      <c r="A482" s="22"/>
      <c r="B482" s="12"/>
      <c r="C482" s="2"/>
      <c r="D482" s="12"/>
      <c r="F482" s="2"/>
      <c r="G482" s="2"/>
      <c r="H482" s="2"/>
    </row>
    <row r="483" spans="1:8" x14ac:dyDescent="0.25">
      <c r="A483" s="22"/>
      <c r="B483" s="12"/>
      <c r="C483" s="2"/>
      <c r="D483" s="12"/>
      <c r="F483" s="2"/>
      <c r="G483" s="2"/>
      <c r="H483" s="2"/>
    </row>
    <row r="484" spans="1:8" x14ac:dyDescent="0.25">
      <c r="A484" s="22"/>
      <c r="B484" s="12"/>
      <c r="C484" s="2"/>
      <c r="D484" s="12"/>
      <c r="F484" s="2"/>
      <c r="G484" s="2"/>
      <c r="H484" s="2"/>
    </row>
    <row r="485" spans="1:8" x14ac:dyDescent="0.25">
      <c r="A485" s="22"/>
      <c r="B485" s="12"/>
      <c r="C485" s="2"/>
      <c r="D485" s="12"/>
      <c r="F485" s="2"/>
      <c r="G485" s="2"/>
      <c r="H485" s="2"/>
    </row>
    <row r="486" spans="1:8" x14ac:dyDescent="0.25">
      <c r="A486" s="22"/>
      <c r="B486" s="12"/>
      <c r="C486" s="2"/>
      <c r="D486" s="12"/>
      <c r="F486" s="2"/>
      <c r="G486" s="2"/>
      <c r="H486" s="2"/>
    </row>
    <row r="487" spans="1:8" x14ac:dyDescent="0.25">
      <c r="A487" s="22"/>
      <c r="B487" s="12"/>
      <c r="C487" s="2"/>
      <c r="D487" s="12"/>
      <c r="F487" s="2"/>
      <c r="G487" s="2"/>
      <c r="H487" s="2"/>
    </row>
    <row r="488" spans="1:8" x14ac:dyDescent="0.25">
      <c r="A488" s="22"/>
      <c r="B488" s="12"/>
      <c r="C488" s="2"/>
      <c r="D488" s="12"/>
      <c r="F488" s="2"/>
      <c r="G488" s="2"/>
      <c r="H488" s="2"/>
    </row>
    <row r="489" spans="1:8" x14ac:dyDescent="0.25">
      <c r="A489" s="22"/>
      <c r="B489" s="12"/>
      <c r="C489" s="2"/>
      <c r="D489" s="12"/>
      <c r="F489" s="2"/>
      <c r="G489" s="2"/>
      <c r="H489" s="2"/>
    </row>
    <row r="490" spans="1:8" x14ac:dyDescent="0.25">
      <c r="A490" s="22"/>
      <c r="B490" s="12"/>
      <c r="C490" s="2"/>
      <c r="D490" s="12"/>
      <c r="F490" s="2"/>
      <c r="G490" s="2"/>
      <c r="H490" s="2"/>
    </row>
    <row r="491" spans="1:8" x14ac:dyDescent="0.25">
      <c r="A491" s="22"/>
      <c r="B491" s="12"/>
      <c r="C491" s="2"/>
      <c r="D491" s="12"/>
      <c r="F491" s="2"/>
      <c r="G491" s="2"/>
      <c r="H491" s="2"/>
    </row>
    <row r="492" spans="1:8" x14ac:dyDescent="0.25">
      <c r="A492" s="22"/>
      <c r="B492" s="12"/>
      <c r="C492" s="2"/>
      <c r="D492" s="12"/>
      <c r="F492" s="2"/>
      <c r="G492" s="2"/>
      <c r="H492" s="2"/>
    </row>
    <row r="493" spans="1:8" x14ac:dyDescent="0.25">
      <c r="A493" s="22"/>
      <c r="B493" s="12"/>
      <c r="C493" s="2"/>
      <c r="D493" s="12"/>
      <c r="F493" s="2"/>
      <c r="G493" s="2"/>
      <c r="H493" s="2"/>
    </row>
    <row r="494" spans="1:8" x14ac:dyDescent="0.25">
      <c r="A494" s="22"/>
      <c r="B494" s="12"/>
      <c r="C494" s="2"/>
      <c r="D494" s="12"/>
      <c r="F494" s="2"/>
      <c r="G494" s="2"/>
      <c r="H494" s="2"/>
    </row>
    <row r="495" spans="1:8" x14ac:dyDescent="0.25">
      <c r="A495" s="22"/>
      <c r="B495" s="12"/>
      <c r="C495" s="2"/>
      <c r="D495" s="12"/>
      <c r="F495" s="2"/>
      <c r="G495" s="2"/>
      <c r="H495" s="2"/>
    </row>
    <row r="496" spans="1:8" x14ac:dyDescent="0.25">
      <c r="A496" s="22"/>
      <c r="B496" s="12"/>
      <c r="C496" s="2"/>
      <c r="D496" s="12"/>
      <c r="F496" s="2"/>
      <c r="G496" s="2"/>
      <c r="H496" s="2"/>
    </row>
    <row r="497" spans="1:8" x14ac:dyDescent="0.25">
      <c r="A497" s="22"/>
      <c r="B497" s="12"/>
      <c r="C497" s="2"/>
      <c r="D497" s="12"/>
      <c r="F497" s="2"/>
      <c r="G497" s="2"/>
      <c r="H497" s="2"/>
    </row>
    <row r="498" spans="1:8" x14ac:dyDescent="0.25">
      <c r="A498" s="22"/>
      <c r="B498" s="12"/>
      <c r="C498" s="2"/>
      <c r="D498" s="12"/>
      <c r="F498" s="2"/>
      <c r="G498" s="2"/>
      <c r="H498" s="2"/>
    </row>
    <row r="499" spans="1:8" x14ac:dyDescent="0.25">
      <c r="A499" s="22"/>
      <c r="B499" s="12"/>
      <c r="C499" s="2"/>
      <c r="D499" s="12"/>
      <c r="F499" s="2"/>
      <c r="G499" s="2"/>
      <c r="H499" s="2"/>
    </row>
    <row r="500" spans="1:8" x14ac:dyDescent="0.25">
      <c r="A500" s="22"/>
      <c r="B500" s="12"/>
      <c r="C500" s="2"/>
      <c r="D500" s="12"/>
      <c r="F500" s="2"/>
      <c r="G500" s="2"/>
      <c r="H500" s="2"/>
    </row>
    <row r="501" spans="1:8" x14ac:dyDescent="0.25">
      <c r="A501" s="22"/>
      <c r="B501" s="12"/>
      <c r="C501" s="2"/>
      <c r="D501" s="12"/>
      <c r="F501" s="2"/>
      <c r="G501" s="2"/>
      <c r="H501" s="2"/>
    </row>
    <row r="502" spans="1:8" x14ac:dyDescent="0.25">
      <c r="A502" s="22"/>
      <c r="B502" s="12"/>
      <c r="C502" s="2"/>
      <c r="D502" s="12"/>
      <c r="F502" s="2"/>
      <c r="G502" s="2"/>
      <c r="H502" s="2"/>
    </row>
    <row r="503" spans="1:8" x14ac:dyDescent="0.25">
      <c r="A503" s="22"/>
      <c r="B503" s="12"/>
      <c r="C503" s="2"/>
      <c r="D503" s="12"/>
      <c r="F503" s="2"/>
      <c r="G503" s="2"/>
      <c r="H503" s="2"/>
    </row>
    <row r="504" spans="1:8" x14ac:dyDescent="0.25">
      <c r="A504" s="22"/>
      <c r="B504" s="12"/>
      <c r="C504" s="2"/>
      <c r="D504" s="12"/>
      <c r="F504" s="2"/>
      <c r="G504" s="2"/>
      <c r="H504" s="2"/>
    </row>
    <row r="505" spans="1:8" x14ac:dyDescent="0.25">
      <c r="A505" s="22"/>
      <c r="B505" s="12"/>
      <c r="C505" s="2"/>
      <c r="D505" s="12"/>
      <c r="F505" s="2"/>
      <c r="G505" s="2"/>
      <c r="H505" s="2"/>
    </row>
    <row r="506" spans="1:8" x14ac:dyDescent="0.25">
      <c r="A506" s="22"/>
      <c r="B506" s="12"/>
      <c r="C506" s="2"/>
      <c r="D506" s="12"/>
      <c r="F506" s="2"/>
      <c r="G506" s="2"/>
      <c r="H506" s="2"/>
    </row>
    <row r="507" spans="1:8" x14ac:dyDescent="0.25">
      <c r="A507" s="22"/>
      <c r="B507" s="12"/>
      <c r="C507" s="2"/>
      <c r="D507" s="12"/>
      <c r="F507" s="2"/>
      <c r="G507" s="2"/>
      <c r="H507" s="2"/>
    </row>
    <row r="508" spans="1:8" x14ac:dyDescent="0.25">
      <c r="A508" s="22"/>
      <c r="B508" s="12"/>
      <c r="C508" s="2"/>
      <c r="D508" s="12"/>
      <c r="F508" s="2"/>
      <c r="G508" s="2"/>
      <c r="H508" s="2"/>
    </row>
    <row r="509" spans="1:8" x14ac:dyDescent="0.25">
      <c r="A509" s="22"/>
      <c r="B509" s="12"/>
      <c r="C509" s="2"/>
      <c r="D509" s="12"/>
      <c r="F509" s="2"/>
      <c r="G509" s="2"/>
      <c r="H509" s="2"/>
    </row>
    <row r="510" spans="1:8" x14ac:dyDescent="0.25">
      <c r="A510" s="22"/>
      <c r="B510" s="12"/>
      <c r="C510" s="2"/>
      <c r="D510" s="12"/>
      <c r="F510" s="2"/>
      <c r="G510" s="2"/>
      <c r="H510" s="2"/>
    </row>
    <row r="511" spans="1:8" x14ac:dyDescent="0.25">
      <c r="A511" s="22"/>
      <c r="B511" s="12"/>
      <c r="C511" s="2"/>
      <c r="D511" s="12"/>
      <c r="F511" s="2"/>
      <c r="G511" s="2"/>
      <c r="H511" s="2"/>
    </row>
    <row r="512" spans="1:8" x14ac:dyDescent="0.25">
      <c r="A512" s="22"/>
      <c r="B512" s="12"/>
      <c r="C512" s="2"/>
      <c r="D512" s="12"/>
      <c r="F512" s="2"/>
      <c r="G512" s="2"/>
      <c r="H512" s="2"/>
    </row>
    <row r="513" spans="1:8" x14ac:dyDescent="0.25">
      <c r="A513" s="22"/>
      <c r="B513" s="12"/>
      <c r="C513" s="2"/>
      <c r="D513" s="12"/>
      <c r="F513" s="2"/>
      <c r="G513" s="2"/>
      <c r="H513" s="2"/>
    </row>
    <row r="514" spans="1:8" x14ac:dyDescent="0.25">
      <c r="A514" s="22"/>
      <c r="B514" s="12"/>
      <c r="C514" s="2"/>
      <c r="D514" s="12"/>
      <c r="F514" s="2"/>
      <c r="G514" s="2"/>
      <c r="H514" s="2"/>
    </row>
    <row r="515" spans="1:8" x14ac:dyDescent="0.25">
      <c r="A515" s="22"/>
      <c r="B515" s="12"/>
      <c r="C515" s="2"/>
      <c r="D515" s="12"/>
      <c r="F515" s="2"/>
      <c r="G515" s="2"/>
      <c r="H515" s="2"/>
    </row>
    <row r="516" spans="1:8" x14ac:dyDescent="0.25">
      <c r="A516" s="22"/>
      <c r="B516" s="12"/>
      <c r="C516" s="2"/>
      <c r="D516" s="12"/>
      <c r="F516" s="2"/>
      <c r="G516" s="2"/>
      <c r="H516" s="2"/>
    </row>
    <row r="517" spans="1:8" x14ac:dyDescent="0.25">
      <c r="A517" s="22"/>
      <c r="B517" s="12"/>
      <c r="C517" s="2"/>
      <c r="D517" s="12"/>
      <c r="F517" s="2"/>
      <c r="G517" s="2"/>
      <c r="H517" s="2"/>
    </row>
    <row r="518" spans="1:8" x14ac:dyDescent="0.25">
      <c r="A518" s="22"/>
      <c r="B518" s="12"/>
      <c r="C518" s="2"/>
      <c r="D518" s="12"/>
      <c r="F518" s="2"/>
      <c r="G518" s="2"/>
      <c r="H518" s="2"/>
    </row>
    <row r="519" spans="1:8" x14ac:dyDescent="0.25">
      <c r="A519" s="22"/>
      <c r="B519" s="12"/>
      <c r="C519" s="2"/>
      <c r="D519" s="12"/>
      <c r="F519" s="2"/>
      <c r="G519" s="2"/>
      <c r="H519" s="2"/>
    </row>
    <row r="520" spans="1:8" x14ac:dyDescent="0.25">
      <c r="A520" s="22"/>
      <c r="B520" s="12"/>
      <c r="C520" s="2"/>
      <c r="D520" s="12"/>
      <c r="F520" s="2"/>
      <c r="G520" s="2"/>
      <c r="H520" s="2"/>
    </row>
    <row r="521" spans="1:8" x14ac:dyDescent="0.25">
      <c r="A521" s="22"/>
      <c r="B521" s="12"/>
      <c r="C521" s="2"/>
      <c r="D521" s="12"/>
      <c r="F521" s="2"/>
      <c r="G521" s="2"/>
      <c r="H521" s="2"/>
    </row>
    <row r="522" spans="1:8" x14ac:dyDescent="0.25">
      <c r="A522" s="22"/>
      <c r="B522" s="12"/>
      <c r="C522" s="2"/>
      <c r="D522" s="12"/>
      <c r="F522" s="2"/>
      <c r="G522" s="2"/>
      <c r="H522" s="2"/>
    </row>
    <row r="523" spans="1:8" x14ac:dyDescent="0.25">
      <c r="A523" s="22"/>
      <c r="B523" s="12"/>
      <c r="C523" s="2"/>
      <c r="D523" s="12"/>
      <c r="F523" s="2"/>
      <c r="G523" s="2"/>
      <c r="H523" s="2"/>
    </row>
    <row r="524" spans="1:8" x14ac:dyDescent="0.25">
      <c r="A524" s="22"/>
      <c r="B524" s="12"/>
      <c r="C524" s="2"/>
      <c r="D524" s="12"/>
      <c r="F524" s="2"/>
      <c r="G524" s="2"/>
      <c r="H524" s="2"/>
    </row>
    <row r="525" spans="1:8" x14ac:dyDescent="0.25">
      <c r="A525" s="22"/>
      <c r="B525" s="12"/>
      <c r="C525" s="2"/>
      <c r="D525" s="12"/>
      <c r="F525" s="2"/>
      <c r="G525" s="2"/>
      <c r="H525" s="2"/>
    </row>
    <row r="526" spans="1:8" x14ac:dyDescent="0.25">
      <c r="A526" s="22"/>
      <c r="B526" s="12"/>
      <c r="C526" s="2"/>
      <c r="D526" s="12"/>
      <c r="F526" s="2"/>
      <c r="G526" s="2"/>
      <c r="H526" s="2"/>
    </row>
    <row r="527" spans="1:8" x14ac:dyDescent="0.25">
      <c r="A527" s="22"/>
      <c r="B527" s="12"/>
      <c r="C527" s="2"/>
      <c r="D527" s="12"/>
      <c r="F527" s="2"/>
      <c r="G527" s="2"/>
      <c r="H527" s="2"/>
    </row>
    <row r="528" spans="1:8" x14ac:dyDescent="0.25">
      <c r="A528" s="22"/>
      <c r="B528" s="12"/>
      <c r="C528" s="2"/>
      <c r="D528" s="12"/>
      <c r="F528" s="2"/>
      <c r="G528" s="2"/>
      <c r="H528" s="2"/>
    </row>
    <row r="529" spans="1:8" x14ac:dyDescent="0.25">
      <c r="A529" s="22"/>
      <c r="B529" s="12"/>
      <c r="C529" s="2"/>
      <c r="D529" s="12"/>
      <c r="F529" s="2"/>
      <c r="G529" s="2"/>
      <c r="H529" s="2"/>
    </row>
    <row r="530" spans="1:8" x14ac:dyDescent="0.25">
      <c r="A530" s="22"/>
      <c r="B530" s="12"/>
      <c r="C530" s="2"/>
      <c r="D530" s="12"/>
      <c r="F530" s="2"/>
      <c r="G530" s="2"/>
      <c r="H530" s="2"/>
    </row>
    <row r="531" spans="1:8" x14ac:dyDescent="0.25">
      <c r="A531" s="22"/>
      <c r="B531" s="12"/>
      <c r="C531" s="2"/>
      <c r="D531" s="12"/>
      <c r="F531" s="2"/>
      <c r="G531" s="2"/>
      <c r="H531" s="2"/>
    </row>
    <row r="532" spans="1:8" x14ac:dyDescent="0.25">
      <c r="A532" s="22"/>
      <c r="B532" s="12"/>
      <c r="C532" s="2"/>
      <c r="D532" s="12"/>
      <c r="F532" s="2"/>
      <c r="G532" s="2"/>
      <c r="H532" s="2"/>
    </row>
    <row r="533" spans="1:8" x14ac:dyDescent="0.25">
      <c r="A533" s="22"/>
      <c r="B533" s="12"/>
      <c r="C533" s="2"/>
      <c r="D533" s="12"/>
      <c r="F533" s="2"/>
      <c r="G533" s="2"/>
      <c r="H533" s="2"/>
    </row>
    <row r="534" spans="1:8" x14ac:dyDescent="0.25">
      <c r="A534" s="22"/>
      <c r="B534" s="12"/>
      <c r="C534" s="2"/>
      <c r="D534" s="12"/>
      <c r="F534" s="2"/>
      <c r="G534" s="2"/>
      <c r="H534" s="2"/>
    </row>
    <row r="535" spans="1:8" x14ac:dyDescent="0.25">
      <c r="A535" s="22"/>
      <c r="B535" s="12"/>
      <c r="C535" s="2"/>
      <c r="D535" s="12"/>
      <c r="F535" s="2"/>
      <c r="G535" s="2"/>
      <c r="H535" s="2"/>
    </row>
    <row r="536" spans="1:8" x14ac:dyDescent="0.25">
      <c r="A536" s="22"/>
      <c r="B536" s="12"/>
      <c r="C536" s="2"/>
      <c r="D536" s="12"/>
      <c r="F536" s="2"/>
      <c r="G536" s="2"/>
      <c r="H536" s="2"/>
    </row>
    <row r="537" spans="1:8" x14ac:dyDescent="0.25">
      <c r="A537" s="22"/>
      <c r="B537" s="12"/>
      <c r="C537" s="2"/>
      <c r="D537" s="12"/>
      <c r="F537" s="2"/>
      <c r="G537" s="2"/>
      <c r="H537" s="2"/>
    </row>
    <row r="538" spans="1:8" x14ac:dyDescent="0.25">
      <c r="A538" s="22"/>
      <c r="B538" s="12"/>
      <c r="C538" s="2"/>
      <c r="D538" s="12"/>
      <c r="F538" s="2"/>
      <c r="G538" s="2"/>
      <c r="H538" s="2"/>
    </row>
    <row r="539" spans="1:8" x14ac:dyDescent="0.25">
      <c r="A539" s="22"/>
      <c r="B539" s="12"/>
      <c r="C539" s="2"/>
      <c r="D539" s="12"/>
      <c r="F539" s="2"/>
      <c r="G539" s="2"/>
      <c r="H539" s="2"/>
    </row>
    <row r="540" spans="1:8" x14ac:dyDescent="0.25">
      <c r="A540" s="22"/>
      <c r="B540" s="12"/>
      <c r="C540" s="2"/>
      <c r="D540" s="12"/>
      <c r="F540" s="2"/>
      <c r="G540" s="2"/>
      <c r="H540" s="2"/>
    </row>
    <row r="541" spans="1:8" x14ac:dyDescent="0.25">
      <c r="A541" s="22"/>
      <c r="B541" s="12"/>
      <c r="C541" s="2"/>
      <c r="D541" s="12"/>
      <c r="F541" s="2"/>
      <c r="G541" s="2"/>
      <c r="H541" s="2"/>
    </row>
    <row r="542" spans="1:8" x14ac:dyDescent="0.25">
      <c r="A542" s="22"/>
      <c r="B542" s="12"/>
      <c r="C542" s="2"/>
      <c r="D542" s="12"/>
      <c r="F542" s="2"/>
      <c r="G542" s="2"/>
      <c r="H542" s="2"/>
    </row>
    <row r="543" spans="1:8" x14ac:dyDescent="0.25">
      <c r="A543" s="22"/>
      <c r="B543" s="12"/>
      <c r="C543" s="2"/>
      <c r="D543" s="12"/>
      <c r="F543" s="2"/>
      <c r="G543" s="2"/>
      <c r="H543" s="2"/>
    </row>
    <row r="544" spans="1:8" x14ac:dyDescent="0.25">
      <c r="A544" s="22"/>
      <c r="B544" s="12"/>
      <c r="C544" s="2"/>
      <c r="D544" s="12"/>
      <c r="F544" s="2"/>
      <c r="G544" s="2"/>
      <c r="H544" s="2"/>
    </row>
    <row r="545" spans="1:8" x14ac:dyDescent="0.25">
      <c r="A545" s="22"/>
      <c r="B545" s="12"/>
      <c r="C545" s="2"/>
      <c r="D545" s="12"/>
      <c r="F545" s="2"/>
      <c r="G545" s="2"/>
      <c r="H545" s="2"/>
    </row>
    <row r="546" spans="1:8" x14ac:dyDescent="0.25">
      <c r="A546" s="22"/>
      <c r="B546" s="12"/>
      <c r="C546" s="2"/>
      <c r="D546" s="12"/>
      <c r="F546" s="2"/>
      <c r="G546" s="2"/>
      <c r="H546" s="2"/>
    </row>
    <row r="547" spans="1:8" x14ac:dyDescent="0.25">
      <c r="A547" s="22"/>
      <c r="B547" s="12"/>
      <c r="C547" s="2"/>
      <c r="D547" s="12"/>
      <c r="F547" s="2"/>
      <c r="G547" s="2"/>
      <c r="H547" s="2"/>
    </row>
    <row r="548" spans="1:8" x14ac:dyDescent="0.25">
      <c r="A548" s="22"/>
      <c r="B548" s="12"/>
      <c r="C548" s="2"/>
      <c r="D548" s="12"/>
      <c r="F548" s="2"/>
      <c r="G548" s="2"/>
      <c r="H548" s="2"/>
    </row>
    <row r="549" spans="1:8" x14ac:dyDescent="0.25">
      <c r="A549" s="22"/>
      <c r="B549" s="12"/>
      <c r="C549" s="2"/>
      <c r="D549" s="12"/>
      <c r="F549" s="2"/>
      <c r="G549" s="2"/>
      <c r="H549" s="2"/>
    </row>
    <row r="550" spans="1:8" x14ac:dyDescent="0.25">
      <c r="A550" s="22"/>
      <c r="B550" s="12"/>
      <c r="C550" s="2"/>
      <c r="D550" s="12"/>
      <c r="F550" s="2"/>
      <c r="G550" s="2"/>
      <c r="H550" s="2"/>
    </row>
    <row r="551" spans="1:8" x14ac:dyDescent="0.25">
      <c r="A551" s="22"/>
      <c r="B551" s="12"/>
      <c r="C551" s="2"/>
      <c r="D551" s="12"/>
      <c r="F551" s="2"/>
      <c r="G551" s="2"/>
      <c r="H551" s="2"/>
    </row>
    <row r="552" spans="1:8" x14ac:dyDescent="0.25">
      <c r="A552" s="22"/>
      <c r="B552" s="12"/>
      <c r="C552" s="2"/>
      <c r="D552" s="12"/>
      <c r="F552" s="2"/>
      <c r="G552" s="2"/>
      <c r="H552" s="2"/>
    </row>
    <row r="553" spans="1:8" x14ac:dyDescent="0.25">
      <c r="A553" s="22"/>
      <c r="B553" s="12"/>
      <c r="C553" s="2"/>
      <c r="D553" s="12"/>
      <c r="F553" s="2"/>
      <c r="G553" s="2"/>
      <c r="H553" s="2"/>
    </row>
    <row r="554" spans="1:8" x14ac:dyDescent="0.25">
      <c r="A554" s="22"/>
      <c r="B554" s="12"/>
      <c r="C554" s="2"/>
      <c r="D554" s="12"/>
      <c r="F554" s="2"/>
      <c r="G554" s="2"/>
      <c r="H554" s="2"/>
    </row>
    <row r="555" spans="1:8" x14ac:dyDescent="0.25">
      <c r="A555" s="22"/>
      <c r="B555" s="12"/>
      <c r="C555" s="2"/>
      <c r="D555" s="12"/>
      <c r="F555" s="2"/>
      <c r="G555" s="2"/>
      <c r="H555" s="2"/>
    </row>
    <row r="556" spans="1:8" x14ac:dyDescent="0.25">
      <c r="A556" s="22"/>
      <c r="B556" s="12"/>
      <c r="C556" s="2"/>
      <c r="D556" s="12"/>
      <c r="F556" s="2"/>
      <c r="G556" s="2"/>
      <c r="H556" s="2"/>
    </row>
    <row r="557" spans="1:8" x14ac:dyDescent="0.25">
      <c r="A557" s="22"/>
      <c r="B557" s="12"/>
      <c r="C557" s="2"/>
      <c r="D557" s="12"/>
      <c r="F557" s="2"/>
      <c r="G557" s="2"/>
      <c r="H557" s="2"/>
    </row>
    <row r="558" spans="1:8" x14ac:dyDescent="0.25">
      <c r="A558" s="22"/>
      <c r="B558" s="12"/>
      <c r="C558" s="2"/>
      <c r="D558" s="12"/>
      <c r="F558" s="2"/>
      <c r="G558" s="2"/>
      <c r="H558" s="2"/>
    </row>
    <row r="559" spans="1:8" x14ac:dyDescent="0.25">
      <c r="A559" s="22"/>
      <c r="B559" s="12"/>
      <c r="C559" s="2"/>
      <c r="D559" s="12"/>
      <c r="F559" s="2"/>
      <c r="G559" s="2"/>
      <c r="H559" s="2"/>
    </row>
    <row r="560" spans="1:8" x14ac:dyDescent="0.25">
      <c r="A560" s="22"/>
      <c r="B560" s="12"/>
      <c r="C560" s="2"/>
      <c r="D560" s="12"/>
      <c r="F560" s="2"/>
      <c r="G560" s="2"/>
      <c r="H560" s="2"/>
    </row>
    <row r="561" spans="1:8" x14ac:dyDescent="0.25">
      <c r="A561" s="22"/>
      <c r="B561" s="12"/>
      <c r="C561" s="2"/>
      <c r="D561" s="12"/>
      <c r="F561" s="2"/>
      <c r="G561" s="2"/>
      <c r="H561" s="2"/>
    </row>
    <row r="562" spans="1:8" x14ac:dyDescent="0.25">
      <c r="A562" s="22"/>
      <c r="B562" s="12"/>
      <c r="C562" s="2"/>
      <c r="D562" s="12"/>
      <c r="F562" s="2"/>
      <c r="G562" s="2"/>
      <c r="H562" s="2"/>
    </row>
    <row r="563" spans="1:8" x14ac:dyDescent="0.25">
      <c r="A563" s="22"/>
      <c r="B563" s="12"/>
      <c r="C563" s="2"/>
      <c r="D563" s="12"/>
      <c r="F563" s="2"/>
      <c r="G563" s="2"/>
      <c r="H563" s="2"/>
    </row>
    <row r="564" spans="1:8" x14ac:dyDescent="0.25">
      <c r="A564" s="22"/>
      <c r="B564" s="12"/>
      <c r="C564" s="2"/>
      <c r="D564" s="12"/>
      <c r="F564" s="2"/>
      <c r="G564" s="2"/>
      <c r="H564" s="2"/>
    </row>
    <row r="565" spans="1:8" x14ac:dyDescent="0.25">
      <c r="A565" s="22"/>
      <c r="B565" s="12"/>
      <c r="C565" s="2"/>
      <c r="D565" s="12"/>
      <c r="F565" s="2"/>
      <c r="G565" s="2"/>
      <c r="H565" s="2"/>
    </row>
    <row r="566" spans="1:8" x14ac:dyDescent="0.25">
      <c r="A566" s="22"/>
      <c r="B566" s="12"/>
      <c r="C566" s="2"/>
      <c r="D566" s="12"/>
      <c r="F566" s="2"/>
      <c r="G566" s="2"/>
      <c r="H566" s="2"/>
    </row>
    <row r="567" spans="1:8" x14ac:dyDescent="0.25">
      <c r="A567" s="22"/>
      <c r="B567" s="12"/>
      <c r="C567" s="2"/>
      <c r="D567" s="12"/>
      <c r="F567" s="2"/>
      <c r="G567" s="2"/>
      <c r="H567" s="2"/>
    </row>
    <row r="568" spans="1:8" x14ac:dyDescent="0.25">
      <c r="A568" s="22"/>
      <c r="B568" s="12"/>
      <c r="C568" s="2"/>
      <c r="D568" s="12"/>
      <c r="F568" s="2"/>
      <c r="G568" s="2"/>
      <c r="H568" s="2"/>
    </row>
    <row r="569" spans="1:8" x14ac:dyDescent="0.25">
      <c r="A569" s="22"/>
      <c r="B569" s="12"/>
      <c r="C569" s="2"/>
      <c r="D569" s="12"/>
      <c r="F569" s="2"/>
      <c r="G569" s="2"/>
      <c r="H569" s="2"/>
    </row>
    <row r="570" spans="1:8" x14ac:dyDescent="0.25">
      <c r="A570" s="22"/>
      <c r="B570" s="12"/>
      <c r="C570" s="2"/>
      <c r="D570" s="12"/>
      <c r="F570" s="2"/>
      <c r="G570" s="2"/>
      <c r="H570" s="2"/>
    </row>
    <row r="571" spans="1:8" x14ac:dyDescent="0.25">
      <c r="A571" s="22"/>
      <c r="B571" s="12"/>
      <c r="C571" s="2"/>
      <c r="D571" s="12"/>
      <c r="F571" s="2"/>
      <c r="G571" s="2"/>
      <c r="H571" s="2"/>
    </row>
    <row r="572" spans="1:8" x14ac:dyDescent="0.25">
      <c r="A572" s="22"/>
      <c r="B572" s="12"/>
      <c r="C572" s="2"/>
      <c r="D572" s="12"/>
      <c r="F572" s="2"/>
      <c r="G572" s="2"/>
      <c r="H572" s="2"/>
    </row>
    <row r="573" spans="1:8" x14ac:dyDescent="0.25">
      <c r="A573" s="22"/>
      <c r="B573" s="12"/>
      <c r="C573" s="2"/>
      <c r="D573" s="12"/>
      <c r="F573" s="2"/>
      <c r="G573" s="2"/>
      <c r="H573" s="2"/>
    </row>
    <row r="574" spans="1:8" x14ac:dyDescent="0.25">
      <c r="A574" s="22"/>
      <c r="B574" s="12"/>
      <c r="C574" s="2"/>
      <c r="D574" s="12"/>
      <c r="F574" s="2"/>
      <c r="G574" s="2"/>
      <c r="H574" s="2"/>
    </row>
    <row r="575" spans="1:8" x14ac:dyDescent="0.25">
      <c r="A575" s="22"/>
      <c r="B575" s="12"/>
      <c r="C575" s="2"/>
      <c r="D575" s="12"/>
      <c r="F575" s="2"/>
      <c r="G575" s="2"/>
      <c r="H575" s="2"/>
    </row>
    <row r="576" spans="1:8" x14ac:dyDescent="0.25">
      <c r="A576" s="22"/>
      <c r="B576" s="12"/>
      <c r="C576" s="2"/>
      <c r="D576" s="12"/>
      <c r="F576" s="2"/>
      <c r="G576" s="2"/>
      <c r="H576" s="2"/>
    </row>
    <row r="577" spans="1:8" x14ac:dyDescent="0.25">
      <c r="A577" s="22"/>
      <c r="B577" s="12"/>
      <c r="C577" s="2"/>
      <c r="D577" s="12"/>
      <c r="F577" s="2"/>
      <c r="G577" s="2"/>
      <c r="H577" s="2"/>
    </row>
    <row r="578" spans="1:8" x14ac:dyDescent="0.25">
      <c r="A578" s="22"/>
      <c r="B578" s="12"/>
      <c r="C578" s="2"/>
      <c r="D578" s="12"/>
      <c r="F578" s="2"/>
      <c r="G578" s="2"/>
      <c r="H578" s="2"/>
    </row>
    <row r="579" spans="1:8" x14ac:dyDescent="0.25">
      <c r="A579" s="22"/>
      <c r="B579" s="12"/>
      <c r="C579" s="2"/>
      <c r="D579" s="12"/>
      <c r="F579" s="2"/>
      <c r="G579" s="2"/>
      <c r="H579" s="2"/>
    </row>
    <row r="580" spans="1:8" x14ac:dyDescent="0.25">
      <c r="A580" s="22"/>
      <c r="B580" s="12"/>
      <c r="C580" s="2"/>
      <c r="D580" s="12"/>
      <c r="F580" s="2"/>
      <c r="G580" s="2"/>
      <c r="H580" s="2"/>
    </row>
    <row r="581" spans="1:8" x14ac:dyDescent="0.25">
      <c r="A581" s="22"/>
      <c r="B581" s="12"/>
      <c r="C581" s="2"/>
      <c r="D581" s="12"/>
      <c r="F581" s="2"/>
      <c r="G581" s="2"/>
      <c r="H581" s="2"/>
    </row>
    <row r="582" spans="1:8" x14ac:dyDescent="0.25">
      <c r="A582" s="22"/>
      <c r="B582" s="12"/>
      <c r="C582" s="2"/>
      <c r="D582" s="12"/>
      <c r="F582" s="2"/>
      <c r="G582" s="2"/>
      <c r="H582" s="2"/>
    </row>
    <row r="583" spans="1:8" x14ac:dyDescent="0.25">
      <c r="A583" s="22"/>
      <c r="B583" s="12"/>
      <c r="C583" s="2"/>
      <c r="D583" s="12"/>
      <c r="F583" s="2"/>
      <c r="G583" s="2"/>
      <c r="H583" s="2"/>
    </row>
    <row r="584" spans="1:8" x14ac:dyDescent="0.25">
      <c r="A584" s="22"/>
      <c r="B584" s="12"/>
      <c r="C584" s="2"/>
      <c r="D584" s="12"/>
      <c r="F584" s="2"/>
      <c r="G584" s="2"/>
      <c r="H584" s="2"/>
    </row>
    <row r="585" spans="1:8" x14ac:dyDescent="0.25">
      <c r="A585" s="22"/>
      <c r="B585" s="12"/>
      <c r="C585" s="2"/>
      <c r="D585" s="12"/>
      <c r="F585" s="2"/>
      <c r="G585" s="2"/>
      <c r="H585" s="2"/>
    </row>
    <row r="586" spans="1:8" x14ac:dyDescent="0.25">
      <c r="A586" s="22"/>
      <c r="B586" s="12"/>
      <c r="C586" s="2"/>
      <c r="D586" s="12"/>
      <c r="F586" s="2"/>
      <c r="G586" s="2"/>
      <c r="H586" s="2"/>
    </row>
    <row r="587" spans="1:8" x14ac:dyDescent="0.25">
      <c r="A587" s="22"/>
      <c r="B587" s="12"/>
      <c r="C587" s="2"/>
      <c r="D587" s="12"/>
      <c r="F587" s="2"/>
      <c r="G587" s="2"/>
      <c r="H587" s="2"/>
    </row>
    <row r="588" spans="1:8" x14ac:dyDescent="0.25">
      <c r="A588" s="22"/>
      <c r="B588" s="12"/>
      <c r="C588" s="2"/>
      <c r="D588" s="12"/>
      <c r="F588" s="2"/>
      <c r="G588" s="2"/>
      <c r="H588" s="2"/>
    </row>
    <row r="589" spans="1:8" x14ac:dyDescent="0.25">
      <c r="A589" s="22"/>
      <c r="B589" s="12"/>
      <c r="C589" s="2"/>
      <c r="D589" s="12"/>
      <c r="F589" s="2"/>
      <c r="G589" s="2"/>
      <c r="H589" s="2"/>
    </row>
    <row r="590" spans="1:8" x14ac:dyDescent="0.25">
      <c r="A590" s="22"/>
      <c r="B590" s="12"/>
      <c r="C590" s="2"/>
      <c r="D590" s="12"/>
      <c r="F590" s="2"/>
      <c r="G590" s="2"/>
      <c r="H590" s="2"/>
    </row>
    <row r="591" spans="1:8" x14ac:dyDescent="0.25">
      <c r="A591" s="22"/>
      <c r="B591" s="12"/>
      <c r="C591" s="2"/>
      <c r="D591" s="12"/>
      <c r="F591" s="2"/>
      <c r="G591" s="2"/>
      <c r="H591" s="2"/>
    </row>
    <row r="592" spans="1:8" x14ac:dyDescent="0.25">
      <c r="A592" s="22"/>
      <c r="B592" s="12"/>
      <c r="C592" s="2"/>
      <c r="D592" s="12"/>
      <c r="F592" s="2"/>
      <c r="G592" s="2"/>
      <c r="H592" s="2"/>
    </row>
    <row r="593" spans="1:8" x14ac:dyDescent="0.25">
      <c r="A593" s="22"/>
      <c r="B593" s="12"/>
      <c r="C593" s="2"/>
      <c r="D593" s="12"/>
      <c r="F593" s="2"/>
      <c r="G593" s="2"/>
      <c r="H593" s="2"/>
    </row>
    <row r="594" spans="1:8" x14ac:dyDescent="0.25">
      <c r="A594" s="22"/>
      <c r="B594" s="12"/>
      <c r="C594" s="2"/>
      <c r="D594" s="12"/>
      <c r="F594" s="2"/>
      <c r="G594" s="2"/>
      <c r="H594" s="2"/>
    </row>
    <row r="595" spans="1:8" x14ac:dyDescent="0.25">
      <c r="A595" s="22"/>
      <c r="B595" s="12"/>
      <c r="C595" s="2"/>
      <c r="D595" s="12"/>
      <c r="F595" s="2"/>
      <c r="G595" s="2"/>
      <c r="H595" s="2"/>
    </row>
    <row r="596" spans="1:8" x14ac:dyDescent="0.25">
      <c r="A596" s="22"/>
      <c r="B596" s="12"/>
      <c r="C596" s="2"/>
      <c r="D596" s="12"/>
      <c r="F596" s="2"/>
      <c r="G596" s="2"/>
      <c r="H596" s="2"/>
    </row>
    <row r="597" spans="1:8" x14ac:dyDescent="0.25">
      <c r="A597" s="22"/>
      <c r="B597" s="12"/>
      <c r="C597" s="2"/>
      <c r="D597" s="12"/>
      <c r="F597" s="2"/>
      <c r="G597" s="2"/>
      <c r="H597" s="2"/>
    </row>
    <row r="598" spans="1:8" x14ac:dyDescent="0.25">
      <c r="A598" s="22"/>
      <c r="B598" s="12"/>
      <c r="C598" s="2"/>
      <c r="D598" s="12"/>
      <c r="F598" s="2"/>
      <c r="G598" s="2"/>
      <c r="H598" s="2"/>
    </row>
    <row r="599" spans="1:8" x14ac:dyDescent="0.25">
      <c r="A599" s="22"/>
      <c r="B599" s="12"/>
      <c r="C599" s="2"/>
      <c r="D599" s="12"/>
      <c r="F599" s="2"/>
      <c r="G599" s="2"/>
      <c r="H599" s="2"/>
    </row>
    <row r="600" spans="1:8" x14ac:dyDescent="0.25">
      <c r="A600" s="22"/>
      <c r="B600" s="12"/>
      <c r="C600" s="2"/>
      <c r="D600" s="12"/>
      <c r="F600" s="2"/>
      <c r="G600" s="2"/>
      <c r="H600" s="2"/>
    </row>
    <row r="601" spans="1:8" x14ac:dyDescent="0.25">
      <c r="A601" s="22"/>
      <c r="B601" s="12"/>
      <c r="C601" s="2"/>
      <c r="D601" s="12"/>
      <c r="F601" s="2"/>
      <c r="G601" s="2"/>
      <c r="H601" s="2"/>
    </row>
    <row r="602" spans="1:8" x14ac:dyDescent="0.25">
      <c r="A602" s="22"/>
      <c r="B602" s="12"/>
      <c r="C602" s="2"/>
      <c r="D602" s="12"/>
      <c r="F602" s="2"/>
      <c r="G602" s="2"/>
      <c r="H602" s="2"/>
    </row>
    <row r="603" spans="1:8" x14ac:dyDescent="0.25">
      <c r="A603" s="22"/>
      <c r="B603" s="12"/>
      <c r="C603" s="2"/>
      <c r="D603" s="12"/>
      <c r="F603" s="2"/>
      <c r="G603" s="2"/>
      <c r="H603" s="2"/>
    </row>
    <row r="604" spans="1:8" x14ac:dyDescent="0.25">
      <c r="A604" s="22"/>
      <c r="B604" s="12"/>
      <c r="C604" s="2"/>
      <c r="D604" s="12"/>
      <c r="F604" s="2"/>
      <c r="G604" s="2"/>
      <c r="H604" s="2"/>
    </row>
    <row r="605" spans="1:8" x14ac:dyDescent="0.25">
      <c r="A605" s="22"/>
      <c r="B605" s="12"/>
      <c r="C605" s="2"/>
      <c r="D605" s="12"/>
      <c r="F605" s="2"/>
      <c r="G605" s="2"/>
      <c r="H605" s="2"/>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744B2-862B-48C8-B4DC-62727CE74A5B}">
  <dimension ref="A1:D100"/>
  <sheetViews>
    <sheetView workbookViewId="0">
      <selection activeCell="A34" sqref="A34:XFD34"/>
    </sheetView>
  </sheetViews>
  <sheetFormatPr defaultColWidth="28.140625" defaultRowHeight="15.75" x14ac:dyDescent="0.25"/>
  <cols>
    <col min="1" max="1" width="25.140625" style="24" bestFit="1" customWidth="1"/>
    <col min="2" max="2" width="37.42578125" style="24" customWidth="1"/>
    <col min="3" max="3" width="36.42578125" customWidth="1"/>
    <col min="4" max="4" width="36.85546875" customWidth="1"/>
  </cols>
  <sheetData>
    <row r="1" spans="1:4" ht="16.5" thickBot="1" x14ac:dyDescent="0.3">
      <c r="A1" s="27" t="s">
        <v>728</v>
      </c>
      <c r="B1" s="27" t="s">
        <v>2</v>
      </c>
      <c r="C1" s="6" t="s">
        <v>723</v>
      </c>
      <c r="D1" s="6" t="s">
        <v>724</v>
      </c>
    </row>
    <row r="2" spans="1:4" ht="16.5" thickBot="1" x14ac:dyDescent="0.3">
      <c r="A2" s="26">
        <v>1100</v>
      </c>
      <c r="B2" s="25" t="s">
        <v>403</v>
      </c>
      <c r="C2" t="s">
        <v>748</v>
      </c>
    </row>
    <row r="3" spans="1:4" ht="16.5" thickBot="1" x14ac:dyDescent="0.3">
      <c r="A3" s="25">
        <v>1101</v>
      </c>
      <c r="B3" s="25" t="s">
        <v>734</v>
      </c>
      <c r="C3" s="26">
        <v>1100</v>
      </c>
      <c r="D3" s="26" t="s">
        <v>403</v>
      </c>
    </row>
    <row r="4" spans="1:4" ht="16.5" thickBot="1" x14ac:dyDescent="0.3">
      <c r="A4" s="25">
        <v>1105</v>
      </c>
      <c r="B4" s="25" t="s">
        <v>417</v>
      </c>
      <c r="C4" t="s">
        <v>748</v>
      </c>
    </row>
    <row r="5" spans="1:4" ht="16.5" thickBot="1" x14ac:dyDescent="0.3">
      <c r="A5" s="26">
        <v>1110</v>
      </c>
      <c r="B5" s="25" t="s">
        <v>409</v>
      </c>
      <c r="C5" s="25">
        <v>1101</v>
      </c>
      <c r="D5" s="25" t="s">
        <v>734</v>
      </c>
    </row>
    <row r="6" spans="1:4" ht="16.5" thickBot="1" x14ac:dyDescent="0.3">
      <c r="A6" s="25">
        <v>1115</v>
      </c>
      <c r="B6" s="25" t="s">
        <v>429</v>
      </c>
      <c r="C6" s="26">
        <v>1110</v>
      </c>
      <c r="D6" s="26" t="s">
        <v>409</v>
      </c>
    </row>
    <row r="7" spans="1:4" ht="16.5" thickBot="1" x14ac:dyDescent="0.3">
      <c r="A7" s="25">
        <v>1120</v>
      </c>
      <c r="B7" s="25" t="s">
        <v>414</v>
      </c>
      <c r="C7" s="26">
        <v>1110</v>
      </c>
      <c r="D7" s="26" t="s">
        <v>409</v>
      </c>
    </row>
    <row r="8" spans="1:4" ht="16.5" thickBot="1" x14ac:dyDescent="0.3">
      <c r="A8" s="25">
        <v>1125</v>
      </c>
      <c r="B8" s="25" t="s">
        <v>423</v>
      </c>
      <c r="C8" s="29">
        <v>1110</v>
      </c>
      <c r="D8" s="29" t="s">
        <v>409</v>
      </c>
    </row>
    <row r="9" spans="1:4" ht="16.5" thickBot="1" x14ac:dyDescent="0.3">
      <c r="A9" s="25">
        <v>1135</v>
      </c>
      <c r="B9" s="25" t="s">
        <v>395</v>
      </c>
      <c r="C9" t="s">
        <v>748</v>
      </c>
    </row>
    <row r="10" spans="1:4" ht="16.5" thickBot="1" x14ac:dyDescent="0.3">
      <c r="A10" s="25">
        <v>2100</v>
      </c>
      <c r="B10" s="25" t="s">
        <v>737</v>
      </c>
      <c r="C10" s="26">
        <v>1100</v>
      </c>
      <c r="D10" s="26" t="s">
        <v>403</v>
      </c>
    </row>
    <row r="11" spans="1:4" ht="16.5" thickBot="1" x14ac:dyDescent="0.3">
      <c r="A11" s="25">
        <v>2101</v>
      </c>
      <c r="B11" s="25" t="s">
        <v>747</v>
      </c>
      <c r="C11" s="25">
        <v>2100</v>
      </c>
      <c r="D11" s="25" t="s">
        <v>737</v>
      </c>
    </row>
    <row r="12" spans="1:4" ht="16.5" thickBot="1" x14ac:dyDescent="0.3">
      <c r="A12" s="26">
        <v>2110</v>
      </c>
      <c r="B12" s="25" t="s">
        <v>672</v>
      </c>
      <c r="C12" t="s">
        <v>748</v>
      </c>
    </row>
    <row r="13" spans="1:4" ht="16.5" thickBot="1" x14ac:dyDescent="0.3">
      <c r="A13" s="25">
        <v>2125</v>
      </c>
      <c r="B13" s="25" t="s">
        <v>676</v>
      </c>
      <c r="C13" t="s">
        <v>748</v>
      </c>
    </row>
    <row r="14" spans="1:4" ht="16.5" thickBot="1" x14ac:dyDescent="0.3">
      <c r="A14" s="25">
        <v>3100</v>
      </c>
      <c r="B14" s="25" t="s">
        <v>420</v>
      </c>
      <c r="C14" t="s">
        <v>748</v>
      </c>
    </row>
    <row r="15" spans="1:4" ht="16.5" thickBot="1" x14ac:dyDescent="0.3">
      <c r="A15" s="26">
        <v>3200</v>
      </c>
      <c r="B15" s="25" t="s">
        <v>738</v>
      </c>
      <c r="C15" t="s">
        <v>748</v>
      </c>
    </row>
    <row r="16" spans="1:4" ht="16.5" thickBot="1" x14ac:dyDescent="0.3">
      <c r="A16" s="25">
        <v>5100</v>
      </c>
      <c r="B16" s="25" t="s">
        <v>391</v>
      </c>
      <c r="C16" s="29">
        <v>1110</v>
      </c>
      <c r="D16" s="28" t="s">
        <v>409</v>
      </c>
    </row>
    <row r="17" spans="1:4" ht="16.5" thickBot="1" x14ac:dyDescent="0.3">
      <c r="A17" s="26">
        <v>5110</v>
      </c>
      <c r="B17" s="25" t="s">
        <v>81</v>
      </c>
      <c r="C17" s="25">
        <v>5100</v>
      </c>
      <c r="D17" s="25" t="s">
        <v>391</v>
      </c>
    </row>
    <row r="18" spans="1:4" ht="16.5" thickBot="1" x14ac:dyDescent="0.3">
      <c r="A18" s="25">
        <v>5113</v>
      </c>
      <c r="B18" s="25" t="s">
        <v>72</v>
      </c>
      <c r="C18" s="26">
        <v>5110</v>
      </c>
      <c r="D18" s="26" t="s">
        <v>81</v>
      </c>
    </row>
    <row r="19" spans="1:4" ht="16.5" thickBot="1" x14ac:dyDescent="0.3">
      <c r="A19" s="26">
        <v>5115</v>
      </c>
      <c r="B19" s="25" t="s">
        <v>66</v>
      </c>
      <c r="C19" s="25">
        <v>10801</v>
      </c>
      <c r="D19" s="25" t="s">
        <v>475</v>
      </c>
    </row>
    <row r="20" spans="1:4" ht="16.5" thickBot="1" x14ac:dyDescent="0.3">
      <c r="A20" s="25">
        <v>6100</v>
      </c>
      <c r="B20" s="25" t="s">
        <v>683</v>
      </c>
      <c r="C20" t="s">
        <v>748</v>
      </c>
    </row>
    <row r="21" spans="1:4" ht="16.5" thickBot="1" x14ac:dyDescent="0.3">
      <c r="A21" s="26">
        <v>6103</v>
      </c>
      <c r="B21" s="25" t="s">
        <v>740</v>
      </c>
      <c r="C21" s="25">
        <v>6104</v>
      </c>
      <c r="D21" s="25" t="s">
        <v>95</v>
      </c>
    </row>
    <row r="22" spans="1:4" ht="32.25" thickBot="1" x14ac:dyDescent="0.3">
      <c r="A22" s="25">
        <v>6104</v>
      </c>
      <c r="B22" s="25" t="s">
        <v>95</v>
      </c>
      <c r="C22" s="25">
        <v>6100</v>
      </c>
      <c r="D22" s="25" t="s">
        <v>683</v>
      </c>
    </row>
    <row r="23" spans="1:4" ht="16.5" thickBot="1" x14ac:dyDescent="0.3">
      <c r="A23" s="25">
        <v>10105</v>
      </c>
      <c r="B23" s="25" t="s">
        <v>77</v>
      </c>
      <c r="C23" s="25">
        <v>2100</v>
      </c>
      <c r="D23" s="25" t="s">
        <v>737</v>
      </c>
    </row>
    <row r="24" spans="1:4" ht="32.25" thickBot="1" x14ac:dyDescent="0.3">
      <c r="A24" s="26">
        <v>10200</v>
      </c>
      <c r="B24" s="25" t="s">
        <v>22</v>
      </c>
      <c r="C24" s="25">
        <v>10205</v>
      </c>
      <c r="D24" s="25" t="s">
        <v>49</v>
      </c>
    </row>
    <row r="25" spans="1:4" ht="16.5" thickBot="1" x14ac:dyDescent="0.3">
      <c r="A25" s="26">
        <v>10201</v>
      </c>
      <c r="B25" s="25" t="s">
        <v>752</v>
      </c>
      <c r="C25" s="25">
        <v>10202</v>
      </c>
      <c r="D25" s="25" t="s">
        <v>758</v>
      </c>
    </row>
    <row r="26" spans="1:4" ht="16.5" thickBot="1" x14ac:dyDescent="0.3">
      <c r="A26" s="25">
        <v>10202</v>
      </c>
      <c r="B26" s="25" t="s">
        <v>758</v>
      </c>
      <c r="C26" s="25">
        <v>10203</v>
      </c>
      <c r="D26" s="25" t="s">
        <v>759</v>
      </c>
    </row>
    <row r="27" spans="1:4" ht="16.5" thickBot="1" x14ac:dyDescent="0.3">
      <c r="A27" s="25">
        <v>10203</v>
      </c>
      <c r="B27" s="25" t="s">
        <v>759</v>
      </c>
      <c r="C27" s="25">
        <v>10105</v>
      </c>
      <c r="D27" s="25" t="s">
        <v>77</v>
      </c>
    </row>
    <row r="28" spans="1:4" ht="32.25" thickBot="1" x14ac:dyDescent="0.3">
      <c r="A28" s="26">
        <v>10204</v>
      </c>
      <c r="B28" s="25" t="s">
        <v>729</v>
      </c>
      <c r="C28" s="25">
        <v>10205</v>
      </c>
      <c r="D28" s="25" t="s">
        <v>49</v>
      </c>
    </row>
    <row r="29" spans="1:4" ht="16.5" thickBot="1" x14ac:dyDescent="0.3">
      <c r="A29" s="25">
        <v>10205</v>
      </c>
      <c r="B29" s="25" t="s">
        <v>49</v>
      </c>
      <c r="C29" s="26">
        <v>10201</v>
      </c>
      <c r="D29" s="25" t="s">
        <v>752</v>
      </c>
    </row>
    <row r="30" spans="1:4" ht="16.5" thickBot="1" x14ac:dyDescent="0.3">
      <c r="A30" s="25">
        <v>10206</v>
      </c>
      <c r="B30" s="25" t="s">
        <v>57</v>
      </c>
      <c r="C30" s="25">
        <v>10105</v>
      </c>
      <c r="D30" s="25" t="s">
        <v>77</v>
      </c>
    </row>
    <row r="31" spans="1:4" ht="16.5" thickBot="1" x14ac:dyDescent="0.3">
      <c r="A31" s="26">
        <v>10210</v>
      </c>
      <c r="B31" s="25" t="s">
        <v>730</v>
      </c>
      <c r="C31" t="s">
        <v>748</v>
      </c>
    </row>
    <row r="32" spans="1:4" ht="16.5" thickBot="1" x14ac:dyDescent="0.3">
      <c r="A32" s="25">
        <v>10301</v>
      </c>
      <c r="B32" s="25" t="s">
        <v>222</v>
      </c>
      <c r="C32" s="26">
        <v>10302</v>
      </c>
      <c r="D32" s="26" t="s">
        <v>240</v>
      </c>
    </row>
    <row r="33" spans="1:4" ht="16.5" thickBot="1" x14ac:dyDescent="0.3">
      <c r="A33" s="26">
        <v>10302</v>
      </c>
      <c r="B33" s="25" t="s">
        <v>240</v>
      </c>
      <c r="C33" s="25">
        <v>10303</v>
      </c>
      <c r="D33" s="25" t="s">
        <v>200</v>
      </c>
    </row>
    <row r="34" spans="1:4" ht="32.25" thickBot="1" x14ac:dyDescent="0.3">
      <c r="A34" s="25">
        <v>10303</v>
      </c>
      <c r="B34" s="25" t="s">
        <v>200</v>
      </c>
      <c r="C34" s="25">
        <v>10205</v>
      </c>
      <c r="D34" s="25" t="s">
        <v>49</v>
      </c>
    </row>
    <row r="35" spans="1:4" ht="16.5" thickBot="1" x14ac:dyDescent="0.3">
      <c r="A35" s="26">
        <v>10401</v>
      </c>
      <c r="B35" s="25" t="s">
        <v>184</v>
      </c>
      <c r="C35" s="25">
        <v>10402</v>
      </c>
      <c r="D35" s="25" t="s">
        <v>458</v>
      </c>
    </row>
    <row r="36" spans="1:4" ht="16.5" thickBot="1" x14ac:dyDescent="0.3">
      <c r="A36" s="25">
        <v>10402</v>
      </c>
      <c r="B36" s="25" t="s">
        <v>458</v>
      </c>
      <c r="C36" s="26">
        <v>10403</v>
      </c>
      <c r="D36" s="26" t="s">
        <v>249</v>
      </c>
    </row>
    <row r="37" spans="1:4" ht="16.5" thickBot="1" x14ac:dyDescent="0.3">
      <c r="A37" s="26">
        <v>10403</v>
      </c>
      <c r="B37" s="25" t="s">
        <v>249</v>
      </c>
      <c r="C37" s="25">
        <v>10301</v>
      </c>
      <c r="D37" s="25" t="s">
        <v>222</v>
      </c>
    </row>
    <row r="38" spans="1:4" ht="16.5" thickBot="1" x14ac:dyDescent="0.3">
      <c r="A38" s="25">
        <v>10501</v>
      </c>
      <c r="B38" s="25" t="s">
        <v>156</v>
      </c>
      <c r="C38" s="26">
        <v>10502</v>
      </c>
      <c r="D38" s="26" t="s">
        <v>187</v>
      </c>
    </row>
    <row r="39" spans="1:4" ht="16.5" thickBot="1" x14ac:dyDescent="0.3">
      <c r="A39" s="26">
        <v>10502</v>
      </c>
      <c r="B39" s="25" t="s">
        <v>187</v>
      </c>
      <c r="C39" s="25">
        <v>10503</v>
      </c>
      <c r="D39" s="25" t="s">
        <v>164</v>
      </c>
    </row>
    <row r="40" spans="1:4" ht="16.5" thickBot="1" x14ac:dyDescent="0.3">
      <c r="A40" s="25">
        <v>10503</v>
      </c>
      <c r="B40" s="25" t="s">
        <v>164</v>
      </c>
      <c r="C40" s="26">
        <v>10401</v>
      </c>
      <c r="D40" s="26" t="s">
        <v>184</v>
      </c>
    </row>
    <row r="41" spans="1:4" ht="16.5" thickBot="1" x14ac:dyDescent="0.3">
      <c r="A41" s="26">
        <v>10601</v>
      </c>
      <c r="B41" s="25" t="s">
        <v>219</v>
      </c>
      <c r="C41" s="25">
        <v>10602</v>
      </c>
      <c r="D41" s="25" t="s">
        <v>297</v>
      </c>
    </row>
    <row r="42" spans="1:4" ht="16.5" thickBot="1" x14ac:dyDescent="0.3">
      <c r="A42" s="25">
        <v>10602</v>
      </c>
      <c r="B42" s="25" t="s">
        <v>297</v>
      </c>
      <c r="C42" s="26">
        <v>10603</v>
      </c>
      <c r="D42" s="26" t="s">
        <v>146</v>
      </c>
    </row>
    <row r="43" spans="1:4" ht="16.5" thickBot="1" x14ac:dyDescent="0.3">
      <c r="A43" s="26">
        <v>10603</v>
      </c>
      <c r="B43" s="25" t="s">
        <v>146</v>
      </c>
      <c r="C43" s="25">
        <v>10501</v>
      </c>
      <c r="D43" s="25" t="s">
        <v>156</v>
      </c>
    </row>
    <row r="44" spans="1:4" ht="16.5" thickBot="1" x14ac:dyDescent="0.3">
      <c r="A44" s="25">
        <v>10701</v>
      </c>
      <c r="B44" s="25" t="s">
        <v>731</v>
      </c>
      <c r="C44" s="25">
        <v>10801</v>
      </c>
      <c r="D44" s="25" t="s">
        <v>475</v>
      </c>
    </row>
    <row r="45" spans="1:4" ht="16.5" thickBot="1" x14ac:dyDescent="0.3">
      <c r="A45" s="26">
        <v>10705</v>
      </c>
      <c r="B45" s="25" t="s">
        <v>136</v>
      </c>
      <c r="C45" s="26">
        <v>10601</v>
      </c>
      <c r="D45" s="26" t="s">
        <v>219</v>
      </c>
    </row>
    <row r="46" spans="1:4" ht="16.5" thickBot="1" x14ac:dyDescent="0.3">
      <c r="A46" s="25">
        <v>10801</v>
      </c>
      <c r="B46" s="25" t="s">
        <v>475</v>
      </c>
      <c r="C46" s="26">
        <v>10811</v>
      </c>
      <c r="D46" s="25" t="s">
        <v>161</v>
      </c>
    </row>
    <row r="47" spans="1:4" ht="16.5" thickBot="1" x14ac:dyDescent="0.3">
      <c r="A47" s="26">
        <v>10802</v>
      </c>
      <c r="B47" s="25" t="s">
        <v>141</v>
      </c>
      <c r="C47" s="26">
        <v>10812</v>
      </c>
      <c r="D47" s="25" t="s">
        <v>133</v>
      </c>
    </row>
    <row r="48" spans="1:4" ht="16.5" thickBot="1" x14ac:dyDescent="0.3">
      <c r="A48" s="25">
        <v>10803</v>
      </c>
      <c r="B48" s="25" t="s">
        <v>272</v>
      </c>
      <c r="C48" s="25">
        <v>10813</v>
      </c>
      <c r="D48" s="25" t="s">
        <v>346</v>
      </c>
    </row>
    <row r="49" spans="1:4" ht="16.5" thickBot="1" x14ac:dyDescent="0.3">
      <c r="A49" s="26">
        <v>10804</v>
      </c>
      <c r="B49" s="25" t="s">
        <v>167</v>
      </c>
      <c r="C49" s="26">
        <v>10814</v>
      </c>
      <c r="D49" s="25" t="s">
        <v>127</v>
      </c>
    </row>
    <row r="50" spans="1:4" ht="16.5" thickBot="1" x14ac:dyDescent="0.3">
      <c r="A50" s="25">
        <v>10805</v>
      </c>
      <c r="B50" s="25" t="s">
        <v>522</v>
      </c>
      <c r="C50" s="25">
        <v>10815</v>
      </c>
      <c r="D50" s="25" t="s">
        <v>480</v>
      </c>
    </row>
    <row r="51" spans="1:4" ht="16.5" thickBot="1" x14ac:dyDescent="0.3">
      <c r="A51" s="26">
        <v>10811</v>
      </c>
      <c r="B51" s="25" t="s">
        <v>161</v>
      </c>
      <c r="C51" s="26">
        <v>10802</v>
      </c>
      <c r="D51" s="25" t="s">
        <v>141</v>
      </c>
    </row>
    <row r="52" spans="1:4" ht="16.5" thickBot="1" x14ac:dyDescent="0.3">
      <c r="A52" s="26">
        <v>10812</v>
      </c>
      <c r="B52" s="25" t="s">
        <v>133</v>
      </c>
      <c r="C52" s="25">
        <v>10803</v>
      </c>
      <c r="D52" s="25" t="s">
        <v>272</v>
      </c>
    </row>
    <row r="53" spans="1:4" ht="16.5" thickBot="1" x14ac:dyDescent="0.3">
      <c r="A53" s="25">
        <v>10813</v>
      </c>
      <c r="B53" s="25" t="s">
        <v>346</v>
      </c>
      <c r="C53" s="26">
        <v>10804</v>
      </c>
      <c r="D53" s="25" t="s">
        <v>167</v>
      </c>
    </row>
    <row r="54" spans="1:4" ht="16.5" thickBot="1" x14ac:dyDescent="0.3">
      <c r="A54" s="26">
        <v>10814</v>
      </c>
      <c r="B54" s="25" t="s">
        <v>127</v>
      </c>
      <c r="C54" s="25">
        <v>10805</v>
      </c>
      <c r="D54" s="25" t="s">
        <v>522</v>
      </c>
    </row>
    <row r="55" spans="1:4" ht="16.5" thickBot="1" x14ac:dyDescent="0.3">
      <c r="A55" s="25">
        <v>10815</v>
      </c>
      <c r="B55" s="25" t="s">
        <v>480</v>
      </c>
      <c r="C55" s="26">
        <v>10601</v>
      </c>
      <c r="D55" s="26" t="s">
        <v>219</v>
      </c>
    </row>
    <row r="56" spans="1:4" ht="32.25" thickBot="1" x14ac:dyDescent="0.3">
      <c r="A56" s="26">
        <v>10905</v>
      </c>
      <c r="B56" s="25" t="s">
        <v>60</v>
      </c>
      <c r="C56" s="25">
        <v>10206</v>
      </c>
      <c r="D56" s="25" t="s">
        <v>57</v>
      </c>
    </row>
    <row r="57" spans="1:4" ht="16.5" thickBot="1" x14ac:dyDescent="0.3">
      <c r="A57" s="25">
        <v>10910</v>
      </c>
      <c r="B57" s="25" t="s">
        <v>732</v>
      </c>
      <c r="C57" s="28">
        <v>10801</v>
      </c>
      <c r="D57" s="28" t="s">
        <v>475</v>
      </c>
    </row>
    <row r="58" spans="1:4" ht="16.5" thickBot="1" x14ac:dyDescent="0.3">
      <c r="A58" s="26">
        <v>10920</v>
      </c>
      <c r="B58" s="25" t="s">
        <v>733</v>
      </c>
      <c r="C58" t="s">
        <v>748</v>
      </c>
    </row>
    <row r="59" spans="1:4" ht="16.5" thickBot="1" x14ac:dyDescent="0.3">
      <c r="A59" s="25">
        <v>11100</v>
      </c>
      <c r="B59" s="25" t="s">
        <v>749</v>
      </c>
      <c r="C59" s="28">
        <v>10105</v>
      </c>
      <c r="D59" s="28" t="s">
        <v>77</v>
      </c>
    </row>
    <row r="60" spans="1:4" ht="16.5" thickBot="1" x14ac:dyDescent="0.3">
      <c r="A60" s="26">
        <v>11202</v>
      </c>
      <c r="B60" s="25" t="s">
        <v>744</v>
      </c>
      <c r="C60" s="29">
        <v>11203</v>
      </c>
      <c r="D60" s="28" t="s">
        <v>745</v>
      </c>
    </row>
    <row r="61" spans="1:4" ht="16.5" thickBot="1" x14ac:dyDescent="0.3">
      <c r="A61" s="26">
        <v>11203</v>
      </c>
      <c r="B61" s="25" t="s">
        <v>745</v>
      </c>
      <c r="C61" s="26">
        <v>11204</v>
      </c>
      <c r="D61" s="25" t="s">
        <v>746</v>
      </c>
    </row>
    <row r="62" spans="1:4" ht="32.25" thickBot="1" x14ac:dyDescent="0.3">
      <c r="A62" s="26">
        <v>11204</v>
      </c>
      <c r="B62" s="25" t="s">
        <v>746</v>
      </c>
      <c r="C62" s="25">
        <v>11100</v>
      </c>
      <c r="D62" s="25" t="s">
        <v>749</v>
      </c>
    </row>
    <row r="63" spans="1:4" ht="16.5" thickBot="1" x14ac:dyDescent="0.3">
      <c r="A63" s="26">
        <v>11205</v>
      </c>
      <c r="B63" s="25" t="s">
        <v>735</v>
      </c>
      <c r="C63" s="29">
        <v>11202</v>
      </c>
      <c r="D63" s="28" t="s">
        <v>744</v>
      </c>
    </row>
    <row r="64" spans="1:4" ht="16.5" thickBot="1" x14ac:dyDescent="0.3">
      <c r="A64" s="26">
        <v>11210</v>
      </c>
      <c r="B64" s="25" t="s">
        <v>736</v>
      </c>
      <c r="C64" t="s">
        <v>748</v>
      </c>
    </row>
    <row r="65" spans="1:4" ht="16.5" thickBot="1" x14ac:dyDescent="0.3">
      <c r="A65" s="26">
        <v>11301</v>
      </c>
      <c r="B65" s="25" t="s">
        <v>121</v>
      </c>
      <c r="C65" s="29">
        <v>11302</v>
      </c>
      <c r="D65" s="28" t="s">
        <v>767</v>
      </c>
    </row>
    <row r="66" spans="1:4" ht="16.5" thickBot="1" x14ac:dyDescent="0.3">
      <c r="A66" s="26">
        <v>11302</v>
      </c>
      <c r="B66" s="25" t="s">
        <v>767</v>
      </c>
      <c r="C66" s="25">
        <v>20100</v>
      </c>
      <c r="D66" s="25" t="s">
        <v>28</v>
      </c>
    </row>
    <row r="67" spans="1:4" ht="16.5" thickBot="1" x14ac:dyDescent="0.3">
      <c r="A67" s="26">
        <v>11401</v>
      </c>
      <c r="B67" s="25" t="s">
        <v>760</v>
      </c>
      <c r="C67" s="28">
        <v>11402</v>
      </c>
      <c r="D67" s="28" t="s">
        <v>105</v>
      </c>
    </row>
    <row r="68" spans="1:4" ht="16.5" thickBot="1" x14ac:dyDescent="0.3">
      <c r="A68" s="25">
        <v>11402</v>
      </c>
      <c r="B68" s="25" t="s">
        <v>105</v>
      </c>
      <c r="C68" s="26">
        <v>11403</v>
      </c>
      <c r="D68" s="26" t="s">
        <v>761</v>
      </c>
    </row>
    <row r="69" spans="1:4" ht="16.5" thickBot="1" x14ac:dyDescent="0.3">
      <c r="A69" s="26">
        <v>11403</v>
      </c>
      <c r="B69" s="25" t="s">
        <v>761</v>
      </c>
      <c r="C69" s="26">
        <v>11301</v>
      </c>
      <c r="D69" s="26" t="s">
        <v>121</v>
      </c>
    </row>
    <row r="70" spans="1:4" ht="16.5" thickBot="1" x14ac:dyDescent="0.3">
      <c r="A70" s="25">
        <v>11501</v>
      </c>
      <c r="B70" s="25" t="s">
        <v>765</v>
      </c>
      <c r="C70" s="26">
        <v>11502</v>
      </c>
      <c r="D70" s="26" t="s">
        <v>766</v>
      </c>
    </row>
    <row r="71" spans="1:4" ht="16.5" thickBot="1" x14ac:dyDescent="0.3">
      <c r="A71" s="26">
        <v>11502</v>
      </c>
      <c r="B71" s="25" t="s">
        <v>766</v>
      </c>
      <c r="C71" s="25">
        <v>11503</v>
      </c>
      <c r="D71" s="25" t="s">
        <v>113</v>
      </c>
    </row>
    <row r="72" spans="1:4" ht="16.5" thickBot="1" x14ac:dyDescent="0.3">
      <c r="A72" s="25">
        <v>11503</v>
      </c>
      <c r="B72" s="25" t="s">
        <v>113</v>
      </c>
      <c r="C72" s="29">
        <v>11401</v>
      </c>
      <c r="D72" s="28" t="s">
        <v>760</v>
      </c>
    </row>
    <row r="73" spans="1:4" ht="16.5" thickBot="1" x14ac:dyDescent="0.3">
      <c r="A73" s="26">
        <v>11601</v>
      </c>
      <c r="B73" s="25" t="s">
        <v>762</v>
      </c>
      <c r="C73" s="29">
        <v>11602</v>
      </c>
      <c r="D73" s="28" t="s">
        <v>763</v>
      </c>
    </row>
    <row r="74" spans="1:4" ht="16.5" thickBot="1" x14ac:dyDescent="0.3">
      <c r="A74" s="26">
        <v>11602</v>
      </c>
      <c r="B74" s="25" t="s">
        <v>763</v>
      </c>
      <c r="C74" s="29">
        <v>11603</v>
      </c>
      <c r="D74" s="28" t="s">
        <v>764</v>
      </c>
    </row>
    <row r="75" spans="1:4" ht="16.5" thickBot="1" x14ac:dyDescent="0.3">
      <c r="A75" s="26">
        <v>11603</v>
      </c>
      <c r="B75" s="25" t="s">
        <v>764</v>
      </c>
      <c r="C75" s="25">
        <v>11501</v>
      </c>
      <c r="D75" s="25" t="s">
        <v>765</v>
      </c>
    </row>
    <row r="76" spans="1:4" ht="16.5" thickBot="1" x14ac:dyDescent="0.3">
      <c r="A76" s="25">
        <v>20100</v>
      </c>
      <c r="B76" s="25" t="s">
        <v>28</v>
      </c>
      <c r="C76" s="25">
        <v>10105</v>
      </c>
      <c r="D76" s="25" t="s">
        <v>77</v>
      </c>
    </row>
    <row r="77" spans="1:4" ht="16.5" thickBot="1" x14ac:dyDescent="0.3">
      <c r="A77" s="26">
        <v>20202</v>
      </c>
      <c r="B77" s="25" t="s">
        <v>92</v>
      </c>
      <c r="C77" s="25">
        <v>20203</v>
      </c>
      <c r="D77" s="25" t="s">
        <v>89</v>
      </c>
    </row>
    <row r="78" spans="1:4" ht="16.5" thickBot="1" x14ac:dyDescent="0.3">
      <c r="A78" s="25">
        <v>20203</v>
      </c>
      <c r="B78" s="25" t="s">
        <v>89</v>
      </c>
      <c r="C78" s="25">
        <v>20204</v>
      </c>
      <c r="D78" s="25" t="s">
        <v>750</v>
      </c>
    </row>
    <row r="79" spans="1:4" ht="16.5" thickBot="1" x14ac:dyDescent="0.3">
      <c r="A79" s="25">
        <v>20204</v>
      </c>
      <c r="B79" s="25" t="s">
        <v>750</v>
      </c>
      <c r="C79" s="25">
        <v>20205</v>
      </c>
      <c r="D79" s="25" t="s">
        <v>751</v>
      </c>
    </row>
    <row r="80" spans="1:4" ht="16.5" thickBot="1" x14ac:dyDescent="0.3">
      <c r="A80" s="25">
        <v>20205</v>
      </c>
      <c r="B80" s="25" t="s">
        <v>751</v>
      </c>
      <c r="C80" s="29">
        <v>20206</v>
      </c>
      <c r="D80" s="28" t="s">
        <v>85</v>
      </c>
    </row>
    <row r="81" spans="1:4" ht="16.5" thickBot="1" x14ac:dyDescent="0.3">
      <c r="A81" s="26">
        <v>20206</v>
      </c>
      <c r="B81" s="25" t="s">
        <v>85</v>
      </c>
      <c r="C81" s="25">
        <v>20100</v>
      </c>
      <c r="D81" s="25" t="s">
        <v>28</v>
      </c>
    </row>
    <row r="82" spans="1:4" ht="16.5" thickBot="1" x14ac:dyDescent="0.3">
      <c r="A82" s="26">
        <v>30100</v>
      </c>
      <c r="B82" s="25" t="s">
        <v>41</v>
      </c>
      <c r="C82" s="25">
        <v>10105</v>
      </c>
      <c r="D82" s="25" t="s">
        <v>77</v>
      </c>
    </row>
    <row r="83" spans="1:4" ht="32.25" thickBot="1" x14ac:dyDescent="0.3">
      <c r="A83" s="26">
        <v>30101</v>
      </c>
      <c r="B83" s="25" t="s">
        <v>743</v>
      </c>
      <c r="C83" s="26">
        <v>30100</v>
      </c>
      <c r="D83" s="25" t="s">
        <v>41</v>
      </c>
    </row>
    <row r="84" spans="1:4" ht="32.25" thickBot="1" x14ac:dyDescent="0.3">
      <c r="A84" s="25">
        <v>30205</v>
      </c>
      <c r="B84" s="25" t="s">
        <v>439</v>
      </c>
      <c r="C84" s="26">
        <v>30101</v>
      </c>
      <c r="D84" s="25" t="s">
        <v>743</v>
      </c>
    </row>
    <row r="85" spans="1:4" ht="16.5" thickBot="1" x14ac:dyDescent="0.3">
      <c r="A85" s="26">
        <v>30210</v>
      </c>
      <c r="B85" s="25" t="s">
        <v>436</v>
      </c>
      <c r="C85" t="s">
        <v>748</v>
      </c>
    </row>
    <row r="86" spans="1:4" ht="32.25" thickBot="1" x14ac:dyDescent="0.3">
      <c r="A86" s="25">
        <v>30301</v>
      </c>
      <c r="B86" s="25" t="s">
        <v>755</v>
      </c>
      <c r="C86" s="25">
        <v>30205</v>
      </c>
      <c r="D86" s="25" t="s">
        <v>439</v>
      </c>
    </row>
    <row r="87" spans="1:4" ht="32.25" thickBot="1" x14ac:dyDescent="0.3">
      <c r="A87" s="25">
        <v>30302</v>
      </c>
      <c r="B87" s="25" t="s">
        <v>116</v>
      </c>
      <c r="C87" s="25">
        <v>30205</v>
      </c>
      <c r="D87" s="25" t="s">
        <v>439</v>
      </c>
    </row>
    <row r="88" spans="1:4" ht="16.5" thickBot="1" x14ac:dyDescent="0.3">
      <c r="A88" s="26">
        <v>30401</v>
      </c>
      <c r="B88" s="25" t="s">
        <v>110</v>
      </c>
      <c r="C88" s="25">
        <v>30301</v>
      </c>
      <c r="D88" s="25" t="s">
        <v>755</v>
      </c>
    </row>
    <row r="89" spans="1:4" ht="16.5" thickBot="1" x14ac:dyDescent="0.3">
      <c r="A89" s="25">
        <v>30501</v>
      </c>
      <c r="B89" s="25" t="s">
        <v>515</v>
      </c>
      <c r="C89" s="25">
        <v>30502</v>
      </c>
      <c r="D89" s="25" t="s">
        <v>756</v>
      </c>
    </row>
    <row r="90" spans="1:4" ht="16.5" thickBot="1" x14ac:dyDescent="0.3">
      <c r="A90" s="25">
        <v>30502</v>
      </c>
      <c r="B90" s="25" t="s">
        <v>756</v>
      </c>
      <c r="C90" s="29">
        <v>30503</v>
      </c>
      <c r="D90" s="28" t="s">
        <v>101</v>
      </c>
    </row>
    <row r="91" spans="1:4" ht="16.5" thickBot="1" x14ac:dyDescent="0.3">
      <c r="A91" s="26">
        <v>30503</v>
      </c>
      <c r="B91" s="25" t="s">
        <v>101</v>
      </c>
      <c r="C91" s="26">
        <v>30401</v>
      </c>
      <c r="D91" s="26" t="s">
        <v>110</v>
      </c>
    </row>
    <row r="92" spans="1:4" ht="16.5" thickBot="1" x14ac:dyDescent="0.3">
      <c r="A92" s="25">
        <v>30601</v>
      </c>
      <c r="B92" s="25" t="s">
        <v>432</v>
      </c>
      <c r="C92" s="26">
        <v>30602</v>
      </c>
      <c r="D92" s="26" t="s">
        <v>757</v>
      </c>
    </row>
    <row r="93" spans="1:4" ht="16.5" thickBot="1" x14ac:dyDescent="0.3">
      <c r="A93" s="26">
        <v>30602</v>
      </c>
      <c r="B93" s="25" t="s">
        <v>757</v>
      </c>
      <c r="C93" s="26">
        <v>30401</v>
      </c>
      <c r="D93" s="25" t="s">
        <v>110</v>
      </c>
    </row>
    <row r="94" spans="1:4" ht="16.5" thickBot="1" x14ac:dyDescent="0.3">
      <c r="A94" s="25">
        <v>39100</v>
      </c>
      <c r="B94" s="25" t="s">
        <v>741</v>
      </c>
      <c r="C94" s="25">
        <v>10105</v>
      </c>
      <c r="D94" s="25" t="s">
        <v>77</v>
      </c>
    </row>
    <row r="95" spans="1:4" ht="32.25" thickBot="1" x14ac:dyDescent="0.3">
      <c r="A95" s="25">
        <v>40100</v>
      </c>
      <c r="B95" s="25" t="s">
        <v>739</v>
      </c>
      <c r="C95" s="25">
        <v>39100</v>
      </c>
      <c r="D95" s="25" t="s">
        <v>741</v>
      </c>
    </row>
    <row r="96" spans="1:4" ht="16.5" thickBot="1" x14ac:dyDescent="0.3">
      <c r="A96" s="26">
        <v>40101</v>
      </c>
      <c r="B96" s="25" t="s">
        <v>15</v>
      </c>
      <c r="C96" s="25">
        <v>40102</v>
      </c>
      <c r="D96" s="25" t="s">
        <v>9</v>
      </c>
    </row>
    <row r="97" spans="1:4" ht="16.5" thickBot="1" x14ac:dyDescent="0.3">
      <c r="A97" s="25">
        <v>40102</v>
      </c>
      <c r="B97" s="25" t="s">
        <v>9</v>
      </c>
      <c r="C97" s="26">
        <v>40103</v>
      </c>
      <c r="D97" s="26" t="s">
        <v>445</v>
      </c>
    </row>
    <row r="98" spans="1:4" ht="16.5" thickBot="1" x14ac:dyDescent="0.3">
      <c r="A98" s="26">
        <v>40103</v>
      </c>
      <c r="B98" s="25" t="s">
        <v>445</v>
      </c>
      <c r="C98" s="25">
        <v>40100</v>
      </c>
      <c r="D98" s="25" t="s">
        <v>739</v>
      </c>
    </row>
    <row r="99" spans="1:4" ht="16.5" thickBot="1" x14ac:dyDescent="0.3">
      <c r="A99" s="25">
        <v>40104</v>
      </c>
      <c r="B99" s="25" t="s">
        <v>753</v>
      </c>
      <c r="C99" s="26">
        <v>40105</v>
      </c>
      <c r="D99" s="26" t="s">
        <v>754</v>
      </c>
    </row>
    <row r="100" spans="1:4" ht="16.5" thickBot="1" x14ac:dyDescent="0.3">
      <c r="A100" s="26">
        <v>40105</v>
      </c>
      <c r="B100" s="25" t="s">
        <v>754</v>
      </c>
      <c r="C100" s="28">
        <v>40100</v>
      </c>
      <c r="D100" s="28" t="s">
        <v>739</v>
      </c>
    </row>
  </sheetData>
  <autoFilter ref="A1:D100" xr:uid="{FF2744B2-862B-48C8-B4DC-62727CE74A5B}">
    <sortState xmlns:xlrd2="http://schemas.microsoft.com/office/spreadsheetml/2017/richdata2" ref="A2:D100">
      <sortCondition ref="A1:A100"/>
    </sortState>
  </autoFilter>
  <phoneticPr fontId="2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16DB3D-0F03-4573-9B2C-3F04F20F4032}">
  <sheetPr codeName="Sheet2"/>
  <dimension ref="A1:B1"/>
  <sheetViews>
    <sheetView workbookViewId="0">
      <selection activeCell="E8" sqref="E8"/>
    </sheetView>
  </sheetViews>
  <sheetFormatPr defaultRowHeight="15" x14ac:dyDescent="0.25"/>
  <sheetData>
    <row r="1" spans="1:2" x14ac:dyDescent="0.25">
      <c r="A1" t="s">
        <v>1</v>
      </c>
      <c r="B1" t="s">
        <v>721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E48D32-00A3-4170-A2C5-6172E69C6BE8}">
  <sheetPr codeName="Sheet3"/>
  <dimension ref="A1:L1840"/>
  <sheetViews>
    <sheetView topLeftCell="F1" workbookViewId="0">
      <selection activeCell="D1" sqref="D1:D1048576"/>
    </sheetView>
  </sheetViews>
  <sheetFormatPr defaultColWidth="23.5703125" defaultRowHeight="15.75" x14ac:dyDescent="0.25"/>
  <cols>
    <col min="1" max="1" width="22.5703125" style="48" customWidth="1"/>
    <col min="2" max="2" width="14.5703125" style="48" bestFit="1" customWidth="1"/>
    <col min="3" max="3" width="37.42578125" style="48" bestFit="1" customWidth="1"/>
    <col min="4" max="4" width="26.42578125" style="48" customWidth="1"/>
    <col min="5" max="5" width="31.42578125" style="50" customWidth="1"/>
    <col min="6" max="6" width="35" style="52" bestFit="1" customWidth="1"/>
    <col min="7" max="7" width="45.5703125" style="48" bestFit="1" customWidth="1"/>
    <col min="8" max="8" width="85.42578125" style="54" bestFit="1" customWidth="1"/>
    <col min="9" max="9" width="34.7109375" style="48" bestFit="1" customWidth="1"/>
    <col min="10" max="10" width="120.85546875" style="48" bestFit="1" customWidth="1"/>
    <col min="11" max="11" width="16.7109375" style="48" bestFit="1" customWidth="1"/>
    <col min="12" max="12" width="12.5703125" style="48" bestFit="1" customWidth="1"/>
    <col min="13" max="16384" width="23.5703125" style="48"/>
  </cols>
  <sheetData>
    <row r="1" spans="1:12" x14ac:dyDescent="0.25">
      <c r="A1" s="47" t="s">
        <v>802</v>
      </c>
      <c r="B1" s="47" t="s">
        <v>1</v>
      </c>
      <c r="C1" s="47" t="s">
        <v>2</v>
      </c>
      <c r="D1" s="47" t="s">
        <v>793</v>
      </c>
      <c r="E1" s="27" t="s">
        <v>1165</v>
      </c>
      <c r="F1" s="47" t="s">
        <v>1166</v>
      </c>
      <c r="G1" s="47" t="s">
        <v>794</v>
      </c>
      <c r="H1" s="53" t="s">
        <v>801</v>
      </c>
      <c r="I1" s="47" t="s">
        <v>768</v>
      </c>
      <c r="J1" s="47" t="s">
        <v>1164</v>
      </c>
      <c r="K1" s="47" t="s">
        <v>769</v>
      </c>
      <c r="L1" s="47" t="s">
        <v>783</v>
      </c>
    </row>
    <row r="2" spans="1:12" x14ac:dyDescent="0.25">
      <c r="A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
        <v>10802</v>
      </c>
      <c r="C2" t="s">
        <v>1677</v>
      </c>
      <c r="D2" s="50"/>
      <c r="E2" t="s">
        <v>1716</v>
      </c>
      <c r="F2" s="46" t="str">
        <f>IF(I2="","",IF(_xlfn.XLOOKUP(TRIM(I2),'SkillMasterSkill ID'!$C:$C,'SkillMasterSkill ID'!$E:$E,"")=0,"",_xlfn.XLOOKUP(TRIM(I2),'SkillMasterSkill ID'!$C:$C,'SkillMasterSkill ID'!$E:$E,"")))</f>
        <v/>
      </c>
      <c r="G2" t="s">
        <v>1510</v>
      </c>
      <c r="H2" t="s">
        <v>1722</v>
      </c>
      <c r="I2" t="s">
        <v>1723</v>
      </c>
      <c r="J2" s="50" t="str">
        <f>IF(I2="","",_xlfn.XLOOKUP(TRIM(I2),'SkillMasterSkill ID'!$C:$C,'SkillMasterSkill ID'!$F:$F,"NOT FOUND",0))</f>
        <v>NOT FOUND</v>
      </c>
      <c r="K2" s="50"/>
      <c r="L2" s="50"/>
    </row>
    <row r="3" spans="1:12" x14ac:dyDescent="0.25">
      <c r="A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
        <v>10812</v>
      </c>
      <c r="C3" t="s">
        <v>1778</v>
      </c>
      <c r="D3" s="50"/>
      <c r="E3" t="s">
        <v>1618</v>
      </c>
      <c r="F3" s="46" t="str">
        <f>IF(I3="","",IF(_xlfn.XLOOKUP(TRIM(I3),'SkillMasterSkill ID'!$C:$C,'SkillMasterSkill ID'!$E:$E,"")=0,"",_xlfn.XLOOKUP(TRIM(I3),'SkillMasterSkill ID'!$C:$C,'SkillMasterSkill ID'!$E:$E,"")))</f>
        <v/>
      </c>
      <c r="G3" t="s">
        <v>1622</v>
      </c>
      <c r="H3" t="s">
        <v>1620</v>
      </c>
      <c r="I3" t="s">
        <v>1621</v>
      </c>
      <c r="J3" s="50" t="str">
        <f>IF(I3="","",_xlfn.XLOOKUP(TRIM(I3),'SkillMasterSkill ID'!$C:$C,'SkillMasterSkill ID'!$F:$F,"NOT FOUND",0))</f>
        <v>NOT FOUND</v>
      </c>
      <c r="K3" s="50"/>
      <c r="L3" s="50"/>
    </row>
    <row r="4" spans="1:12" x14ac:dyDescent="0.25">
      <c r="A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
        <v>10812</v>
      </c>
      <c r="C4" t="s">
        <v>1778</v>
      </c>
      <c r="D4" s="50"/>
      <c r="E4" t="s">
        <v>1614</v>
      </c>
      <c r="F4" s="46" t="str">
        <f>IF(I4="","",IF(_xlfn.XLOOKUP(TRIM(I4),'SkillMasterSkill ID'!$C:$C,'SkillMasterSkill ID'!$E:$E,"")=0,"",_xlfn.XLOOKUP(TRIM(I4),'SkillMasterSkill ID'!$C:$C,'SkillMasterSkill ID'!$E:$E,"")))</f>
        <v/>
      </c>
      <c r="G4" t="s">
        <v>1622</v>
      </c>
      <c r="H4" t="s">
        <v>1616</v>
      </c>
      <c r="I4" t="s">
        <v>1617</v>
      </c>
      <c r="J4" s="50" t="str">
        <f>IF(I4="","",_xlfn.XLOOKUP(TRIM(I4),'SkillMasterSkill ID'!$C:$C,'SkillMasterSkill ID'!$F:$F,"NOT FOUND",0))</f>
        <v>NOT FOUND</v>
      </c>
      <c r="K4" s="50"/>
      <c r="L4" s="50"/>
    </row>
    <row r="5" spans="1:12" x14ac:dyDescent="0.25">
      <c r="A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
        <v>10812</v>
      </c>
      <c r="C5" t="s">
        <v>1778</v>
      </c>
      <c r="D5" s="50"/>
      <c r="E5" t="s">
        <v>1598</v>
      </c>
      <c r="F5" s="46" t="str">
        <f>IF(I5="","",IF(_xlfn.XLOOKUP(TRIM(I5),'SkillMasterSkill ID'!$C:$C,'SkillMasterSkill ID'!$E:$E,"")=0,"",_xlfn.XLOOKUP(TRIM(I5),'SkillMasterSkill ID'!$C:$C,'SkillMasterSkill ID'!$E:$E,"")))</f>
        <v/>
      </c>
      <c r="G5" t="s">
        <v>1622</v>
      </c>
      <c r="H5" t="s">
        <v>1600</v>
      </c>
      <c r="I5" t="s">
        <v>1601</v>
      </c>
      <c r="J5" s="50" t="str">
        <f>IF(I5="","",_xlfn.XLOOKUP(TRIM(I5),'SkillMasterSkill ID'!$C:$C,'SkillMasterSkill ID'!$F:$F,"NOT FOUND",0))</f>
        <v>NOT FOUND</v>
      </c>
      <c r="K5" s="50"/>
      <c r="L5" s="50"/>
    </row>
    <row r="6" spans="1:12" x14ac:dyDescent="0.25">
      <c r="A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
        <v>10812</v>
      </c>
      <c r="C6" t="s">
        <v>1778</v>
      </c>
      <c r="D6" s="50"/>
      <c r="E6" t="s">
        <v>1606</v>
      </c>
      <c r="F6" s="46" t="str">
        <f>IF(I6="","",IF(_xlfn.XLOOKUP(TRIM(I6),'SkillMasterSkill ID'!$C:$C,'SkillMasterSkill ID'!$E:$E,"")=0,"",_xlfn.XLOOKUP(TRIM(I6),'SkillMasterSkill ID'!$C:$C,'SkillMasterSkill ID'!$E:$E,"")))</f>
        <v/>
      </c>
      <c r="G6" t="s">
        <v>1622</v>
      </c>
      <c r="H6" t="s">
        <v>1608</v>
      </c>
      <c r="I6" t="s">
        <v>1609</v>
      </c>
      <c r="J6" s="50" t="str">
        <f>IF(I6="","",_xlfn.XLOOKUP(TRIM(I6),'SkillMasterSkill ID'!$C:$C,'SkillMasterSkill ID'!$F:$F,"NOT FOUND",0))</f>
        <v>NOT FOUND</v>
      </c>
      <c r="K6" s="50"/>
      <c r="L6" s="50"/>
    </row>
    <row r="7" spans="1:12" x14ac:dyDescent="0.25">
      <c r="A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
        <v>10812</v>
      </c>
      <c r="C7" t="s">
        <v>1778</v>
      </c>
      <c r="D7" s="50"/>
      <c r="E7" t="s">
        <v>1610</v>
      </c>
      <c r="F7" s="46" t="str">
        <f>IF(I7="","",IF(_xlfn.XLOOKUP(TRIM(I7),'SkillMasterSkill ID'!$C:$C,'SkillMasterSkill ID'!$E:$E,"")=0,"",_xlfn.XLOOKUP(TRIM(I7),'SkillMasterSkill ID'!$C:$C,'SkillMasterSkill ID'!$E:$E,"")))</f>
        <v/>
      </c>
      <c r="G7" t="s">
        <v>1622</v>
      </c>
      <c r="H7" t="s">
        <v>1612</v>
      </c>
      <c r="I7" t="s">
        <v>1613</v>
      </c>
      <c r="J7" s="50" t="str">
        <f>IF(I7="","",_xlfn.XLOOKUP(TRIM(I7),'SkillMasterSkill ID'!$C:$C,'SkillMasterSkill ID'!$F:$F,"NOT FOUND",0))</f>
        <v>Competency related to waste identification that supports effective field/project leadership and execution.</v>
      </c>
      <c r="K7" s="50"/>
      <c r="L7" s="50"/>
    </row>
    <row r="8" spans="1:12" x14ac:dyDescent="0.25">
      <c r="A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
        <v>10812</v>
      </c>
      <c r="C8" t="s">
        <v>1778</v>
      </c>
      <c r="D8" s="50"/>
      <c r="E8" t="s">
        <v>1602</v>
      </c>
      <c r="F8" s="46" t="str">
        <f>IF(I8="","",IF(_xlfn.XLOOKUP(TRIM(I8),'SkillMasterSkill ID'!$C:$C,'SkillMasterSkill ID'!$E:$E,"")=0,"",_xlfn.XLOOKUP(TRIM(I8),'SkillMasterSkill ID'!$C:$C,'SkillMasterSkill ID'!$E:$E,"")))</f>
        <v/>
      </c>
      <c r="G8" t="s">
        <v>1622</v>
      </c>
      <c r="H8" t="s">
        <v>1604</v>
      </c>
      <c r="I8" t="s">
        <v>1605</v>
      </c>
      <c r="J8" s="50" t="str">
        <f>IF(I8="","",_xlfn.XLOOKUP(TRIM(I8),'SkillMasterSkill ID'!$C:$C,'SkillMasterSkill ID'!$F:$F,"NOT FOUND",0))</f>
        <v>NOT FOUND</v>
      </c>
      <c r="K8" s="50"/>
      <c r="L8" s="50"/>
    </row>
    <row r="9" spans="1:12" x14ac:dyDescent="0.25">
      <c r="A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
        <v>10812</v>
      </c>
      <c r="C9" t="s">
        <v>1780</v>
      </c>
      <c r="D9" s="50"/>
      <c r="E9" t="s">
        <v>1606</v>
      </c>
      <c r="F9" s="46" t="str">
        <f>IF(I9="","",IF(_xlfn.XLOOKUP(TRIM(I9),'SkillMasterSkill ID'!$C:$C,'SkillMasterSkill ID'!$E:$E,"")=0,"",_xlfn.XLOOKUP(TRIM(I9),'SkillMasterSkill ID'!$C:$C,'SkillMasterSkill ID'!$E:$E,"")))</f>
        <v/>
      </c>
      <c r="G9" t="s">
        <v>1797</v>
      </c>
      <c r="H9" t="s">
        <v>1798</v>
      </c>
      <c r="I9" t="s">
        <v>1799</v>
      </c>
      <c r="J9" s="50" t="str">
        <f>IF(I9="","",_xlfn.XLOOKUP(TRIM(I9),'SkillMasterSkill ID'!$C:$C,'SkillMasterSkill ID'!$F:$F,"NOT FOUND",0))</f>
        <v>NOT FOUND</v>
      </c>
      <c r="K9" s="50"/>
      <c r="L9" s="50"/>
    </row>
    <row r="10" spans="1:12" x14ac:dyDescent="0.25">
      <c r="A1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
        <v>10812</v>
      </c>
      <c r="C10" t="s">
        <v>1780</v>
      </c>
      <c r="D10" s="50"/>
      <c r="E10" t="s">
        <v>1840</v>
      </c>
      <c r="F10" s="46" t="str">
        <f>IF(I10="","",IF(_xlfn.XLOOKUP(TRIM(I10),'SkillMasterSkill ID'!$C:$C,'SkillMasterSkill ID'!$E:$E,"")=0,"",_xlfn.XLOOKUP(TRIM(I10),'SkillMasterSkill ID'!$C:$C,'SkillMasterSkill ID'!$E:$E,"")))</f>
        <v/>
      </c>
      <c r="G10" t="s">
        <v>1835</v>
      </c>
      <c r="H10" t="s">
        <v>1842</v>
      </c>
      <c r="I10" t="s">
        <v>1843</v>
      </c>
      <c r="J10" s="50" t="str">
        <f>IF(I10="","",_xlfn.XLOOKUP(TRIM(I10),'SkillMasterSkill ID'!$C:$C,'SkillMasterSkill ID'!$F:$F,"NOT FOUND",0))</f>
        <v>NOT FOUND</v>
      </c>
      <c r="K10" s="50"/>
      <c r="L10" s="50"/>
    </row>
    <row r="11" spans="1:12" x14ac:dyDescent="0.25">
      <c r="A1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
        <v>10812</v>
      </c>
      <c r="C11" t="s">
        <v>1780</v>
      </c>
      <c r="D11" s="50"/>
      <c r="E11" t="s">
        <v>1836</v>
      </c>
      <c r="F11" s="46" t="str">
        <f>IF(I11="","",IF(_xlfn.XLOOKUP(TRIM(I11),'SkillMasterSkill ID'!$C:$C,'SkillMasterSkill ID'!$E:$E,"")=0,"",_xlfn.XLOOKUP(TRIM(I11),'SkillMasterSkill ID'!$C:$C,'SkillMasterSkill ID'!$E:$E,"")))</f>
        <v/>
      </c>
      <c r="G11" t="s">
        <v>1835</v>
      </c>
      <c r="H11" t="s">
        <v>1838</v>
      </c>
      <c r="I11" t="s">
        <v>1839</v>
      </c>
      <c r="J11" s="50" t="str">
        <f>IF(I11="","",_xlfn.XLOOKUP(TRIM(I11),'SkillMasterSkill ID'!$C:$C,'SkillMasterSkill ID'!$F:$F,"NOT FOUND",0))</f>
        <v>NOT FOUND</v>
      </c>
      <c r="K11" s="50"/>
      <c r="L11" s="50"/>
    </row>
    <row r="12" spans="1:12" x14ac:dyDescent="0.25">
      <c r="A1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
        <v>10812</v>
      </c>
      <c r="C12" t="s">
        <v>1780</v>
      </c>
      <c r="D12" s="50"/>
      <c r="E12" t="s">
        <v>1602</v>
      </c>
      <c r="F12" s="46" t="str">
        <f>IF(I12="","",IF(_xlfn.XLOOKUP(TRIM(I12),'SkillMasterSkill ID'!$C:$C,'SkillMasterSkill ID'!$E:$E,"")=0,"",_xlfn.XLOOKUP(TRIM(I12),'SkillMasterSkill ID'!$C:$C,'SkillMasterSkill ID'!$E:$E,"")))</f>
        <v/>
      </c>
      <c r="G12" t="s">
        <v>1735</v>
      </c>
      <c r="H12" t="s">
        <v>1795</v>
      </c>
      <c r="I12" t="s">
        <v>1796</v>
      </c>
      <c r="J12" s="50" t="str">
        <f>IF(I12="","",_xlfn.XLOOKUP(TRIM(I12),'SkillMasterSkill ID'!$C:$C,'SkillMasterSkill ID'!$F:$F,"NOT FOUND",0))</f>
        <v>NOT FOUND</v>
      </c>
      <c r="K12" s="50"/>
      <c r="L12" s="50"/>
    </row>
    <row r="13" spans="1:12" x14ac:dyDescent="0.25">
      <c r="A1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
        <v>10812</v>
      </c>
      <c r="C13" t="s">
        <v>1780</v>
      </c>
      <c r="D13" s="50"/>
      <c r="E13" t="s">
        <v>1808</v>
      </c>
      <c r="F13" s="46" t="str">
        <f>IF(I13="","",IF(_xlfn.XLOOKUP(TRIM(I13),'SkillMasterSkill ID'!$C:$C,'SkillMasterSkill ID'!$E:$E,"")=0,"",_xlfn.XLOOKUP(TRIM(I13),'SkillMasterSkill ID'!$C:$C,'SkillMasterSkill ID'!$E:$E,"")))</f>
        <v/>
      </c>
      <c r="G13" t="s">
        <v>1805</v>
      </c>
      <c r="H13" t="s">
        <v>1813</v>
      </c>
      <c r="I13" t="s">
        <v>1814</v>
      </c>
      <c r="J13" s="50" t="str">
        <f>IF(I13="","",_xlfn.XLOOKUP(TRIM(I13),'SkillMasterSkill ID'!$C:$C,'SkillMasterSkill ID'!$F:$F,"NOT FOUND",0))</f>
        <v>NOT FOUND</v>
      </c>
      <c r="K13" s="50"/>
      <c r="L13" s="50"/>
    </row>
    <row r="14" spans="1:12" x14ac:dyDescent="0.25">
      <c r="A1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
        <v>10812</v>
      </c>
      <c r="C14" t="s">
        <v>1780</v>
      </c>
      <c r="D14" s="50"/>
      <c r="E14" t="s">
        <v>1808</v>
      </c>
      <c r="F14" s="46" t="str">
        <f>IF(I14="","",IF(_xlfn.XLOOKUP(TRIM(I14),'SkillMasterSkill ID'!$C:$C,'SkillMasterSkill ID'!$E:$E,"")=0,"",_xlfn.XLOOKUP(TRIM(I14),'SkillMasterSkill ID'!$C:$C,'SkillMasterSkill ID'!$E:$E,"")))</f>
        <v/>
      </c>
      <c r="G14" t="s">
        <v>1805</v>
      </c>
      <c r="H14" t="s">
        <v>1810</v>
      </c>
      <c r="I14" t="s">
        <v>1811</v>
      </c>
      <c r="J14" s="50" t="str">
        <f>IF(I14="","",_xlfn.XLOOKUP(TRIM(I14),'SkillMasterSkill ID'!$C:$C,'SkillMasterSkill ID'!$F:$F,"NOT FOUND",0))</f>
        <v>NOT FOUND</v>
      </c>
      <c r="K14" s="50"/>
      <c r="L14" s="50"/>
    </row>
    <row r="15" spans="1:12" x14ac:dyDescent="0.25">
      <c r="A1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
        <v>10812</v>
      </c>
      <c r="C15" t="s">
        <v>1780</v>
      </c>
      <c r="D15" s="50"/>
      <c r="E15" t="s">
        <v>1602</v>
      </c>
      <c r="F15" s="46" t="str">
        <f>IF(I15="","",IF(_xlfn.XLOOKUP(TRIM(I15),'SkillMasterSkill ID'!$C:$C,'SkillMasterSkill ID'!$E:$E,"")=0,"",_xlfn.XLOOKUP(TRIM(I15),'SkillMasterSkill ID'!$C:$C,'SkillMasterSkill ID'!$E:$E,"")))</f>
        <v/>
      </c>
      <c r="G15" t="s">
        <v>1735</v>
      </c>
      <c r="H15" t="s">
        <v>1792</v>
      </c>
      <c r="I15" t="s">
        <v>1793</v>
      </c>
      <c r="J15" s="50" t="str">
        <f>IF(I15="","",_xlfn.XLOOKUP(TRIM(I15),'SkillMasterSkill ID'!$C:$C,'SkillMasterSkill ID'!$F:$F,"NOT FOUND",0))</f>
        <v>NOT FOUND</v>
      </c>
      <c r="K15" s="50"/>
      <c r="L15" s="50"/>
    </row>
    <row r="16" spans="1:12" x14ac:dyDescent="0.25">
      <c r="A1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6">
        <v>10812</v>
      </c>
      <c r="C16" t="s">
        <v>1780</v>
      </c>
      <c r="D16" s="50"/>
      <c r="E16" t="s">
        <v>1598</v>
      </c>
      <c r="F16" s="46" t="str">
        <f>IF(I16="","",IF(_xlfn.XLOOKUP(TRIM(I16),'SkillMasterSkill ID'!$C:$C,'SkillMasterSkill ID'!$E:$E,"")=0,"",_xlfn.XLOOKUP(TRIM(I16),'SkillMasterSkill ID'!$C:$C,'SkillMasterSkill ID'!$E:$E,"")))</f>
        <v/>
      </c>
      <c r="G16" t="s">
        <v>1779</v>
      </c>
      <c r="H16" t="s">
        <v>1781</v>
      </c>
      <c r="I16" t="s">
        <v>1782</v>
      </c>
      <c r="J16" s="50" t="str">
        <f>IF(I16="","",_xlfn.XLOOKUP(TRIM(I16),'SkillMasterSkill ID'!$C:$C,'SkillMasterSkill ID'!$F:$F,"NOT FOUND",0))</f>
        <v>NOT FOUND</v>
      </c>
      <c r="K16" s="50"/>
      <c r="L16" s="50"/>
    </row>
    <row r="17" spans="1:12" x14ac:dyDescent="0.25">
      <c r="A1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7">
        <v>10812</v>
      </c>
      <c r="C17" t="s">
        <v>1780</v>
      </c>
      <c r="D17" s="50"/>
      <c r="E17" t="s">
        <v>1633</v>
      </c>
      <c r="F17" s="46" t="str">
        <f>IF(I17="","",IF(_xlfn.XLOOKUP(TRIM(I17),'SkillMasterSkill ID'!$C:$C,'SkillMasterSkill ID'!$E:$E,"")=0,"",_xlfn.XLOOKUP(TRIM(I17),'SkillMasterSkill ID'!$C:$C,'SkillMasterSkill ID'!$E:$E,"")))</f>
        <v/>
      </c>
      <c r="G17" t="s">
        <v>1826</v>
      </c>
      <c r="H17" t="s">
        <v>1833</v>
      </c>
      <c r="I17" t="s">
        <v>1834</v>
      </c>
      <c r="J17" s="50" t="str">
        <f>IF(I17="","",_xlfn.XLOOKUP(TRIM(I17),'SkillMasterSkill ID'!$C:$C,'SkillMasterSkill ID'!$F:$F,"NOT FOUND",0))</f>
        <v>NOT FOUND</v>
      </c>
      <c r="K17" s="50"/>
      <c r="L17" s="50"/>
    </row>
    <row r="18" spans="1:12" x14ac:dyDescent="0.25">
      <c r="A1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8">
        <v>10812</v>
      </c>
      <c r="C18" t="s">
        <v>1780</v>
      </c>
      <c r="D18" s="50"/>
      <c r="E18" t="s">
        <v>1822</v>
      </c>
      <c r="F18" s="46" t="str">
        <f>IF(I18="","",IF(_xlfn.XLOOKUP(TRIM(I18),'SkillMasterSkill ID'!$C:$C,'SkillMasterSkill ID'!$E:$E,"")=0,"",_xlfn.XLOOKUP(TRIM(I18),'SkillMasterSkill ID'!$C:$C,'SkillMasterSkill ID'!$E:$E,"")))</f>
        <v/>
      </c>
      <c r="G18" t="s">
        <v>1815</v>
      </c>
      <c r="H18" t="s">
        <v>1824</v>
      </c>
      <c r="I18" t="s">
        <v>1825</v>
      </c>
      <c r="J18" s="50" t="str">
        <f>IF(I18="","",_xlfn.XLOOKUP(TRIM(I18),'SkillMasterSkill ID'!$C:$C,'SkillMasterSkill ID'!$F:$F,"NOT FOUND",0))</f>
        <v>NOT FOUND</v>
      </c>
      <c r="K18" s="50"/>
      <c r="L18" s="50"/>
    </row>
    <row r="19" spans="1:12" x14ac:dyDescent="0.25">
      <c r="A1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9">
        <v>10812</v>
      </c>
      <c r="C19" t="s">
        <v>1780</v>
      </c>
      <c r="D19" s="50"/>
      <c r="E19" t="s">
        <v>1643</v>
      </c>
      <c r="F19" s="46" t="str">
        <f>IF(I19="","",IF(_xlfn.XLOOKUP(TRIM(I19),'SkillMasterSkill ID'!$C:$C,'SkillMasterSkill ID'!$E:$E,"")=0,"",_xlfn.XLOOKUP(TRIM(I19),'SkillMasterSkill ID'!$C:$C,'SkillMasterSkill ID'!$E:$E,"")))</f>
        <v/>
      </c>
      <c r="G19" t="s">
        <v>1815</v>
      </c>
      <c r="H19" t="s">
        <v>1820</v>
      </c>
      <c r="I19" t="s">
        <v>1821</v>
      </c>
      <c r="J19" s="50" t="str">
        <f>IF(I19="","",_xlfn.XLOOKUP(TRIM(I19),'SkillMasterSkill ID'!$C:$C,'SkillMasterSkill ID'!$F:$F,"NOT FOUND",0))</f>
        <v>NOT FOUND</v>
      </c>
      <c r="K19" s="50"/>
      <c r="L19" s="50"/>
    </row>
    <row r="20" spans="1:12" x14ac:dyDescent="0.25">
      <c r="A2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0">
        <v>10812</v>
      </c>
      <c r="C20" t="s">
        <v>1780</v>
      </c>
      <c r="D20" s="50"/>
      <c r="E20" t="s">
        <v>1754</v>
      </c>
      <c r="F20" s="46" t="str">
        <f>IF(I20="","",IF(_xlfn.XLOOKUP(TRIM(I20),'SkillMasterSkill ID'!$C:$C,'SkillMasterSkill ID'!$E:$E,"")=0,"",_xlfn.XLOOKUP(TRIM(I20),'SkillMasterSkill ID'!$C:$C,'SkillMasterSkill ID'!$E:$E,"")))</f>
        <v/>
      </c>
      <c r="G20" t="s">
        <v>1805</v>
      </c>
      <c r="H20" t="s">
        <v>1806</v>
      </c>
      <c r="I20" t="s">
        <v>1807</v>
      </c>
      <c r="J20" s="50" t="str">
        <f>IF(I20="","",_xlfn.XLOOKUP(TRIM(I20),'SkillMasterSkill ID'!$C:$C,'SkillMasterSkill ID'!$F:$F,"NOT FOUND",0))</f>
        <v>NOT FOUND</v>
      </c>
      <c r="K20" s="50"/>
      <c r="L20" s="50"/>
    </row>
    <row r="21" spans="1:12" x14ac:dyDescent="0.25">
      <c r="A2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1">
        <v>10812</v>
      </c>
      <c r="C21" t="s">
        <v>1780</v>
      </c>
      <c r="D21" s="50"/>
      <c r="E21" t="s">
        <v>1598</v>
      </c>
      <c r="F21" s="46" t="str">
        <f>IF(I21="","",IF(_xlfn.XLOOKUP(TRIM(I21),'SkillMasterSkill ID'!$C:$C,'SkillMasterSkill ID'!$E:$E,"")=0,"",_xlfn.XLOOKUP(TRIM(I21),'SkillMasterSkill ID'!$C:$C,'SkillMasterSkill ID'!$E:$E,"")))</f>
        <v/>
      </c>
      <c r="G21" t="s">
        <v>1779</v>
      </c>
      <c r="H21" t="s">
        <v>1787</v>
      </c>
      <c r="I21" t="s">
        <v>1788</v>
      </c>
      <c r="J21" s="50" t="str">
        <f>IF(I21="","",_xlfn.XLOOKUP(TRIM(I21),'SkillMasterSkill ID'!$C:$C,'SkillMasterSkill ID'!$F:$F,"NOT FOUND",0))</f>
        <v>NOT FOUND</v>
      </c>
      <c r="K21" s="50"/>
      <c r="L21" s="50"/>
    </row>
    <row r="22" spans="1:12" x14ac:dyDescent="0.25">
      <c r="A2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2">
        <v>10812</v>
      </c>
      <c r="C22" t="s">
        <v>1780</v>
      </c>
      <c r="D22" s="50"/>
      <c r="E22" t="s">
        <v>1602</v>
      </c>
      <c r="F22" s="46" t="str">
        <f>IF(I22="","",IF(_xlfn.XLOOKUP(TRIM(I22),'SkillMasterSkill ID'!$C:$C,'SkillMasterSkill ID'!$E:$E,"")=0,"",_xlfn.XLOOKUP(TRIM(I22),'SkillMasterSkill ID'!$C:$C,'SkillMasterSkill ID'!$E:$E,"")))</f>
        <v/>
      </c>
      <c r="G22" t="s">
        <v>1735</v>
      </c>
      <c r="H22" t="s">
        <v>1789</v>
      </c>
      <c r="I22" t="s">
        <v>1790</v>
      </c>
      <c r="J22" s="50" t="str">
        <f>IF(I22="","",_xlfn.XLOOKUP(TRIM(I22),'SkillMasterSkill ID'!$C:$C,'SkillMasterSkill ID'!$F:$F,"NOT FOUND",0))</f>
        <v>NOT FOUND</v>
      </c>
      <c r="K22" s="50"/>
      <c r="L22" s="50"/>
    </row>
    <row r="23" spans="1:12" x14ac:dyDescent="0.25">
      <c r="A2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3">
        <v>10812</v>
      </c>
      <c r="C23" t="s">
        <v>1780</v>
      </c>
      <c r="D23" s="50"/>
      <c r="E23" t="s">
        <v>1606</v>
      </c>
      <c r="F23" s="46" t="str">
        <f>IF(I23="","",IF(_xlfn.XLOOKUP(TRIM(I23),'SkillMasterSkill ID'!$C:$C,'SkillMasterSkill ID'!$E:$E,"")=0,"",_xlfn.XLOOKUP(TRIM(I23),'SkillMasterSkill ID'!$C:$C,'SkillMasterSkill ID'!$E:$E,"")))</f>
        <v/>
      </c>
      <c r="G23" t="s">
        <v>1797</v>
      </c>
      <c r="H23" t="s">
        <v>1803</v>
      </c>
      <c r="I23" t="s">
        <v>1804</v>
      </c>
      <c r="J23" s="50" t="str">
        <f>IF(I23="","",_xlfn.XLOOKUP(TRIM(I23),'SkillMasterSkill ID'!$C:$C,'SkillMasterSkill ID'!$F:$F,"NOT FOUND",0))</f>
        <v>NOT FOUND</v>
      </c>
      <c r="K23" s="50"/>
      <c r="L23" s="50"/>
    </row>
    <row r="24" spans="1:12" x14ac:dyDescent="0.25">
      <c r="A2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4">
        <v>10812</v>
      </c>
      <c r="C24" t="s">
        <v>1780</v>
      </c>
      <c r="D24" s="50"/>
      <c r="E24" t="s">
        <v>1598</v>
      </c>
      <c r="F24" s="46" t="str">
        <f>IF(I24="","",IF(_xlfn.XLOOKUP(TRIM(I24),'SkillMasterSkill ID'!$C:$C,'SkillMasterSkill ID'!$E:$E,"")=0,"",_xlfn.XLOOKUP(TRIM(I24),'SkillMasterSkill ID'!$C:$C,'SkillMasterSkill ID'!$E:$E,"")))</f>
        <v/>
      </c>
      <c r="G24" t="s">
        <v>1779</v>
      </c>
      <c r="H24" t="s">
        <v>1784</v>
      </c>
      <c r="I24" t="s">
        <v>1785</v>
      </c>
      <c r="J24" s="50" t="str">
        <f>IF(I24="","",_xlfn.XLOOKUP(TRIM(I24),'SkillMasterSkill ID'!$C:$C,'SkillMasterSkill ID'!$F:$F,"NOT FOUND",0))</f>
        <v>NOT FOUND</v>
      </c>
      <c r="K24" s="50"/>
      <c r="L24" s="50"/>
    </row>
    <row r="25" spans="1:12" x14ac:dyDescent="0.25">
      <c r="A2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5">
        <v>10812</v>
      </c>
      <c r="C25" t="s">
        <v>1780</v>
      </c>
      <c r="D25" s="50"/>
      <c r="E25" t="s">
        <v>1633</v>
      </c>
      <c r="F25" s="46" t="str">
        <f>IF(I25="","",IF(_xlfn.XLOOKUP(TRIM(I25),'SkillMasterSkill ID'!$C:$C,'SkillMasterSkill ID'!$E:$E,"")=0,"",_xlfn.XLOOKUP(TRIM(I25),'SkillMasterSkill ID'!$C:$C,'SkillMasterSkill ID'!$E:$E,"")))</f>
        <v/>
      </c>
      <c r="G25" t="s">
        <v>1826</v>
      </c>
      <c r="H25" t="s">
        <v>1827</v>
      </c>
      <c r="I25" t="s">
        <v>1828</v>
      </c>
      <c r="J25" s="50" t="str">
        <f>IF(I25="","",_xlfn.XLOOKUP(TRIM(I25),'SkillMasterSkill ID'!$C:$C,'SkillMasterSkill ID'!$F:$F,"NOT FOUND",0))</f>
        <v>NOT FOUND</v>
      </c>
      <c r="K25" s="50"/>
      <c r="L25" s="50"/>
    </row>
    <row r="26" spans="1:12" x14ac:dyDescent="0.25">
      <c r="A2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6">
        <v>10812</v>
      </c>
      <c r="C26" t="s">
        <v>1780</v>
      </c>
      <c r="D26" s="50"/>
      <c r="E26" t="s">
        <v>1606</v>
      </c>
      <c r="F26" s="46" t="str">
        <f>IF(I26="","",IF(_xlfn.XLOOKUP(TRIM(I26),'SkillMasterSkill ID'!$C:$C,'SkillMasterSkill ID'!$E:$E,"")=0,"",_xlfn.XLOOKUP(TRIM(I26),'SkillMasterSkill ID'!$C:$C,'SkillMasterSkill ID'!$E:$E,"")))</f>
        <v/>
      </c>
      <c r="G26" t="s">
        <v>1797</v>
      </c>
      <c r="H26" t="s">
        <v>1801</v>
      </c>
      <c r="I26" t="s">
        <v>1609</v>
      </c>
      <c r="J26" s="50" t="str">
        <f>IF(I26="","",_xlfn.XLOOKUP(TRIM(I26),'SkillMasterSkill ID'!$C:$C,'SkillMasterSkill ID'!$F:$F,"NOT FOUND",0))</f>
        <v>NOT FOUND</v>
      </c>
      <c r="K26" s="50"/>
      <c r="L26" s="50"/>
    </row>
    <row r="27" spans="1:12" x14ac:dyDescent="0.25">
      <c r="A2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7">
        <v>10812</v>
      </c>
      <c r="C27" t="s">
        <v>1780</v>
      </c>
      <c r="D27" s="50"/>
      <c r="E27" t="s">
        <v>1659</v>
      </c>
      <c r="F27" s="46" t="str">
        <f>IF(I27="","",IF(_xlfn.XLOOKUP(TRIM(I27),'SkillMasterSkill ID'!$C:$C,'SkillMasterSkill ID'!$E:$E,"")=0,"",_xlfn.XLOOKUP(TRIM(I27),'SkillMasterSkill ID'!$C:$C,'SkillMasterSkill ID'!$E:$E,"")))</f>
        <v/>
      </c>
      <c r="G27" t="s">
        <v>1815</v>
      </c>
      <c r="H27" t="s">
        <v>1817</v>
      </c>
      <c r="I27" t="s">
        <v>1818</v>
      </c>
      <c r="J27" s="50" t="str">
        <f>IF(I27="","",_xlfn.XLOOKUP(TRIM(I27),'SkillMasterSkill ID'!$C:$C,'SkillMasterSkill ID'!$F:$F,"NOT FOUND",0))</f>
        <v>NOT FOUND</v>
      </c>
      <c r="K27" s="50"/>
      <c r="L27" s="50"/>
    </row>
    <row r="28" spans="1:12" x14ac:dyDescent="0.25">
      <c r="A2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8">
        <v>10812</v>
      </c>
      <c r="C28" t="s">
        <v>1780</v>
      </c>
      <c r="D28" s="50"/>
      <c r="E28" t="s">
        <v>1633</v>
      </c>
      <c r="F28" s="46" t="str">
        <f>IF(I28="","",IF(_xlfn.XLOOKUP(TRIM(I28),'SkillMasterSkill ID'!$C:$C,'SkillMasterSkill ID'!$E:$E,"")=0,"",_xlfn.XLOOKUP(TRIM(I28),'SkillMasterSkill ID'!$C:$C,'SkillMasterSkill ID'!$E:$E,"")))</f>
        <v/>
      </c>
      <c r="G28" t="s">
        <v>1826</v>
      </c>
      <c r="H28" t="s">
        <v>1830</v>
      </c>
      <c r="I28" t="s">
        <v>1831</v>
      </c>
      <c r="J28" s="50" t="str">
        <f>IF(I28="","",_xlfn.XLOOKUP(TRIM(I28),'SkillMasterSkill ID'!$C:$C,'SkillMasterSkill ID'!$F:$F,"NOT FOUND",0))</f>
        <v>NOT FOUND</v>
      </c>
      <c r="K28" s="50"/>
      <c r="L28" s="50"/>
    </row>
    <row r="29" spans="1:12" x14ac:dyDescent="0.25">
      <c r="A2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9">
        <v>10803</v>
      </c>
      <c r="C29" t="s">
        <v>1844</v>
      </c>
      <c r="D29" s="50"/>
      <c r="E29" t="s">
        <v>1618</v>
      </c>
      <c r="F29" s="46" t="str">
        <f>IF(I29="","",IF(_xlfn.XLOOKUP(TRIM(I29),'SkillMasterSkill ID'!$C:$C,'SkillMasterSkill ID'!$E:$E,"")=0,"",_xlfn.XLOOKUP(TRIM(I29),'SkillMasterSkill ID'!$C:$C,'SkillMasterSkill ID'!$E:$E,"")))</f>
        <v/>
      </c>
      <c r="G29" t="s">
        <v>1622</v>
      </c>
      <c r="H29" t="s">
        <v>1620</v>
      </c>
      <c r="I29" t="s">
        <v>1621</v>
      </c>
      <c r="J29" s="50" t="str">
        <f>IF(I29="","",_xlfn.XLOOKUP(TRIM(I29),'SkillMasterSkill ID'!$C:$C,'SkillMasterSkill ID'!$F:$F,"NOT FOUND",0))</f>
        <v>NOT FOUND</v>
      </c>
      <c r="K29" s="50"/>
      <c r="L29" s="50"/>
    </row>
    <row r="30" spans="1:12" x14ac:dyDescent="0.25">
      <c r="A3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0">
        <v>10803</v>
      </c>
      <c r="C30" t="s">
        <v>1844</v>
      </c>
      <c r="D30" s="50"/>
      <c r="E30" t="s">
        <v>1614</v>
      </c>
      <c r="F30" s="46" t="str">
        <f>IF(I30="","",IF(_xlfn.XLOOKUP(TRIM(I30),'SkillMasterSkill ID'!$C:$C,'SkillMasterSkill ID'!$E:$E,"")=0,"",_xlfn.XLOOKUP(TRIM(I30),'SkillMasterSkill ID'!$C:$C,'SkillMasterSkill ID'!$E:$E,"")))</f>
        <v/>
      </c>
      <c r="G30" t="s">
        <v>1622</v>
      </c>
      <c r="H30" t="s">
        <v>1616</v>
      </c>
      <c r="I30" t="s">
        <v>1617</v>
      </c>
      <c r="J30" s="50" t="str">
        <f>IF(I30="","",_xlfn.XLOOKUP(TRIM(I30),'SkillMasterSkill ID'!$C:$C,'SkillMasterSkill ID'!$F:$F,"NOT FOUND",0))</f>
        <v>NOT FOUND</v>
      </c>
      <c r="K30" s="50"/>
      <c r="L30" s="50"/>
    </row>
    <row r="31" spans="1:12" x14ac:dyDescent="0.25">
      <c r="A3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1">
        <v>10803</v>
      </c>
      <c r="C31" t="s">
        <v>1844</v>
      </c>
      <c r="D31" s="50"/>
      <c r="E31" t="s">
        <v>1598</v>
      </c>
      <c r="F31" s="46" t="str">
        <f>IF(I31="","",IF(_xlfn.XLOOKUP(TRIM(I31),'SkillMasterSkill ID'!$C:$C,'SkillMasterSkill ID'!$E:$E,"")=0,"",_xlfn.XLOOKUP(TRIM(I31),'SkillMasterSkill ID'!$C:$C,'SkillMasterSkill ID'!$E:$E,"")))</f>
        <v/>
      </c>
      <c r="G31" t="s">
        <v>1622</v>
      </c>
      <c r="H31" t="s">
        <v>1600</v>
      </c>
      <c r="I31" t="s">
        <v>1601</v>
      </c>
      <c r="J31" s="50" t="str">
        <f>IF(I31="","",_xlfn.XLOOKUP(TRIM(I31),'SkillMasterSkill ID'!$C:$C,'SkillMasterSkill ID'!$F:$F,"NOT FOUND",0))</f>
        <v>NOT FOUND</v>
      </c>
      <c r="K31" s="50"/>
      <c r="L31" s="50"/>
    </row>
    <row r="32" spans="1:12" x14ac:dyDescent="0.25">
      <c r="A3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2">
        <v>10803</v>
      </c>
      <c r="C32" t="s">
        <v>1844</v>
      </c>
      <c r="D32" s="50"/>
      <c r="E32" t="s">
        <v>1606</v>
      </c>
      <c r="F32" s="46" t="str">
        <f>IF(I32="","",IF(_xlfn.XLOOKUP(TRIM(I32),'SkillMasterSkill ID'!$C:$C,'SkillMasterSkill ID'!$E:$E,"")=0,"",_xlfn.XLOOKUP(TRIM(I32),'SkillMasterSkill ID'!$C:$C,'SkillMasterSkill ID'!$E:$E,"")))</f>
        <v/>
      </c>
      <c r="G32" t="s">
        <v>1622</v>
      </c>
      <c r="H32" t="s">
        <v>1608</v>
      </c>
      <c r="I32" t="s">
        <v>1609</v>
      </c>
      <c r="J32" s="50" t="str">
        <f>IF(I32="","",_xlfn.XLOOKUP(TRIM(I32),'SkillMasterSkill ID'!$C:$C,'SkillMasterSkill ID'!$F:$F,"NOT FOUND",0))</f>
        <v>NOT FOUND</v>
      </c>
      <c r="K32" s="50"/>
      <c r="L32" s="50"/>
    </row>
    <row r="33" spans="1:12" x14ac:dyDescent="0.25">
      <c r="A3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3">
        <v>10803</v>
      </c>
      <c r="C33" t="s">
        <v>1844</v>
      </c>
      <c r="D33" s="50"/>
      <c r="E33" t="s">
        <v>1610</v>
      </c>
      <c r="F33" s="46" t="str">
        <f>IF(I33="","",IF(_xlfn.XLOOKUP(TRIM(I33),'SkillMasterSkill ID'!$C:$C,'SkillMasterSkill ID'!$E:$E,"")=0,"",_xlfn.XLOOKUP(TRIM(I33),'SkillMasterSkill ID'!$C:$C,'SkillMasterSkill ID'!$E:$E,"")))</f>
        <v/>
      </c>
      <c r="G33" t="s">
        <v>1622</v>
      </c>
      <c r="H33" t="s">
        <v>1612</v>
      </c>
      <c r="I33" t="s">
        <v>1613</v>
      </c>
      <c r="J33" s="50" t="str">
        <f>IF(I33="","",_xlfn.XLOOKUP(TRIM(I33),'SkillMasterSkill ID'!$C:$C,'SkillMasterSkill ID'!$F:$F,"NOT FOUND",0))</f>
        <v>Competency related to waste identification that supports effective field/project leadership and execution.</v>
      </c>
      <c r="K33" s="50"/>
      <c r="L33" s="50"/>
    </row>
    <row r="34" spans="1:12" x14ac:dyDescent="0.25">
      <c r="A3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4">
        <v>10803</v>
      </c>
      <c r="C34" t="s">
        <v>1844</v>
      </c>
      <c r="D34" s="50"/>
      <c r="E34" t="s">
        <v>1602</v>
      </c>
      <c r="F34" s="46" t="str">
        <f>IF(I34="","",IF(_xlfn.XLOOKUP(TRIM(I34),'SkillMasterSkill ID'!$C:$C,'SkillMasterSkill ID'!$E:$E,"")=0,"",_xlfn.XLOOKUP(TRIM(I34),'SkillMasterSkill ID'!$C:$C,'SkillMasterSkill ID'!$E:$E,"")))</f>
        <v/>
      </c>
      <c r="G34" t="s">
        <v>1622</v>
      </c>
      <c r="H34" t="s">
        <v>1604</v>
      </c>
      <c r="I34" t="s">
        <v>1605</v>
      </c>
      <c r="J34" s="50" t="str">
        <f>IF(I34="","",_xlfn.XLOOKUP(TRIM(I34),'SkillMasterSkill ID'!$C:$C,'SkillMasterSkill ID'!$F:$F,"NOT FOUND",0))</f>
        <v>NOT FOUND</v>
      </c>
      <c r="K34" s="50"/>
      <c r="L34" s="50"/>
    </row>
    <row r="35" spans="1:12" x14ac:dyDescent="0.25">
      <c r="A3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5">
        <v>10803</v>
      </c>
      <c r="C35" t="s">
        <v>1846</v>
      </c>
      <c r="D35" s="50"/>
      <c r="E35" t="s">
        <v>1900</v>
      </c>
      <c r="F35" s="46" t="str">
        <f>IF(I35="","",IF(_xlfn.XLOOKUP(TRIM(I35),'SkillMasterSkill ID'!$C:$C,'SkillMasterSkill ID'!$E:$E,"")=0,"",_xlfn.XLOOKUP(TRIM(I35),'SkillMasterSkill ID'!$C:$C,'SkillMasterSkill ID'!$E:$E,"")))</f>
        <v/>
      </c>
      <c r="G35" t="s">
        <v>1523</v>
      </c>
      <c r="H35" t="s">
        <v>1902</v>
      </c>
      <c r="I35" t="s">
        <v>1903</v>
      </c>
      <c r="J35" s="50" t="str">
        <f>IF(I35="","",_xlfn.XLOOKUP(TRIM(I35),'SkillMasterSkill ID'!$C:$C,'SkillMasterSkill ID'!$F:$F,"NOT FOUND",0))</f>
        <v>NOT FOUND</v>
      </c>
      <c r="K35" s="50"/>
      <c r="L35" s="50"/>
    </row>
    <row r="36" spans="1:12" x14ac:dyDescent="0.25">
      <c r="A3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6">
        <v>10803</v>
      </c>
      <c r="C36" t="s">
        <v>1846</v>
      </c>
      <c r="D36" s="50"/>
      <c r="E36" t="s">
        <v>1667</v>
      </c>
      <c r="F36" s="46" t="str">
        <f>IF(I36="","",IF(_xlfn.XLOOKUP(TRIM(I36),'SkillMasterSkill ID'!$C:$C,'SkillMasterSkill ID'!$E:$E,"")=0,"",_xlfn.XLOOKUP(TRIM(I36),'SkillMasterSkill ID'!$C:$C,'SkillMasterSkill ID'!$E:$E,"")))</f>
        <v/>
      </c>
      <c r="G36" t="s">
        <v>1845</v>
      </c>
      <c r="H36" t="s">
        <v>1849</v>
      </c>
      <c r="I36" t="s">
        <v>1850</v>
      </c>
      <c r="J36" s="50" t="str">
        <f>IF(I36="","",_xlfn.XLOOKUP(TRIM(I36),'SkillMasterSkill ID'!$C:$C,'SkillMasterSkill ID'!$F:$F,"NOT FOUND",0))</f>
        <v>NOT FOUND</v>
      </c>
      <c r="K36" s="50"/>
      <c r="L36" s="50"/>
    </row>
    <row r="37" spans="1:12" x14ac:dyDescent="0.25">
      <c r="A3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7">
        <v>10803</v>
      </c>
      <c r="C37" t="s">
        <v>1846</v>
      </c>
      <c r="D37" s="50"/>
      <c r="E37" t="s">
        <v>1683</v>
      </c>
      <c r="F37" s="46" t="str">
        <f>IF(I37="","",IF(_xlfn.XLOOKUP(TRIM(I37),'SkillMasterSkill ID'!$C:$C,'SkillMasterSkill ID'!$E:$E,"")=0,"",_xlfn.XLOOKUP(TRIM(I37),'SkillMasterSkill ID'!$C:$C,'SkillMasterSkill ID'!$E:$E,"")))</f>
        <v/>
      </c>
      <c r="G37" t="s">
        <v>1521</v>
      </c>
      <c r="H37" t="s">
        <v>1892</v>
      </c>
      <c r="I37" t="s">
        <v>1893</v>
      </c>
      <c r="J37" s="50" t="str">
        <f>IF(I37="","",_xlfn.XLOOKUP(TRIM(I37),'SkillMasterSkill ID'!$C:$C,'SkillMasterSkill ID'!$F:$F,"NOT FOUND",0))</f>
        <v>NOT FOUND</v>
      </c>
      <c r="K37" s="50"/>
      <c r="L37" s="50"/>
    </row>
    <row r="38" spans="1:12" x14ac:dyDescent="0.25">
      <c r="A3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8">
        <v>10803</v>
      </c>
      <c r="C38" t="s">
        <v>1846</v>
      </c>
      <c r="D38" s="50"/>
      <c r="E38" t="s">
        <v>1855</v>
      </c>
      <c r="F38" s="46" t="str">
        <f>IF(I38="","",IF(_xlfn.XLOOKUP(TRIM(I38),'SkillMasterSkill ID'!$C:$C,'SkillMasterSkill ID'!$E:$E,"")=0,"",_xlfn.XLOOKUP(TRIM(I38),'SkillMasterSkill ID'!$C:$C,'SkillMasterSkill ID'!$E:$E,"")))</f>
        <v/>
      </c>
      <c r="G38" t="s">
        <v>1518</v>
      </c>
      <c r="H38" t="s">
        <v>1861</v>
      </c>
      <c r="I38" t="s">
        <v>1862</v>
      </c>
      <c r="J38" s="50" t="str">
        <f>IF(I38="","",_xlfn.XLOOKUP(TRIM(I38),'SkillMasterSkill ID'!$C:$C,'SkillMasterSkill ID'!$F:$F,"NOT FOUND",0))</f>
        <v>NOT FOUND</v>
      </c>
      <c r="K38" s="50"/>
      <c r="L38" s="50"/>
    </row>
    <row r="39" spans="1:12" x14ac:dyDescent="0.25">
      <c r="A3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9">
        <v>10803</v>
      </c>
      <c r="C39" t="s">
        <v>1846</v>
      </c>
      <c r="D39" s="50"/>
      <c r="E39" t="s">
        <v>1900</v>
      </c>
      <c r="F39" s="46" t="str">
        <f>IF(I39="","",IF(_xlfn.XLOOKUP(TRIM(I39),'SkillMasterSkill ID'!$C:$C,'SkillMasterSkill ID'!$E:$E,"")=0,"",_xlfn.XLOOKUP(TRIM(I39),'SkillMasterSkill ID'!$C:$C,'SkillMasterSkill ID'!$E:$E,"")))</f>
        <v/>
      </c>
      <c r="G39" t="s">
        <v>1523</v>
      </c>
      <c r="H39" t="s">
        <v>1908</v>
      </c>
      <c r="I39" t="s">
        <v>1909</v>
      </c>
      <c r="J39" s="50" t="str">
        <f>IF(I39="","",_xlfn.XLOOKUP(TRIM(I39),'SkillMasterSkill ID'!$C:$C,'SkillMasterSkill ID'!$F:$F,"NOT FOUND",0))</f>
        <v>NOT FOUND</v>
      </c>
      <c r="K39" s="50"/>
      <c r="L39" s="50"/>
    </row>
    <row r="40" spans="1:12" x14ac:dyDescent="0.25">
      <c r="A4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0">
        <v>10803</v>
      </c>
      <c r="C40" t="s">
        <v>1846</v>
      </c>
      <c r="D40" s="50"/>
      <c r="E40" t="s">
        <v>1855</v>
      </c>
      <c r="F40" s="46" t="str">
        <f>IF(I40="","",IF(_xlfn.XLOOKUP(TRIM(I40),'SkillMasterSkill ID'!$C:$C,'SkillMasterSkill ID'!$E:$E,"")=0,"",_xlfn.XLOOKUP(TRIM(I40),'SkillMasterSkill ID'!$C:$C,'SkillMasterSkill ID'!$E:$E,"")))</f>
        <v/>
      </c>
      <c r="G40" t="s">
        <v>1518</v>
      </c>
      <c r="H40" t="s">
        <v>1857</v>
      </c>
      <c r="I40" t="s">
        <v>1858</v>
      </c>
      <c r="J40" s="50" t="str">
        <f>IF(I40="","",_xlfn.XLOOKUP(TRIM(I40),'SkillMasterSkill ID'!$C:$C,'SkillMasterSkill ID'!$F:$F,"NOT FOUND",0))</f>
        <v>NOT FOUND</v>
      </c>
      <c r="K40" s="50"/>
      <c r="L40" s="50"/>
    </row>
    <row r="41" spans="1:12" x14ac:dyDescent="0.25">
      <c r="A4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1">
        <v>10803</v>
      </c>
      <c r="C41" t="s">
        <v>1846</v>
      </c>
      <c r="D41" s="50"/>
      <c r="E41" t="s">
        <v>1855</v>
      </c>
      <c r="F41" s="46" t="str">
        <f>IF(I41="","",IF(_xlfn.XLOOKUP(TRIM(I41),'SkillMasterSkill ID'!$C:$C,'SkillMasterSkill ID'!$E:$E,"")=0,"",_xlfn.XLOOKUP(TRIM(I41),'SkillMasterSkill ID'!$C:$C,'SkillMasterSkill ID'!$E:$E,"")))</f>
        <v/>
      </c>
      <c r="G41" t="s">
        <v>1518</v>
      </c>
      <c r="H41" t="s">
        <v>1859</v>
      </c>
      <c r="I41" t="s">
        <v>1860</v>
      </c>
      <c r="J41" s="50" t="str">
        <f>IF(I41="","",_xlfn.XLOOKUP(TRIM(I41),'SkillMasterSkill ID'!$C:$C,'SkillMasterSkill ID'!$F:$F,"NOT FOUND",0))</f>
        <v>NOT FOUND</v>
      </c>
      <c r="K41" s="50"/>
      <c r="L41" s="50"/>
    </row>
    <row r="42" spans="1:12" x14ac:dyDescent="0.25">
      <c r="A4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2">
        <v>10803</v>
      </c>
      <c r="C42" t="s">
        <v>1846</v>
      </c>
      <c r="D42" s="50"/>
      <c r="E42" t="s">
        <v>1716</v>
      </c>
      <c r="F42" s="46" t="str">
        <f>IF(I42="","",IF(_xlfn.XLOOKUP(TRIM(I42),'SkillMasterSkill ID'!$C:$C,'SkillMasterSkill ID'!$E:$E,"")=0,"",_xlfn.XLOOKUP(TRIM(I42),'SkillMasterSkill ID'!$C:$C,'SkillMasterSkill ID'!$E:$E,"")))</f>
        <v/>
      </c>
      <c r="G42" t="s">
        <v>1519</v>
      </c>
      <c r="H42" t="s">
        <v>1872</v>
      </c>
      <c r="I42" t="s">
        <v>1873</v>
      </c>
      <c r="J42" s="50" t="str">
        <f>IF(I42="","",_xlfn.XLOOKUP(TRIM(I42),'SkillMasterSkill ID'!$C:$C,'SkillMasterSkill ID'!$F:$F,"NOT FOUND",0))</f>
        <v>NOT FOUND</v>
      </c>
      <c r="K42" s="50"/>
      <c r="L42" s="50"/>
    </row>
    <row r="43" spans="1:12" x14ac:dyDescent="0.25">
      <c r="A4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3">
        <v>10803</v>
      </c>
      <c r="C43" t="s">
        <v>1846</v>
      </c>
      <c r="D43" s="50"/>
      <c r="E43" t="s">
        <v>1716</v>
      </c>
      <c r="F43" s="46" t="str">
        <f>IF(I43="","",IF(_xlfn.XLOOKUP(TRIM(I43),'SkillMasterSkill ID'!$C:$C,'SkillMasterSkill ID'!$E:$E,"")=0,"",_xlfn.XLOOKUP(TRIM(I43),'SkillMasterSkill ID'!$C:$C,'SkillMasterSkill ID'!$E:$E,"")))</f>
        <v/>
      </c>
      <c r="G43" t="s">
        <v>1519</v>
      </c>
      <c r="H43" t="s">
        <v>1874</v>
      </c>
      <c r="I43" t="s">
        <v>1875</v>
      </c>
      <c r="J43" s="50" t="str">
        <f>IF(I43="","",_xlfn.XLOOKUP(TRIM(I43),'SkillMasterSkill ID'!$C:$C,'SkillMasterSkill ID'!$F:$F,"NOT FOUND",0))</f>
        <v>NOT FOUND</v>
      </c>
      <c r="K43" s="50"/>
      <c r="L43" s="50"/>
    </row>
    <row r="44" spans="1:12" x14ac:dyDescent="0.25">
      <c r="A4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4">
        <v>10803</v>
      </c>
      <c r="C44" t="s">
        <v>1846</v>
      </c>
      <c r="D44" s="50"/>
      <c r="E44" t="s">
        <v>1851</v>
      </c>
      <c r="F44" s="46" t="str">
        <f>IF(I44="","",IF(_xlfn.XLOOKUP(TRIM(I44),'SkillMasterSkill ID'!$C:$C,'SkillMasterSkill ID'!$E:$E,"")=0,"",_xlfn.XLOOKUP(TRIM(I44),'SkillMasterSkill ID'!$C:$C,'SkillMasterSkill ID'!$E:$E,"")))</f>
        <v/>
      </c>
      <c r="G44" t="s">
        <v>1845</v>
      </c>
      <c r="H44" t="s">
        <v>1853</v>
      </c>
      <c r="I44" t="s">
        <v>1854</v>
      </c>
      <c r="J44" s="50" t="str">
        <f>IF(I44="","",_xlfn.XLOOKUP(TRIM(I44),'SkillMasterSkill ID'!$C:$C,'SkillMasterSkill ID'!$F:$F,"NOT FOUND",0))</f>
        <v>NOT FOUND</v>
      </c>
      <c r="K44" s="50"/>
      <c r="L44" s="50"/>
    </row>
    <row r="45" spans="1:12" x14ac:dyDescent="0.25">
      <c r="A4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5">
        <v>10803</v>
      </c>
      <c r="C45" t="s">
        <v>1846</v>
      </c>
      <c r="D45" s="50"/>
      <c r="E45" t="s">
        <v>1855</v>
      </c>
      <c r="F45" s="46" t="str">
        <f>IF(I45="","",IF(_xlfn.XLOOKUP(TRIM(I45),'SkillMasterSkill ID'!$C:$C,'SkillMasterSkill ID'!$E:$E,"")=0,"",_xlfn.XLOOKUP(TRIM(I45),'SkillMasterSkill ID'!$C:$C,'SkillMasterSkill ID'!$E:$E,"")))</f>
        <v/>
      </c>
      <c r="G45" t="s">
        <v>1518</v>
      </c>
      <c r="H45" t="s">
        <v>1863</v>
      </c>
      <c r="I45" t="s">
        <v>1864</v>
      </c>
      <c r="J45" s="50" t="str">
        <f>IF(I45="","",_xlfn.XLOOKUP(TRIM(I45),'SkillMasterSkill ID'!$C:$C,'SkillMasterSkill ID'!$F:$F,"NOT FOUND",0))</f>
        <v>NOT FOUND</v>
      </c>
      <c r="K45" s="50"/>
      <c r="L45" s="50"/>
    </row>
    <row r="46" spans="1:12" x14ac:dyDescent="0.25">
      <c r="A4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6">
        <v>10803</v>
      </c>
      <c r="C46" t="s">
        <v>1846</v>
      </c>
      <c r="D46" s="50"/>
      <c r="E46" t="s">
        <v>1894</v>
      </c>
      <c r="F46" s="46" t="str">
        <f>IF(I46="","",IF(_xlfn.XLOOKUP(TRIM(I46),'SkillMasterSkill ID'!$C:$C,'SkillMasterSkill ID'!$E:$E,"")=0,"",_xlfn.XLOOKUP(TRIM(I46),'SkillMasterSkill ID'!$C:$C,'SkillMasterSkill ID'!$E:$E,"")))</f>
        <v/>
      </c>
      <c r="G46" t="s">
        <v>1523</v>
      </c>
      <c r="H46" t="s">
        <v>1898</v>
      </c>
      <c r="I46" t="s">
        <v>1899</v>
      </c>
      <c r="J46" s="50" t="str">
        <f>IF(I46="","",_xlfn.XLOOKUP(TRIM(I46),'SkillMasterSkill ID'!$C:$C,'SkillMasterSkill ID'!$F:$F,"NOT FOUND",0))</f>
        <v>NOT FOUND</v>
      </c>
      <c r="K46" s="50"/>
      <c r="L46" s="50"/>
    </row>
    <row r="47" spans="1:12" x14ac:dyDescent="0.25">
      <c r="A4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7">
        <v>10803</v>
      </c>
      <c r="C47" t="s">
        <v>1846</v>
      </c>
      <c r="D47" s="50"/>
      <c r="E47" t="s">
        <v>1881</v>
      </c>
      <c r="F47" s="46" t="str">
        <f>IF(I47="","",IF(_xlfn.XLOOKUP(TRIM(I47),'SkillMasterSkill ID'!$C:$C,'SkillMasterSkill ID'!$E:$E,"")=0,"",_xlfn.XLOOKUP(TRIM(I47),'SkillMasterSkill ID'!$C:$C,'SkillMasterSkill ID'!$E:$E,"")))</f>
        <v/>
      </c>
      <c r="G47" t="s">
        <v>1521</v>
      </c>
      <c r="H47" t="s">
        <v>1885</v>
      </c>
      <c r="I47" t="s">
        <v>1886</v>
      </c>
      <c r="J47" s="50" t="str">
        <f>IF(I47="","",_xlfn.XLOOKUP(TRIM(I47),'SkillMasterSkill ID'!$C:$C,'SkillMasterSkill ID'!$F:$F,"NOT FOUND",0))</f>
        <v>NOT FOUND</v>
      </c>
      <c r="K47" s="50"/>
      <c r="L47" s="50"/>
    </row>
    <row r="48" spans="1:12" x14ac:dyDescent="0.25">
      <c r="A4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8">
        <v>10803</v>
      </c>
      <c r="C48" t="s">
        <v>1846</v>
      </c>
      <c r="D48" s="50"/>
      <c r="E48" t="s">
        <v>1655</v>
      </c>
      <c r="F48" s="46" t="str">
        <f>IF(I48="","",IF(_xlfn.XLOOKUP(TRIM(I48),'SkillMasterSkill ID'!$C:$C,'SkillMasterSkill ID'!$E:$E,"")=0,"",_xlfn.XLOOKUP(TRIM(I48),'SkillMasterSkill ID'!$C:$C,'SkillMasterSkill ID'!$E:$E,"")))</f>
        <v/>
      </c>
      <c r="G48" t="s">
        <v>1845</v>
      </c>
      <c r="H48" t="s">
        <v>1847</v>
      </c>
      <c r="I48" t="s">
        <v>1848</v>
      </c>
      <c r="J48" s="50" t="str">
        <f>IF(I48="","",_xlfn.XLOOKUP(TRIM(I48),'SkillMasterSkill ID'!$C:$C,'SkillMasterSkill ID'!$F:$F,"NOT FOUND",0))</f>
        <v>NOT FOUND</v>
      </c>
      <c r="K48" s="50"/>
      <c r="L48" s="50"/>
    </row>
    <row r="49" spans="1:12" x14ac:dyDescent="0.25">
      <c r="A4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9">
        <v>10803</v>
      </c>
      <c r="C49" t="s">
        <v>1846</v>
      </c>
      <c r="D49" s="50"/>
      <c r="E49" t="s">
        <v>1900</v>
      </c>
      <c r="F49" s="46" t="str">
        <f>IF(I49="","",IF(_xlfn.XLOOKUP(TRIM(I49),'SkillMasterSkill ID'!$C:$C,'SkillMasterSkill ID'!$E:$E,"")=0,"",_xlfn.XLOOKUP(TRIM(I49),'SkillMasterSkill ID'!$C:$C,'SkillMasterSkill ID'!$E:$E,"")))</f>
        <v/>
      </c>
      <c r="G49" t="s">
        <v>1523</v>
      </c>
      <c r="H49" t="s">
        <v>1904</v>
      </c>
      <c r="I49" t="s">
        <v>1905</v>
      </c>
      <c r="J49" s="50" t="str">
        <f>IF(I49="","",_xlfn.XLOOKUP(TRIM(I49),'SkillMasterSkill ID'!$C:$C,'SkillMasterSkill ID'!$F:$F,"NOT FOUND",0))</f>
        <v>NOT FOUND</v>
      </c>
      <c r="K49" s="50"/>
      <c r="L49" s="50"/>
    </row>
    <row r="50" spans="1:12" x14ac:dyDescent="0.25">
      <c r="A5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0">
        <v>10803</v>
      </c>
      <c r="C50" t="s">
        <v>1846</v>
      </c>
      <c r="D50" s="50"/>
      <c r="E50" t="s">
        <v>1894</v>
      </c>
      <c r="F50" s="46" t="str">
        <f>IF(I50="","",IF(_xlfn.XLOOKUP(TRIM(I50),'SkillMasterSkill ID'!$C:$C,'SkillMasterSkill ID'!$E:$E,"")=0,"",_xlfn.XLOOKUP(TRIM(I50),'SkillMasterSkill ID'!$C:$C,'SkillMasterSkill ID'!$E:$E,"")))</f>
        <v/>
      </c>
      <c r="G50" t="s">
        <v>1523</v>
      </c>
      <c r="H50" t="s">
        <v>1896</v>
      </c>
      <c r="I50" t="s">
        <v>1897</v>
      </c>
      <c r="J50" s="50" t="str">
        <f>IF(I50="","",_xlfn.XLOOKUP(TRIM(I50),'SkillMasterSkill ID'!$C:$C,'SkillMasterSkill ID'!$F:$F,"NOT FOUND",0))</f>
        <v>NOT FOUND</v>
      </c>
      <c r="K50" s="50"/>
      <c r="L50" s="50"/>
    </row>
    <row r="51" spans="1:12" x14ac:dyDescent="0.25">
      <c r="A5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1">
        <v>10803</v>
      </c>
      <c r="C51" t="s">
        <v>1846</v>
      </c>
      <c r="D51" s="50"/>
      <c r="E51" t="s">
        <v>1683</v>
      </c>
      <c r="F51" s="46" t="str">
        <f>IF(I51="","",IF(_xlfn.XLOOKUP(TRIM(I51),'SkillMasterSkill ID'!$C:$C,'SkillMasterSkill ID'!$E:$E,"")=0,"",_xlfn.XLOOKUP(TRIM(I51),'SkillMasterSkill ID'!$C:$C,'SkillMasterSkill ID'!$E:$E,"")))</f>
        <v/>
      </c>
      <c r="G51" t="s">
        <v>1521</v>
      </c>
      <c r="H51" t="s">
        <v>1890</v>
      </c>
      <c r="I51" t="s">
        <v>1891</v>
      </c>
      <c r="J51" s="50" t="str">
        <f>IF(I51="","",_xlfn.XLOOKUP(TRIM(I51),'SkillMasterSkill ID'!$C:$C,'SkillMasterSkill ID'!$F:$F,"NOT FOUND",0))</f>
        <v>NOT FOUND</v>
      </c>
      <c r="K51" s="50"/>
      <c r="L51" s="50"/>
    </row>
    <row r="52" spans="1:12" x14ac:dyDescent="0.25">
      <c r="A5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2">
        <v>10803</v>
      </c>
      <c r="C52" t="s">
        <v>1846</v>
      </c>
      <c r="D52" s="50"/>
      <c r="E52" t="s">
        <v>1900</v>
      </c>
      <c r="F52" s="46" t="str">
        <f>IF(I52="","",IF(_xlfn.XLOOKUP(TRIM(I52),'SkillMasterSkill ID'!$C:$C,'SkillMasterSkill ID'!$E:$E,"")=0,"",_xlfn.XLOOKUP(TRIM(I52),'SkillMasterSkill ID'!$C:$C,'SkillMasterSkill ID'!$E:$E,"")))</f>
        <v/>
      </c>
      <c r="G52" t="s">
        <v>1523</v>
      </c>
      <c r="H52" t="s">
        <v>1910</v>
      </c>
      <c r="I52" t="s">
        <v>1911</v>
      </c>
      <c r="J52" s="50" t="str">
        <f>IF(I52="","",_xlfn.XLOOKUP(TRIM(I52),'SkillMasterSkill ID'!$C:$C,'SkillMasterSkill ID'!$F:$F,"NOT FOUND",0))</f>
        <v>NOT FOUND</v>
      </c>
      <c r="K52" s="50"/>
      <c r="L52" s="50"/>
    </row>
    <row r="53" spans="1:12" x14ac:dyDescent="0.25">
      <c r="A5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3">
        <v>10803</v>
      </c>
      <c r="C53" t="s">
        <v>1846</v>
      </c>
      <c r="D53" s="50"/>
      <c r="E53" t="s">
        <v>1878</v>
      </c>
      <c r="F53" s="46" t="str">
        <f>IF(I53="","",IF(_xlfn.XLOOKUP(TRIM(I53),'SkillMasterSkill ID'!$C:$C,'SkillMasterSkill ID'!$E:$E,"")=0,"",_xlfn.XLOOKUP(TRIM(I53),'SkillMasterSkill ID'!$C:$C,'SkillMasterSkill ID'!$E:$E,"")))</f>
        <v/>
      </c>
      <c r="G53" t="s">
        <v>1519</v>
      </c>
      <c r="H53" t="s">
        <v>1879</v>
      </c>
      <c r="I53" t="s">
        <v>1880</v>
      </c>
      <c r="J53" s="50" t="str">
        <f>IF(I53="","",_xlfn.XLOOKUP(TRIM(I53),'SkillMasterSkill ID'!$C:$C,'SkillMasterSkill ID'!$F:$F,"NOT FOUND",0))</f>
        <v>NOT FOUND</v>
      </c>
      <c r="K53" s="50"/>
      <c r="L53" s="50"/>
    </row>
    <row r="54" spans="1:12" x14ac:dyDescent="0.25">
      <c r="A5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4">
        <v>10803</v>
      </c>
      <c r="C54" t="s">
        <v>1846</v>
      </c>
      <c r="D54" s="50"/>
      <c r="E54" t="s">
        <v>1881</v>
      </c>
      <c r="F54" s="46" t="str">
        <f>IF(I54="","",IF(_xlfn.XLOOKUP(TRIM(I54),'SkillMasterSkill ID'!$C:$C,'SkillMasterSkill ID'!$E:$E,"")=0,"",_xlfn.XLOOKUP(TRIM(I54),'SkillMasterSkill ID'!$C:$C,'SkillMasterSkill ID'!$E:$E,"")))</f>
        <v/>
      </c>
      <c r="G54" t="s">
        <v>1521</v>
      </c>
      <c r="H54" t="s">
        <v>1883</v>
      </c>
      <c r="I54" t="s">
        <v>1884</v>
      </c>
      <c r="J54" s="50" t="str">
        <f>IF(I54="","",_xlfn.XLOOKUP(TRIM(I54),'SkillMasterSkill ID'!$C:$C,'SkillMasterSkill ID'!$F:$F,"NOT FOUND",0))</f>
        <v>NOT FOUND</v>
      </c>
      <c r="K54" s="50"/>
      <c r="L54" s="50"/>
    </row>
    <row r="55" spans="1:12" x14ac:dyDescent="0.25">
      <c r="A5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5">
        <v>10803</v>
      </c>
      <c r="C55" t="s">
        <v>1846</v>
      </c>
      <c r="D55" s="50"/>
      <c r="E55" t="s">
        <v>1855</v>
      </c>
      <c r="F55" s="46" t="str">
        <f>IF(I55="","",IF(_xlfn.XLOOKUP(TRIM(I55),'SkillMasterSkill ID'!$C:$C,'SkillMasterSkill ID'!$E:$E,"")=0,"",_xlfn.XLOOKUP(TRIM(I55),'SkillMasterSkill ID'!$C:$C,'SkillMasterSkill ID'!$E:$E,"")))</f>
        <v/>
      </c>
      <c r="G55" t="s">
        <v>1518</v>
      </c>
      <c r="H55" t="s">
        <v>1865</v>
      </c>
      <c r="I55" t="s">
        <v>1866</v>
      </c>
      <c r="J55" s="50" t="str">
        <f>IF(I55="","",_xlfn.XLOOKUP(TRIM(I55),'SkillMasterSkill ID'!$C:$C,'SkillMasterSkill ID'!$F:$F,"NOT FOUND",0))</f>
        <v>NOT FOUND</v>
      </c>
      <c r="K55" s="50"/>
      <c r="L55" s="50"/>
    </row>
    <row r="56" spans="1:12" x14ac:dyDescent="0.25">
      <c r="A5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6">
        <v>10803</v>
      </c>
      <c r="C56" t="s">
        <v>1846</v>
      </c>
      <c r="D56" s="50"/>
      <c r="E56" t="s">
        <v>1716</v>
      </c>
      <c r="F56" s="46" t="str">
        <f>IF(I56="","",IF(_xlfn.XLOOKUP(TRIM(I56),'SkillMasterSkill ID'!$C:$C,'SkillMasterSkill ID'!$E:$E,"")=0,"",_xlfn.XLOOKUP(TRIM(I56),'SkillMasterSkill ID'!$C:$C,'SkillMasterSkill ID'!$E:$E,"")))</f>
        <v/>
      </c>
      <c r="G56" t="s">
        <v>1519</v>
      </c>
      <c r="H56" t="s">
        <v>1876</v>
      </c>
      <c r="I56" t="s">
        <v>1877</v>
      </c>
      <c r="J56" s="50" t="str">
        <f>IF(I56="","",_xlfn.XLOOKUP(TRIM(I56),'SkillMasterSkill ID'!$C:$C,'SkillMasterSkill ID'!$F:$F,"NOT FOUND",0))</f>
        <v>NOT FOUND</v>
      </c>
      <c r="K56" s="50"/>
      <c r="L56" s="50"/>
    </row>
    <row r="57" spans="1:12" x14ac:dyDescent="0.25">
      <c r="A5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7">
        <v>10803</v>
      </c>
      <c r="C57" t="s">
        <v>1846</v>
      </c>
      <c r="D57" s="50"/>
      <c r="E57" t="s">
        <v>1716</v>
      </c>
      <c r="F57" s="46" t="str">
        <f>IF(I57="","",IF(_xlfn.XLOOKUP(TRIM(I57),'SkillMasterSkill ID'!$C:$C,'SkillMasterSkill ID'!$E:$E,"")=0,"",_xlfn.XLOOKUP(TRIM(I57),'SkillMasterSkill ID'!$C:$C,'SkillMasterSkill ID'!$E:$E,"")))</f>
        <v/>
      </c>
      <c r="G57" t="s">
        <v>1519</v>
      </c>
      <c r="H57" t="s">
        <v>1868</v>
      </c>
      <c r="I57" t="s">
        <v>1869</v>
      </c>
      <c r="J57" s="50" t="str">
        <f>IF(I57="","",_xlfn.XLOOKUP(TRIM(I57),'SkillMasterSkill ID'!$C:$C,'SkillMasterSkill ID'!$F:$F,"NOT FOUND",0))</f>
        <v>NOT FOUND</v>
      </c>
      <c r="K57" s="50"/>
      <c r="L57" s="50"/>
    </row>
    <row r="58" spans="1:12" x14ac:dyDescent="0.25">
      <c r="A5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8">
        <v>10803</v>
      </c>
      <c r="C58" t="s">
        <v>1846</v>
      </c>
      <c r="D58" s="50"/>
      <c r="E58" t="s">
        <v>1881</v>
      </c>
      <c r="F58" s="46" t="str">
        <f>IF(I58="","",IF(_xlfn.XLOOKUP(TRIM(I58),'SkillMasterSkill ID'!$C:$C,'SkillMasterSkill ID'!$E:$E,"")=0,"",_xlfn.XLOOKUP(TRIM(I58),'SkillMasterSkill ID'!$C:$C,'SkillMasterSkill ID'!$E:$E,"")))</f>
        <v/>
      </c>
      <c r="G58" t="s">
        <v>1521</v>
      </c>
      <c r="H58" t="s">
        <v>1887</v>
      </c>
      <c r="I58" t="s">
        <v>1888</v>
      </c>
      <c r="J58" s="50" t="str">
        <f>IF(I58="","",_xlfn.XLOOKUP(TRIM(I58),'SkillMasterSkill ID'!$C:$C,'SkillMasterSkill ID'!$F:$F,"NOT FOUND",0))</f>
        <v>NOT FOUND</v>
      </c>
      <c r="K58" s="50"/>
      <c r="L58" s="50"/>
    </row>
    <row r="59" spans="1:12" x14ac:dyDescent="0.25">
      <c r="A5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9">
        <v>10803</v>
      </c>
      <c r="C59" t="s">
        <v>1846</v>
      </c>
      <c r="D59" s="50"/>
      <c r="E59" t="s">
        <v>1900</v>
      </c>
      <c r="F59" s="46" t="str">
        <f>IF(I59="","",IF(_xlfn.XLOOKUP(TRIM(I59),'SkillMasterSkill ID'!$C:$C,'SkillMasterSkill ID'!$E:$E,"")=0,"",_xlfn.XLOOKUP(TRIM(I59),'SkillMasterSkill ID'!$C:$C,'SkillMasterSkill ID'!$E:$E,"")))</f>
        <v/>
      </c>
      <c r="G59" t="s">
        <v>1523</v>
      </c>
      <c r="H59" t="s">
        <v>1906</v>
      </c>
      <c r="I59" t="s">
        <v>1907</v>
      </c>
      <c r="J59" s="50" t="str">
        <f>IF(I59="","",_xlfn.XLOOKUP(TRIM(I59),'SkillMasterSkill ID'!$C:$C,'SkillMasterSkill ID'!$F:$F,"NOT FOUND",0))</f>
        <v>NOT FOUND</v>
      </c>
      <c r="K59" s="50"/>
      <c r="L59" s="50"/>
    </row>
    <row r="60" spans="1:12" x14ac:dyDescent="0.25">
      <c r="A6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0">
        <v>10813</v>
      </c>
      <c r="C60" t="s">
        <v>1912</v>
      </c>
      <c r="D60" s="50"/>
      <c r="E60" t="s">
        <v>1618</v>
      </c>
      <c r="F60" s="46" t="str">
        <f>IF(I60="","",IF(_xlfn.XLOOKUP(TRIM(I60),'SkillMasterSkill ID'!$C:$C,'SkillMasterSkill ID'!$E:$E,"")=0,"",_xlfn.XLOOKUP(TRIM(I60),'SkillMasterSkill ID'!$C:$C,'SkillMasterSkill ID'!$E:$E,"")))</f>
        <v/>
      </c>
      <c r="G60" t="s">
        <v>1622</v>
      </c>
      <c r="H60" t="s">
        <v>1620</v>
      </c>
      <c r="I60" t="s">
        <v>1621</v>
      </c>
      <c r="J60" s="50" t="str">
        <f>IF(I60="","",_xlfn.XLOOKUP(TRIM(I60),'SkillMasterSkill ID'!$C:$C,'SkillMasterSkill ID'!$F:$F,"NOT FOUND",0))</f>
        <v>NOT FOUND</v>
      </c>
      <c r="K60" s="50"/>
      <c r="L60" s="50"/>
    </row>
    <row r="61" spans="1:12" x14ac:dyDescent="0.25">
      <c r="A6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1">
        <v>10813</v>
      </c>
      <c r="C61" t="s">
        <v>1912</v>
      </c>
      <c r="D61" s="50"/>
      <c r="E61" t="s">
        <v>1614</v>
      </c>
      <c r="F61" s="46" t="str">
        <f>IF(I61="","",IF(_xlfn.XLOOKUP(TRIM(I61),'SkillMasterSkill ID'!$C:$C,'SkillMasterSkill ID'!$E:$E,"")=0,"",_xlfn.XLOOKUP(TRIM(I61),'SkillMasterSkill ID'!$C:$C,'SkillMasterSkill ID'!$E:$E,"")))</f>
        <v/>
      </c>
      <c r="G61" t="s">
        <v>1622</v>
      </c>
      <c r="H61" t="s">
        <v>1616</v>
      </c>
      <c r="I61" t="s">
        <v>1617</v>
      </c>
      <c r="J61" s="50" t="str">
        <f>IF(I61="","",_xlfn.XLOOKUP(TRIM(I61),'SkillMasterSkill ID'!$C:$C,'SkillMasterSkill ID'!$F:$F,"NOT FOUND",0))</f>
        <v>NOT FOUND</v>
      </c>
      <c r="K61" s="50"/>
      <c r="L61" s="50"/>
    </row>
    <row r="62" spans="1:12" x14ac:dyDescent="0.25">
      <c r="A6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2">
        <v>10813</v>
      </c>
      <c r="C62" t="s">
        <v>1912</v>
      </c>
      <c r="D62" s="50"/>
      <c r="E62" t="s">
        <v>1598</v>
      </c>
      <c r="F62" s="46" t="str">
        <f>IF(I62="","",IF(_xlfn.XLOOKUP(TRIM(I62),'SkillMasterSkill ID'!$C:$C,'SkillMasterSkill ID'!$E:$E,"")=0,"",_xlfn.XLOOKUP(TRIM(I62),'SkillMasterSkill ID'!$C:$C,'SkillMasterSkill ID'!$E:$E,"")))</f>
        <v/>
      </c>
      <c r="G62" t="s">
        <v>1622</v>
      </c>
      <c r="H62" t="s">
        <v>1600</v>
      </c>
      <c r="I62" t="s">
        <v>1601</v>
      </c>
      <c r="J62" s="50" t="str">
        <f>IF(I62="","",_xlfn.XLOOKUP(TRIM(I62),'SkillMasterSkill ID'!$C:$C,'SkillMasterSkill ID'!$F:$F,"NOT FOUND",0))</f>
        <v>NOT FOUND</v>
      </c>
      <c r="K62" s="50"/>
      <c r="L62" s="50"/>
    </row>
    <row r="63" spans="1:12" x14ac:dyDescent="0.25">
      <c r="A6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3">
        <v>10813</v>
      </c>
      <c r="C63" t="s">
        <v>1912</v>
      </c>
      <c r="D63" s="50"/>
      <c r="E63" t="s">
        <v>1606</v>
      </c>
      <c r="F63" s="46" t="str">
        <f>IF(I63="","",IF(_xlfn.XLOOKUP(TRIM(I63),'SkillMasterSkill ID'!$C:$C,'SkillMasterSkill ID'!$E:$E,"")=0,"",_xlfn.XLOOKUP(TRIM(I63),'SkillMasterSkill ID'!$C:$C,'SkillMasterSkill ID'!$E:$E,"")))</f>
        <v/>
      </c>
      <c r="G63" t="s">
        <v>1622</v>
      </c>
      <c r="H63" t="s">
        <v>1608</v>
      </c>
      <c r="I63" t="s">
        <v>1609</v>
      </c>
      <c r="J63" s="50" t="str">
        <f>IF(I63="","",_xlfn.XLOOKUP(TRIM(I63),'SkillMasterSkill ID'!$C:$C,'SkillMasterSkill ID'!$F:$F,"NOT FOUND",0))</f>
        <v>NOT FOUND</v>
      </c>
      <c r="K63" s="50"/>
      <c r="L63" s="50"/>
    </row>
    <row r="64" spans="1:12" x14ac:dyDescent="0.25">
      <c r="A6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4">
        <v>10813</v>
      </c>
      <c r="C64" t="s">
        <v>1912</v>
      </c>
      <c r="D64" s="50"/>
      <c r="E64" t="s">
        <v>1610</v>
      </c>
      <c r="F64" s="46" t="str">
        <f>IF(I64="","",IF(_xlfn.XLOOKUP(TRIM(I64),'SkillMasterSkill ID'!$C:$C,'SkillMasterSkill ID'!$E:$E,"")=0,"",_xlfn.XLOOKUP(TRIM(I64),'SkillMasterSkill ID'!$C:$C,'SkillMasterSkill ID'!$E:$E,"")))</f>
        <v/>
      </c>
      <c r="G64" t="s">
        <v>1622</v>
      </c>
      <c r="H64" t="s">
        <v>1612</v>
      </c>
      <c r="I64" t="s">
        <v>1613</v>
      </c>
      <c r="J64" s="50" t="str">
        <f>IF(I64="","",_xlfn.XLOOKUP(TRIM(I64),'SkillMasterSkill ID'!$C:$C,'SkillMasterSkill ID'!$F:$F,"NOT FOUND",0))</f>
        <v>Competency related to waste identification that supports effective field/project leadership and execution.</v>
      </c>
      <c r="K64" s="50"/>
      <c r="L64" s="50"/>
    </row>
    <row r="65" spans="1:12" x14ac:dyDescent="0.25">
      <c r="A6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5">
        <v>10813</v>
      </c>
      <c r="C65" t="s">
        <v>1912</v>
      </c>
      <c r="D65" s="50"/>
      <c r="E65" t="s">
        <v>1602</v>
      </c>
      <c r="F65" s="46" t="str">
        <f>IF(I65="","",IF(_xlfn.XLOOKUP(TRIM(I65),'SkillMasterSkill ID'!$C:$C,'SkillMasterSkill ID'!$E:$E,"")=0,"",_xlfn.XLOOKUP(TRIM(I65),'SkillMasterSkill ID'!$C:$C,'SkillMasterSkill ID'!$E:$E,"")))</f>
        <v/>
      </c>
      <c r="G65" t="s">
        <v>1622</v>
      </c>
      <c r="H65" t="s">
        <v>1604</v>
      </c>
      <c r="I65" t="s">
        <v>1605</v>
      </c>
      <c r="J65" s="50" t="str">
        <f>IF(I65="","",_xlfn.XLOOKUP(TRIM(I65),'SkillMasterSkill ID'!$C:$C,'SkillMasterSkill ID'!$F:$F,"NOT FOUND",0))</f>
        <v>NOT FOUND</v>
      </c>
      <c r="K65" s="50"/>
      <c r="L65" s="50"/>
    </row>
    <row r="66" spans="1:12" x14ac:dyDescent="0.25">
      <c r="A6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6">
        <v>10813</v>
      </c>
      <c r="C66" t="s">
        <v>1914</v>
      </c>
      <c r="D66" s="50"/>
      <c r="E66" t="s">
        <v>1878</v>
      </c>
      <c r="F66" s="50"/>
      <c r="G66" t="s">
        <v>1826</v>
      </c>
      <c r="H66" t="s">
        <v>1967</v>
      </c>
      <c r="I66" t="s">
        <v>1968</v>
      </c>
      <c r="J66" s="50" t="str">
        <f>IF(I66="","",_xlfn.XLOOKUP(TRIM(I66),'SkillMasterSkill ID'!$C:$C,'SkillMasterSkill ID'!$F:$F,"NOT FOUND",0))</f>
        <v>NOT FOUND</v>
      </c>
      <c r="K66" s="50"/>
      <c r="L66" s="50"/>
    </row>
    <row r="67" spans="1:12" x14ac:dyDescent="0.25">
      <c r="A6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7">
        <v>10813</v>
      </c>
      <c r="C67" t="s">
        <v>1914</v>
      </c>
      <c r="D67" s="50"/>
      <c r="E67" t="s">
        <v>1754</v>
      </c>
      <c r="F67" s="50"/>
      <c r="G67" t="s">
        <v>1942</v>
      </c>
      <c r="H67" t="s">
        <v>1943</v>
      </c>
      <c r="I67" t="s">
        <v>1944</v>
      </c>
      <c r="J67" s="50" t="str">
        <f>IF(I67="","",_xlfn.XLOOKUP(TRIM(I67),'SkillMasterSkill ID'!$C:$C,'SkillMasterSkill ID'!$F:$F,"NOT FOUND",0))</f>
        <v>NOT FOUND</v>
      </c>
      <c r="K67" s="50"/>
      <c r="L67" s="50"/>
    </row>
    <row r="68" spans="1:12" x14ac:dyDescent="0.25">
      <c r="A6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8">
        <v>10813</v>
      </c>
      <c r="C68" t="s">
        <v>1914</v>
      </c>
      <c r="D68" s="50"/>
      <c r="E68" t="s">
        <v>1602</v>
      </c>
      <c r="F68" s="46" t="str">
        <f>IF(I68="","",IF(_xlfn.XLOOKUP(TRIM(I68),'SkillMasterSkill ID'!$C:$C,'SkillMasterSkill ID'!$E:$E,"")=0,"",_xlfn.XLOOKUP(TRIM(I68),'SkillMasterSkill ID'!$C:$C,'SkillMasterSkill ID'!$E:$E,"")))</f>
        <v/>
      </c>
      <c r="G68" t="s">
        <v>1924</v>
      </c>
      <c r="H68" t="s">
        <v>1925</v>
      </c>
      <c r="I68" t="s">
        <v>1926</v>
      </c>
      <c r="J68" s="50" t="str">
        <f>IF(I68="","",_xlfn.XLOOKUP(TRIM(I68),'SkillMasterSkill ID'!$C:$C,'SkillMasterSkill ID'!$F:$F,"NOT FOUND",0))</f>
        <v>NOT FOUND</v>
      </c>
      <c r="K68" s="50"/>
      <c r="L68" s="50"/>
    </row>
    <row r="69" spans="1:12" x14ac:dyDescent="0.25">
      <c r="A6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9">
        <v>10813</v>
      </c>
      <c r="C69" t="s">
        <v>1914</v>
      </c>
      <c r="D69" s="50"/>
      <c r="E69" t="s">
        <v>1602</v>
      </c>
      <c r="F69" s="46" t="str">
        <f>IF(I69="","",IF(_xlfn.XLOOKUP(TRIM(I69),'SkillMasterSkill ID'!$C:$C,'SkillMasterSkill ID'!$E:$E,"")=0,"",_xlfn.XLOOKUP(TRIM(I69),'SkillMasterSkill ID'!$C:$C,'SkillMasterSkill ID'!$E:$E,"")))</f>
        <v/>
      </c>
      <c r="G69" t="s">
        <v>1924</v>
      </c>
      <c r="H69" t="s">
        <v>1931</v>
      </c>
      <c r="I69" t="s">
        <v>1932</v>
      </c>
      <c r="J69" s="50" t="str">
        <f>IF(I69="","",_xlfn.XLOOKUP(TRIM(I69),'SkillMasterSkill ID'!$C:$C,'SkillMasterSkill ID'!$F:$F,"NOT FOUND",0))</f>
        <v>NOT FOUND</v>
      </c>
      <c r="K69" s="50"/>
      <c r="L69" s="50"/>
    </row>
    <row r="70" spans="1:12" x14ac:dyDescent="0.25">
      <c r="A7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0">
        <v>10813</v>
      </c>
      <c r="C70" t="s">
        <v>1914</v>
      </c>
      <c r="D70" s="50"/>
      <c r="E70" t="s">
        <v>1881</v>
      </c>
      <c r="F70" s="50"/>
      <c r="G70" t="s">
        <v>1953</v>
      </c>
      <c r="H70" t="s">
        <v>1958</v>
      </c>
      <c r="I70" t="s">
        <v>1959</v>
      </c>
      <c r="J70" s="50" t="str">
        <f>IF(I70="","",_xlfn.XLOOKUP(TRIM(I70),'SkillMasterSkill ID'!$C:$C,'SkillMasterSkill ID'!$F:$F,"NOT FOUND",0))</f>
        <v>NOT FOUND</v>
      </c>
      <c r="K70" s="50"/>
      <c r="L70" s="50"/>
    </row>
    <row r="71" spans="1:12" x14ac:dyDescent="0.25">
      <c r="A7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1">
        <v>10813</v>
      </c>
      <c r="C71" t="s">
        <v>1914</v>
      </c>
      <c r="D71" s="50"/>
      <c r="E71" t="s">
        <v>1598</v>
      </c>
      <c r="F71" s="46" t="str">
        <f>IF(I71="","",IF(_xlfn.XLOOKUP(TRIM(I71),'SkillMasterSkill ID'!$C:$C,'SkillMasterSkill ID'!$E:$E,"")=0,"",_xlfn.XLOOKUP(TRIM(I71),'SkillMasterSkill ID'!$C:$C,'SkillMasterSkill ID'!$E:$E,"")))</f>
        <v/>
      </c>
      <c r="G71" t="s">
        <v>1913</v>
      </c>
      <c r="H71" t="s">
        <v>1916</v>
      </c>
      <c r="I71" t="s">
        <v>1917</v>
      </c>
      <c r="J71" s="50" t="str">
        <f>IF(I71="","",_xlfn.XLOOKUP(TRIM(I71),'SkillMasterSkill ID'!$C:$C,'SkillMasterSkill ID'!$F:$F,"NOT FOUND",0))</f>
        <v>NOT FOUND</v>
      </c>
      <c r="K71" s="50"/>
      <c r="L71" s="50"/>
    </row>
    <row r="72" spans="1:12" x14ac:dyDescent="0.25">
      <c r="A7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2">
        <v>10813</v>
      </c>
      <c r="C72" t="s">
        <v>1914</v>
      </c>
      <c r="D72" s="50"/>
      <c r="E72" t="s">
        <v>1602</v>
      </c>
      <c r="F72" s="46" t="str">
        <f>IF(I72="","",IF(_xlfn.XLOOKUP(TRIM(I72),'SkillMasterSkill ID'!$C:$C,'SkillMasterSkill ID'!$E:$E,"")=0,"",_xlfn.XLOOKUP(TRIM(I72),'SkillMasterSkill ID'!$C:$C,'SkillMasterSkill ID'!$E:$E,"")))</f>
        <v/>
      </c>
      <c r="G72" t="s">
        <v>1924</v>
      </c>
      <c r="H72" t="s">
        <v>1928</v>
      </c>
      <c r="I72" t="s">
        <v>1929</v>
      </c>
      <c r="J72" s="50" t="str">
        <f>IF(I72="","",_xlfn.XLOOKUP(TRIM(I72),'SkillMasterSkill ID'!$C:$C,'SkillMasterSkill ID'!$F:$F,"NOT FOUND",0))</f>
        <v>NOT FOUND</v>
      </c>
      <c r="K72" s="50"/>
      <c r="L72" s="50"/>
    </row>
    <row r="73" spans="1:12" x14ac:dyDescent="0.25">
      <c r="A7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3">
        <v>10813</v>
      </c>
      <c r="C73" t="s">
        <v>1914</v>
      </c>
      <c r="D73" s="50"/>
      <c r="E73" t="s">
        <v>1840</v>
      </c>
      <c r="F73" s="50"/>
      <c r="G73" t="s">
        <v>1969</v>
      </c>
      <c r="H73" t="s">
        <v>1974</v>
      </c>
      <c r="I73" t="s">
        <v>1975</v>
      </c>
      <c r="J73" s="50" t="str">
        <f>IF(I73="","",_xlfn.XLOOKUP(TRIM(I73),'SkillMasterSkill ID'!$C:$C,'SkillMasterSkill ID'!$F:$F,"NOT FOUND",0))</f>
        <v>NOT FOUND</v>
      </c>
      <c r="K73" s="50"/>
      <c r="L73" s="50"/>
    </row>
    <row r="74" spans="1:12" x14ac:dyDescent="0.25">
      <c r="A7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4">
        <v>10813</v>
      </c>
      <c r="C74" t="s">
        <v>1914</v>
      </c>
      <c r="D74" s="50"/>
      <c r="E74" t="s">
        <v>1881</v>
      </c>
      <c r="F74" s="50"/>
      <c r="G74" t="s">
        <v>1953</v>
      </c>
      <c r="H74" t="s">
        <v>1955</v>
      </c>
      <c r="I74" t="s">
        <v>1956</v>
      </c>
      <c r="J74" s="50" t="str">
        <f>IF(I74="","",_xlfn.XLOOKUP(TRIM(I74),'SkillMasterSkill ID'!$C:$C,'SkillMasterSkill ID'!$F:$F,"NOT FOUND",0))</f>
        <v>NOT FOUND</v>
      </c>
      <c r="K74" s="50"/>
      <c r="L74" s="50"/>
    </row>
    <row r="75" spans="1:12" x14ac:dyDescent="0.25">
      <c r="A7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5">
        <v>10813</v>
      </c>
      <c r="C75" t="s">
        <v>1914</v>
      </c>
      <c r="D75" s="50"/>
      <c r="E75" t="s">
        <v>1598</v>
      </c>
      <c r="F75" s="46" t="str">
        <f>IF(I75="","",IF(_xlfn.XLOOKUP(TRIM(I75),'SkillMasterSkill ID'!$C:$C,'SkillMasterSkill ID'!$E:$E,"")=0,"",_xlfn.XLOOKUP(TRIM(I75),'SkillMasterSkill ID'!$C:$C,'SkillMasterSkill ID'!$E:$E,"")))</f>
        <v/>
      </c>
      <c r="G75" t="s">
        <v>1913</v>
      </c>
      <c r="H75" t="s">
        <v>1919</v>
      </c>
      <c r="I75" t="s">
        <v>1920</v>
      </c>
      <c r="J75" s="50" t="str">
        <f>IF(I75="","",_xlfn.XLOOKUP(TRIM(I75),'SkillMasterSkill ID'!$C:$C,'SkillMasterSkill ID'!$F:$F,"NOT FOUND",0))</f>
        <v>NOT FOUND</v>
      </c>
      <c r="K75" s="50"/>
      <c r="L75" s="50"/>
    </row>
    <row r="76" spans="1:12" x14ac:dyDescent="0.25">
      <c r="A7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6">
        <v>10813</v>
      </c>
      <c r="C76" t="s">
        <v>1914</v>
      </c>
      <c r="D76" s="50"/>
      <c r="E76" t="s">
        <v>1970</v>
      </c>
      <c r="F76" s="50"/>
      <c r="G76" t="s">
        <v>1969</v>
      </c>
      <c r="H76" t="s">
        <v>1972</v>
      </c>
      <c r="I76" t="s">
        <v>1973</v>
      </c>
      <c r="J76" s="50" t="str">
        <f>IF(I76="","",_xlfn.XLOOKUP(TRIM(I76),'SkillMasterSkill ID'!$C:$C,'SkillMasterSkill ID'!$F:$F,"NOT FOUND",0))</f>
        <v>NOT FOUND</v>
      </c>
      <c r="K76" s="50"/>
      <c r="L76" s="50"/>
    </row>
    <row r="77" spans="1:12" x14ac:dyDescent="0.25">
      <c r="A7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7">
        <v>10813</v>
      </c>
      <c r="C77" t="s">
        <v>1914</v>
      </c>
      <c r="D77" s="50"/>
      <c r="E77" t="s">
        <v>1598</v>
      </c>
      <c r="F77" s="46" t="str">
        <f>IF(I77="","",IF(_xlfn.XLOOKUP(TRIM(I77),'SkillMasterSkill ID'!$C:$C,'SkillMasterSkill ID'!$E:$E,"")=0,"",_xlfn.XLOOKUP(TRIM(I77),'SkillMasterSkill ID'!$C:$C,'SkillMasterSkill ID'!$E:$E,"")))</f>
        <v/>
      </c>
      <c r="G77" t="s">
        <v>1913</v>
      </c>
      <c r="H77" t="s">
        <v>1922</v>
      </c>
      <c r="I77" t="s">
        <v>1923</v>
      </c>
      <c r="J77" s="50" t="str">
        <f>IF(I77="","",_xlfn.XLOOKUP(TRIM(I77),'SkillMasterSkill ID'!$C:$C,'SkillMasterSkill ID'!$F:$F,"NOT FOUND",0))</f>
        <v>NOT FOUND</v>
      </c>
      <c r="K77" s="50"/>
      <c r="L77" s="50"/>
    </row>
    <row r="78" spans="1:12" x14ac:dyDescent="0.25">
      <c r="A7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8">
        <v>10813</v>
      </c>
      <c r="C78" t="s">
        <v>1914</v>
      </c>
      <c r="D78" s="50"/>
      <c r="E78" t="s">
        <v>1808</v>
      </c>
      <c r="F78" s="50"/>
      <c r="G78" t="s">
        <v>1933</v>
      </c>
      <c r="H78" t="s">
        <v>1940</v>
      </c>
      <c r="I78" t="s">
        <v>1941</v>
      </c>
      <c r="J78" s="50" t="str">
        <f>IF(I78="","",_xlfn.XLOOKUP(TRIM(I78),'SkillMasterSkill ID'!$C:$C,'SkillMasterSkill ID'!$F:$F,"NOT FOUND",0))</f>
        <v>NOT FOUND</v>
      </c>
      <c r="K78" s="50"/>
      <c r="L78" s="50"/>
    </row>
    <row r="79" spans="1:12" x14ac:dyDescent="0.25">
      <c r="A7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9">
        <v>10813</v>
      </c>
      <c r="C79" t="s">
        <v>1914</v>
      </c>
      <c r="D79" s="50"/>
      <c r="E79" t="s">
        <v>1808</v>
      </c>
      <c r="F79" s="46" t="str">
        <f>IF(I79="","",IF(_xlfn.XLOOKUP(TRIM(I79),'SkillMasterSkill ID'!$C:$C,'SkillMasterSkill ID'!$E:$E,"")=0,"",_xlfn.XLOOKUP(TRIM(I79),'SkillMasterSkill ID'!$C:$C,'SkillMasterSkill ID'!$E:$E,"")))</f>
        <v/>
      </c>
      <c r="G79" t="s">
        <v>1933</v>
      </c>
      <c r="H79" t="s">
        <v>1934</v>
      </c>
      <c r="I79" t="s">
        <v>1935</v>
      </c>
      <c r="J79" s="50" t="str">
        <f>IF(I79="","",_xlfn.XLOOKUP(TRIM(I79),'SkillMasterSkill ID'!$C:$C,'SkillMasterSkill ID'!$F:$F,"NOT FOUND",0))</f>
        <v>NOT FOUND</v>
      </c>
      <c r="K79" s="50"/>
      <c r="L79" s="50"/>
    </row>
    <row r="80" spans="1:12" x14ac:dyDescent="0.25">
      <c r="A8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0">
        <v>10813</v>
      </c>
      <c r="C80" t="s">
        <v>1914</v>
      </c>
      <c r="D80" s="50"/>
      <c r="E80" t="s">
        <v>1900</v>
      </c>
      <c r="F80" s="50"/>
      <c r="G80" t="s">
        <v>1953</v>
      </c>
      <c r="H80" t="s">
        <v>1961</v>
      </c>
      <c r="I80" t="s">
        <v>1962</v>
      </c>
      <c r="J80" s="50" t="str">
        <f>IF(I80="","",_xlfn.XLOOKUP(TRIM(I80),'SkillMasterSkill ID'!$C:$C,'SkillMasterSkill ID'!$F:$F,"NOT FOUND",0))</f>
        <v>NOT FOUND</v>
      </c>
      <c r="K80" s="50"/>
      <c r="L80" s="50"/>
    </row>
    <row r="81" spans="1:12" x14ac:dyDescent="0.25">
      <c r="A8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1">
        <v>10813</v>
      </c>
      <c r="C81" t="s">
        <v>1914</v>
      </c>
      <c r="D81" s="50"/>
      <c r="E81" t="s">
        <v>1808</v>
      </c>
      <c r="F81" s="50"/>
      <c r="G81" t="s">
        <v>1933</v>
      </c>
      <c r="H81" t="s">
        <v>1937</v>
      </c>
      <c r="I81" t="s">
        <v>1938</v>
      </c>
      <c r="J81" s="50" t="str">
        <f>IF(I81="","",_xlfn.XLOOKUP(TRIM(I81),'SkillMasterSkill ID'!$C:$C,'SkillMasterSkill ID'!$F:$F,"NOT FOUND",0))</f>
        <v>NOT FOUND</v>
      </c>
      <c r="K81" s="50"/>
      <c r="L81" s="50"/>
    </row>
    <row r="82" spans="1:12" x14ac:dyDescent="0.25">
      <c r="A8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2">
        <v>10813</v>
      </c>
      <c r="C82" t="s">
        <v>1914</v>
      </c>
      <c r="D82" s="50"/>
      <c r="E82" t="s">
        <v>1633</v>
      </c>
      <c r="F82" s="50"/>
      <c r="G82" t="s">
        <v>1826</v>
      </c>
      <c r="H82" t="s">
        <v>1963</v>
      </c>
      <c r="I82" t="s">
        <v>1964</v>
      </c>
      <c r="J82" s="50" t="str">
        <f>IF(I82="","",_xlfn.XLOOKUP(TRIM(I82),'SkillMasterSkill ID'!$C:$C,'SkillMasterSkill ID'!$F:$F,"NOT FOUND",0))</f>
        <v>NOT FOUND</v>
      </c>
      <c r="K82" s="50"/>
      <c r="L82" s="50"/>
    </row>
    <row r="83" spans="1:12" x14ac:dyDescent="0.25">
      <c r="A8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3">
        <v>10813</v>
      </c>
      <c r="C83" t="s">
        <v>1914</v>
      </c>
      <c r="D83" s="50"/>
      <c r="E83" t="s">
        <v>1633</v>
      </c>
      <c r="F83" s="50"/>
      <c r="G83" t="s">
        <v>1826</v>
      </c>
      <c r="H83" t="s">
        <v>1965</v>
      </c>
      <c r="I83" t="s">
        <v>1966</v>
      </c>
      <c r="J83" s="50" t="str">
        <f>IF(I83="","",_xlfn.XLOOKUP(TRIM(I83),'SkillMasterSkill ID'!$C:$C,'SkillMasterSkill ID'!$F:$F,"NOT FOUND",0))</f>
        <v>NOT FOUND</v>
      </c>
      <c r="K83" s="50"/>
      <c r="L83" s="50"/>
    </row>
    <row r="84" spans="1:12" x14ac:dyDescent="0.25">
      <c r="A8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4">
        <v>10813</v>
      </c>
      <c r="C84" t="s">
        <v>1914</v>
      </c>
      <c r="D84" s="50"/>
      <c r="E84" t="s">
        <v>1949</v>
      </c>
      <c r="F84" s="50"/>
      <c r="G84" t="s">
        <v>1942</v>
      </c>
      <c r="H84" t="s">
        <v>1951</v>
      </c>
      <c r="I84" t="s">
        <v>1952</v>
      </c>
      <c r="J84" s="50" t="str">
        <f>IF(I84="","",_xlfn.XLOOKUP(TRIM(I84),'SkillMasterSkill ID'!$C:$C,'SkillMasterSkill ID'!$F:$F,"NOT FOUND",0))</f>
        <v>NOT FOUND</v>
      </c>
      <c r="K84" s="50"/>
      <c r="L84" s="50"/>
    </row>
    <row r="85" spans="1:12" x14ac:dyDescent="0.25">
      <c r="A8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5">
        <v>10813</v>
      </c>
      <c r="C85" t="s">
        <v>1914</v>
      </c>
      <c r="D85" s="50"/>
      <c r="E85" t="s">
        <v>1945</v>
      </c>
      <c r="F85" s="50"/>
      <c r="G85" t="s">
        <v>1942</v>
      </c>
      <c r="H85" t="s">
        <v>1947</v>
      </c>
      <c r="I85" t="s">
        <v>1948</v>
      </c>
      <c r="J85" s="50" t="str">
        <f>IF(I85="","",_xlfn.XLOOKUP(TRIM(I85),'SkillMasterSkill ID'!$C:$C,'SkillMasterSkill ID'!$F:$F,"NOT FOUND",0))</f>
        <v>NOT FOUND</v>
      </c>
      <c r="K85" s="50"/>
      <c r="L85" s="50"/>
    </row>
    <row r="86" spans="1:12" x14ac:dyDescent="0.25">
      <c r="A8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6">
        <v>10804</v>
      </c>
      <c r="C86" t="s">
        <v>1976</v>
      </c>
      <c r="D86" s="50"/>
      <c r="E86" t="s">
        <v>1618</v>
      </c>
      <c r="F86" s="50"/>
      <c r="G86" t="s">
        <v>1622</v>
      </c>
      <c r="H86" t="s">
        <v>1620</v>
      </c>
      <c r="I86" t="s">
        <v>1621</v>
      </c>
      <c r="J86" s="50" t="str">
        <f>IF(I86="","",_xlfn.XLOOKUP(TRIM(I86),'SkillMasterSkill ID'!$C:$C,'SkillMasterSkill ID'!$F:$F,"NOT FOUND",0))</f>
        <v>NOT FOUND</v>
      </c>
      <c r="K86" s="50"/>
      <c r="L86" s="50"/>
    </row>
    <row r="87" spans="1:12" x14ac:dyDescent="0.25">
      <c r="A8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7">
        <v>10804</v>
      </c>
      <c r="C87" t="s">
        <v>1976</v>
      </c>
      <c r="D87" s="50"/>
      <c r="E87" t="s">
        <v>1614</v>
      </c>
      <c r="F87" s="50"/>
      <c r="G87" t="s">
        <v>1622</v>
      </c>
      <c r="H87" t="s">
        <v>1616</v>
      </c>
      <c r="I87" t="s">
        <v>1617</v>
      </c>
      <c r="J87" s="50" t="str">
        <f>IF(I87="","",_xlfn.XLOOKUP(TRIM(I87),'SkillMasterSkill ID'!$C:$C,'SkillMasterSkill ID'!$F:$F,"NOT FOUND",0))</f>
        <v>NOT FOUND</v>
      </c>
      <c r="K87" s="50"/>
      <c r="L87" s="50"/>
    </row>
    <row r="88" spans="1:12" x14ac:dyDescent="0.25">
      <c r="A8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8">
        <v>10804</v>
      </c>
      <c r="C88" t="s">
        <v>1976</v>
      </c>
      <c r="D88" s="50"/>
      <c r="E88" t="s">
        <v>1598</v>
      </c>
      <c r="F88" s="50"/>
      <c r="G88" t="s">
        <v>1622</v>
      </c>
      <c r="H88" t="s">
        <v>1600</v>
      </c>
      <c r="I88" t="s">
        <v>1601</v>
      </c>
      <c r="J88" s="50" t="str">
        <f>IF(I88="","",_xlfn.XLOOKUP(TRIM(I88),'SkillMasterSkill ID'!$C:$C,'SkillMasterSkill ID'!$F:$F,"NOT FOUND",0))</f>
        <v>NOT FOUND</v>
      </c>
      <c r="K88" s="50"/>
      <c r="L88" s="50"/>
    </row>
    <row r="89" spans="1:12" x14ac:dyDescent="0.25">
      <c r="A8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9">
        <v>10804</v>
      </c>
      <c r="C89" t="s">
        <v>1976</v>
      </c>
      <c r="D89" s="50"/>
      <c r="E89" t="s">
        <v>1606</v>
      </c>
      <c r="F89" s="50"/>
      <c r="G89" t="s">
        <v>1622</v>
      </c>
      <c r="H89" t="s">
        <v>1608</v>
      </c>
      <c r="I89" t="s">
        <v>1609</v>
      </c>
      <c r="J89" s="50" t="str">
        <f>IF(I89="","",_xlfn.XLOOKUP(TRIM(I89),'SkillMasterSkill ID'!$C:$C,'SkillMasterSkill ID'!$F:$F,"NOT FOUND",0))</f>
        <v>NOT FOUND</v>
      </c>
      <c r="K89" s="50"/>
      <c r="L89" s="50"/>
    </row>
    <row r="90" spans="1:12" x14ac:dyDescent="0.25">
      <c r="A9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0">
        <v>10804</v>
      </c>
      <c r="C90" t="s">
        <v>1976</v>
      </c>
      <c r="D90" s="50"/>
      <c r="E90" t="s">
        <v>1610</v>
      </c>
      <c r="F90" s="50"/>
      <c r="G90" t="s">
        <v>1622</v>
      </c>
      <c r="H90" t="s">
        <v>1612</v>
      </c>
      <c r="I90" t="s">
        <v>1613</v>
      </c>
      <c r="J90" s="50" t="str">
        <f>IF(I90="","",_xlfn.XLOOKUP(TRIM(I90),'SkillMasterSkill ID'!$C:$C,'SkillMasterSkill ID'!$F:$F,"NOT FOUND",0))</f>
        <v>Competency related to waste identification that supports effective field/project leadership and execution.</v>
      </c>
      <c r="K90" s="50"/>
      <c r="L90" s="50"/>
    </row>
    <row r="91" spans="1:12" x14ac:dyDescent="0.25">
      <c r="A9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1">
        <v>10804</v>
      </c>
      <c r="C91" t="s">
        <v>1976</v>
      </c>
      <c r="D91" s="50"/>
      <c r="E91" t="s">
        <v>1602</v>
      </c>
      <c r="F91" s="50"/>
      <c r="G91" t="s">
        <v>1622</v>
      </c>
      <c r="H91" t="s">
        <v>1604</v>
      </c>
      <c r="I91" t="s">
        <v>1605</v>
      </c>
      <c r="J91" s="50" t="str">
        <f>IF(I91="","",_xlfn.XLOOKUP(TRIM(I91),'SkillMasterSkill ID'!$C:$C,'SkillMasterSkill ID'!$F:$F,"NOT FOUND",0))</f>
        <v>NOT FOUND</v>
      </c>
      <c r="K91" s="50"/>
      <c r="L91" s="50"/>
    </row>
    <row r="92" spans="1:12" x14ac:dyDescent="0.25">
      <c r="A9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2">
        <v>10804</v>
      </c>
      <c r="C92" t="s">
        <v>1977</v>
      </c>
      <c r="D92" s="50"/>
      <c r="E92" t="s">
        <v>1683</v>
      </c>
      <c r="F92" s="50"/>
      <c r="G92" t="s">
        <v>1986</v>
      </c>
      <c r="H92" t="s">
        <v>1979</v>
      </c>
      <c r="I92" t="s">
        <v>1980</v>
      </c>
      <c r="J92" s="50" t="str">
        <f>IF(I92="","",_xlfn.XLOOKUP(TRIM(I92),'SkillMasterSkill ID'!$C:$C,'SkillMasterSkill ID'!$F:$F,"NOT FOUND",0))</f>
        <v>NOT FOUND</v>
      </c>
      <c r="K92" s="50"/>
      <c r="L92" s="50"/>
    </row>
    <row r="93" spans="1:12" x14ac:dyDescent="0.25">
      <c r="A9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3">
        <v>10804</v>
      </c>
      <c r="C93" t="s">
        <v>1977</v>
      </c>
      <c r="D93" s="49"/>
      <c r="E93" t="s">
        <v>1647</v>
      </c>
      <c r="F93" s="49"/>
      <c r="G93" t="s">
        <v>1537</v>
      </c>
      <c r="H93" t="s">
        <v>2027</v>
      </c>
      <c r="I93" t="s">
        <v>2028</v>
      </c>
      <c r="J93" s="49" t="str">
        <f>IF(I93="","",_xlfn.XLOOKUP(TRIM(I93),'SkillMasterSkill ID'!$C:$C,'SkillMasterSkill ID'!$F:$F,"NOT FOUND",0))</f>
        <v>NOT FOUND</v>
      </c>
      <c r="K93" s="49"/>
      <c r="L93" s="49"/>
    </row>
    <row r="94" spans="1:12" x14ac:dyDescent="0.25">
      <c r="A9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4">
        <v>10804</v>
      </c>
      <c r="C94" t="s">
        <v>1977</v>
      </c>
      <c r="D94" s="49"/>
      <c r="E94" t="s">
        <v>2029</v>
      </c>
      <c r="F94" s="49"/>
      <c r="G94" t="s">
        <v>1537</v>
      </c>
      <c r="H94" t="s">
        <v>2033</v>
      </c>
      <c r="I94" t="s">
        <v>2034</v>
      </c>
      <c r="J94" s="49" t="str">
        <f>IF(I94="","",_xlfn.XLOOKUP(TRIM(I94),'SkillMasterSkill ID'!$C:$C,'SkillMasterSkill ID'!$F:$F,"NOT FOUND",0))</f>
        <v>NOT FOUND</v>
      </c>
      <c r="K94" s="49"/>
      <c r="L94" s="49"/>
    </row>
    <row r="95" spans="1:12" x14ac:dyDescent="0.25">
      <c r="A9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5">
        <v>10804</v>
      </c>
      <c r="C95" t="s">
        <v>1977</v>
      </c>
      <c r="D95" s="49"/>
      <c r="E95" t="s">
        <v>2029</v>
      </c>
      <c r="F95" s="49"/>
      <c r="G95" t="s">
        <v>1537</v>
      </c>
      <c r="H95" t="s">
        <v>2031</v>
      </c>
      <c r="I95" t="s">
        <v>2032</v>
      </c>
      <c r="J95" s="49" t="str">
        <f>IF(I95="","",_xlfn.XLOOKUP(TRIM(I95),'SkillMasterSkill ID'!$C:$C,'SkillMasterSkill ID'!$F:$F,"NOT FOUND",0))</f>
        <v>NOT FOUND</v>
      </c>
      <c r="K95" s="49"/>
      <c r="L95" s="49"/>
    </row>
    <row r="96" spans="1:12" x14ac:dyDescent="0.25">
      <c r="A9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6">
        <v>10804</v>
      </c>
      <c r="C96" t="s">
        <v>1977</v>
      </c>
      <c r="D96" s="49"/>
      <c r="E96" t="s">
        <v>2023</v>
      </c>
      <c r="F96" s="49"/>
      <c r="G96" t="s">
        <v>1537</v>
      </c>
      <c r="H96" t="s">
        <v>2025</v>
      </c>
      <c r="I96" t="s">
        <v>2026</v>
      </c>
      <c r="J96" s="49" t="str">
        <f>IF(I96="","",_xlfn.XLOOKUP(TRIM(I96),'SkillMasterSkill ID'!$C:$C,'SkillMasterSkill ID'!$F:$F,"NOT FOUND",0))</f>
        <v>NOT FOUND</v>
      </c>
      <c r="K96" s="49"/>
      <c r="L96" s="49"/>
    </row>
    <row r="97" spans="1:12" x14ac:dyDescent="0.25">
      <c r="A9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7">
        <v>10804</v>
      </c>
      <c r="C97" t="s">
        <v>1977</v>
      </c>
      <c r="D97" s="49"/>
      <c r="E97" t="s">
        <v>1994</v>
      </c>
      <c r="F97" s="49"/>
      <c r="G97" t="s">
        <v>1530</v>
      </c>
      <c r="H97" t="s">
        <v>1995</v>
      </c>
      <c r="I97" t="s">
        <v>1996</v>
      </c>
      <c r="J97" s="49" t="str">
        <f>IF(I97="","",_xlfn.XLOOKUP(TRIM(I97),'SkillMasterSkill ID'!$C:$C,'SkillMasterSkill ID'!$F:$F,"NOT FOUND",0))</f>
        <v>NOT FOUND</v>
      </c>
      <c r="K97" s="49"/>
      <c r="L97" s="49"/>
    </row>
    <row r="98" spans="1:12" x14ac:dyDescent="0.25">
      <c r="A9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8">
        <v>10804</v>
      </c>
      <c r="C98" t="s">
        <v>1977</v>
      </c>
      <c r="D98" s="49"/>
      <c r="E98" t="s">
        <v>2039</v>
      </c>
      <c r="F98" s="49"/>
      <c r="G98" t="s">
        <v>2038</v>
      </c>
      <c r="H98" t="s">
        <v>2045</v>
      </c>
      <c r="I98" t="s">
        <v>2046</v>
      </c>
      <c r="J98" s="49" t="str">
        <f>IF(I98="","",_xlfn.XLOOKUP(TRIM(I98),'SkillMasterSkill ID'!$C:$C,'SkillMasterSkill ID'!$F:$F,"NOT FOUND",0))</f>
        <v>NOT FOUND</v>
      </c>
      <c r="K98" s="49"/>
      <c r="L98" s="49"/>
    </row>
    <row r="99" spans="1:12" x14ac:dyDescent="0.25">
      <c r="A9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9">
        <v>10804</v>
      </c>
      <c r="C99" t="s">
        <v>1977</v>
      </c>
      <c r="D99" s="50"/>
      <c r="E99" t="s">
        <v>1683</v>
      </c>
      <c r="F99" s="50"/>
      <c r="G99" t="s">
        <v>1986</v>
      </c>
      <c r="H99" t="s">
        <v>1982</v>
      </c>
      <c r="I99" t="s">
        <v>1987</v>
      </c>
      <c r="J99" s="50" t="str">
        <f>IF(I99="","",_xlfn.XLOOKUP(TRIM(I99),'SkillMasterSkill ID'!$C:$C,'SkillMasterSkill ID'!$F:$F,"NOT FOUND",0))</f>
        <v>NOT FOUND</v>
      </c>
      <c r="K99" s="50"/>
      <c r="L99" s="50"/>
    </row>
    <row r="100" spans="1:12" x14ac:dyDescent="0.25">
      <c r="A10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0">
        <v>10804</v>
      </c>
      <c r="C100" t="s">
        <v>1977</v>
      </c>
      <c r="D100" s="49"/>
      <c r="E100" t="s">
        <v>2039</v>
      </c>
      <c r="F100" s="49"/>
      <c r="G100" t="s">
        <v>2038</v>
      </c>
      <c r="H100" t="s">
        <v>2043</v>
      </c>
      <c r="I100" t="s">
        <v>2044</v>
      </c>
      <c r="J100" s="49" t="str">
        <f>IF(I100="","",_xlfn.XLOOKUP(TRIM(I100),'SkillMasterSkill ID'!$C:$C,'SkillMasterSkill ID'!$F:$F,"NOT FOUND",0))</f>
        <v>NOT FOUND</v>
      </c>
      <c r="K100" s="49"/>
      <c r="L100" s="49"/>
    </row>
    <row r="101" spans="1:12" x14ac:dyDescent="0.25">
      <c r="A10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1">
        <v>10804</v>
      </c>
      <c r="C101" t="s">
        <v>1977</v>
      </c>
      <c r="D101" s="49"/>
      <c r="E101" t="s">
        <v>2013</v>
      </c>
      <c r="F101" s="49"/>
      <c r="G101" t="s">
        <v>2012</v>
      </c>
      <c r="H101" t="s">
        <v>2015</v>
      </c>
      <c r="I101" t="s">
        <v>2016</v>
      </c>
      <c r="J101" s="49" t="str">
        <f>IF(I101="","",_xlfn.XLOOKUP(TRIM(I101),'SkillMasterSkill ID'!$C:$C,'SkillMasterSkill ID'!$F:$F,"NOT FOUND",0))</f>
        <v>NOT FOUND</v>
      </c>
      <c r="K101" s="49"/>
      <c r="L101" s="49"/>
    </row>
    <row r="102" spans="1:12" x14ac:dyDescent="0.25">
      <c r="A10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2">
        <v>10804</v>
      </c>
      <c r="C102" t="s">
        <v>1977</v>
      </c>
      <c r="D102" s="49"/>
      <c r="E102" t="s">
        <v>2013</v>
      </c>
      <c r="F102" s="49"/>
      <c r="G102" t="s">
        <v>2012</v>
      </c>
      <c r="H102" t="s">
        <v>2021</v>
      </c>
      <c r="I102" t="s">
        <v>2022</v>
      </c>
      <c r="J102" s="49" t="str">
        <f>IF(I102="","",_xlfn.XLOOKUP(TRIM(I102),'SkillMasterSkill ID'!$C:$C,'SkillMasterSkill ID'!$F:$F,"NOT FOUND",0))</f>
        <v>NOT FOUND</v>
      </c>
      <c r="K102" s="49"/>
      <c r="L102" s="49"/>
    </row>
    <row r="103" spans="1:12" x14ac:dyDescent="0.25">
      <c r="A10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3">
        <v>10804</v>
      </c>
      <c r="C103" t="s">
        <v>1977</v>
      </c>
      <c r="D103" s="49"/>
      <c r="E103" t="s">
        <v>2013</v>
      </c>
      <c r="F103" s="49"/>
      <c r="G103" t="s">
        <v>2012</v>
      </c>
      <c r="H103" t="s">
        <v>2017</v>
      </c>
      <c r="I103" t="s">
        <v>2018</v>
      </c>
      <c r="J103" s="49" t="str">
        <f>IF(I103="","",_xlfn.XLOOKUP(TRIM(I103),'SkillMasterSkill ID'!$C:$C,'SkillMasterSkill ID'!$F:$F,"NOT FOUND",0))</f>
        <v>NOT FOUND</v>
      </c>
      <c r="K103" s="49"/>
      <c r="L103" s="49"/>
    </row>
    <row r="104" spans="1:12" x14ac:dyDescent="0.25">
      <c r="A10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4">
        <v>10804</v>
      </c>
      <c r="C104" t="s">
        <v>1977</v>
      </c>
      <c r="D104" s="49"/>
      <c r="E104" t="s">
        <v>1708</v>
      </c>
      <c r="F104" s="49"/>
      <c r="G104" t="s">
        <v>1530</v>
      </c>
      <c r="H104" t="s">
        <v>2000</v>
      </c>
      <c r="I104" t="s">
        <v>2001</v>
      </c>
      <c r="J104" s="49" t="str">
        <f>IF(I104="","",_xlfn.XLOOKUP(TRIM(I104),'SkillMasterSkill ID'!$C:$C,'SkillMasterSkill ID'!$F:$F,"NOT FOUND",0))</f>
        <v>NOT FOUND</v>
      </c>
      <c r="K104" s="49"/>
      <c r="L104" s="49"/>
    </row>
    <row r="105" spans="1:12" x14ac:dyDescent="0.25">
      <c r="A10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5">
        <v>10804</v>
      </c>
      <c r="C105" t="s">
        <v>1977</v>
      </c>
      <c r="D105" s="49"/>
      <c r="E105" t="s">
        <v>1851</v>
      </c>
      <c r="F105" s="49"/>
      <c r="G105" t="s">
        <v>2002</v>
      </c>
      <c r="H105" t="s">
        <v>2010</v>
      </c>
      <c r="I105" t="s">
        <v>2011</v>
      </c>
      <c r="J105" s="49" t="str">
        <f>IF(I105="","",_xlfn.XLOOKUP(TRIM(I105),'SkillMasterSkill ID'!$C:$C,'SkillMasterSkill ID'!$F:$F,"NOT FOUND",0))</f>
        <v>NOT FOUND</v>
      </c>
      <c r="K105" s="49"/>
      <c r="L105" s="49"/>
    </row>
    <row r="106" spans="1:12" x14ac:dyDescent="0.25">
      <c r="A10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6">
        <v>10804</v>
      </c>
      <c r="C106" t="s">
        <v>1977</v>
      </c>
      <c r="D106" s="49"/>
      <c r="E106" t="s">
        <v>1689</v>
      </c>
      <c r="F106" s="49"/>
      <c r="G106" t="s">
        <v>1537</v>
      </c>
      <c r="H106" t="s">
        <v>2036</v>
      </c>
      <c r="I106" t="s">
        <v>2037</v>
      </c>
      <c r="J106" s="49" t="str">
        <f>IF(I106="","",_xlfn.XLOOKUP(TRIM(I106),'SkillMasterSkill ID'!$C:$C,'SkillMasterSkill ID'!$F:$F,"NOT FOUND",0))</f>
        <v>NOT FOUND</v>
      </c>
      <c r="K106" s="49"/>
      <c r="L106" s="49"/>
    </row>
    <row r="107" spans="1:12" x14ac:dyDescent="0.25">
      <c r="A10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7">
        <v>10804</v>
      </c>
      <c r="C107" t="s">
        <v>1977</v>
      </c>
      <c r="D107" s="49"/>
      <c r="E107" t="s">
        <v>1851</v>
      </c>
      <c r="F107" s="49"/>
      <c r="G107" t="s">
        <v>2002</v>
      </c>
      <c r="H107" t="s">
        <v>2006</v>
      </c>
      <c r="I107" t="s">
        <v>2007</v>
      </c>
      <c r="J107" s="49" t="str">
        <f>IF(I107="","",_xlfn.XLOOKUP(TRIM(I107),'SkillMasterSkill ID'!$C:$C,'SkillMasterSkill ID'!$F:$F,"NOT FOUND",0))</f>
        <v>NOT FOUND</v>
      </c>
      <c r="K107" s="49"/>
      <c r="L107" s="49"/>
    </row>
    <row r="108" spans="1:12" x14ac:dyDescent="0.25">
      <c r="A10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8">
        <v>10804</v>
      </c>
      <c r="C108" t="s">
        <v>1977</v>
      </c>
      <c r="D108" s="49"/>
      <c r="E108" t="s">
        <v>2039</v>
      </c>
      <c r="F108" s="49"/>
      <c r="G108" t="s">
        <v>2038</v>
      </c>
      <c r="H108" t="s">
        <v>2041</v>
      </c>
      <c r="I108" t="s">
        <v>2042</v>
      </c>
      <c r="J108" s="49" t="str">
        <f>IF(I108="","",_xlfn.XLOOKUP(TRIM(I108),'SkillMasterSkill ID'!$C:$C,'SkillMasterSkill ID'!$F:$F,"NOT FOUND",0))</f>
        <v>NOT FOUND</v>
      </c>
      <c r="K108" s="49"/>
      <c r="L108" s="49"/>
    </row>
    <row r="109" spans="1:12" x14ac:dyDescent="0.25">
      <c r="A10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9">
        <v>10804</v>
      </c>
      <c r="C109" t="s">
        <v>1977</v>
      </c>
      <c r="D109" s="50"/>
      <c r="E109" t="s">
        <v>1983</v>
      </c>
      <c r="F109" s="50"/>
      <c r="G109" t="s">
        <v>1988</v>
      </c>
      <c r="H109" t="s">
        <v>1992</v>
      </c>
      <c r="I109" t="s">
        <v>1993</v>
      </c>
      <c r="J109" s="50" t="str">
        <f>IF(I109="","",_xlfn.XLOOKUP(TRIM(I109),'SkillMasterSkill ID'!$C:$C,'SkillMasterSkill ID'!$F:$F,"NOT FOUND",0))</f>
        <v>NOT FOUND</v>
      </c>
      <c r="K109" s="50"/>
      <c r="L109" s="50"/>
    </row>
    <row r="110" spans="1:12" x14ac:dyDescent="0.25">
      <c r="A11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0">
        <v>10804</v>
      </c>
      <c r="C110" t="s">
        <v>1977</v>
      </c>
      <c r="D110" s="49"/>
      <c r="E110" t="s">
        <v>1994</v>
      </c>
      <c r="F110" s="49"/>
      <c r="G110" t="s">
        <v>1530</v>
      </c>
      <c r="H110" t="s">
        <v>1999</v>
      </c>
      <c r="I110" t="s">
        <v>1985</v>
      </c>
      <c r="J110" s="49" t="str">
        <f>IF(I110="","",_xlfn.XLOOKUP(TRIM(I110),'SkillMasterSkill ID'!$C:$C,'SkillMasterSkill ID'!$F:$F,"NOT FOUND",0))</f>
        <v>NOT FOUND</v>
      </c>
      <c r="K110" s="49"/>
      <c r="L110" s="49"/>
    </row>
    <row r="111" spans="1:12" x14ac:dyDescent="0.25">
      <c r="A11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1">
        <v>10804</v>
      </c>
      <c r="C111" t="s">
        <v>1977</v>
      </c>
      <c r="D111" s="49"/>
      <c r="E111" t="s">
        <v>1994</v>
      </c>
      <c r="F111" s="49"/>
      <c r="G111" t="s">
        <v>1530</v>
      </c>
      <c r="H111" t="s">
        <v>1997</v>
      </c>
      <c r="I111" t="s">
        <v>1998</v>
      </c>
      <c r="J111" s="49" t="str">
        <f>IF(I111="","",_xlfn.XLOOKUP(TRIM(I111),'SkillMasterSkill ID'!$C:$C,'SkillMasterSkill ID'!$F:$F,"NOT FOUND",0))</f>
        <v>NOT FOUND</v>
      </c>
      <c r="K111" s="49"/>
      <c r="L111" s="49"/>
    </row>
    <row r="112" spans="1:12" x14ac:dyDescent="0.25">
      <c r="A11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2">
        <v>10804</v>
      </c>
      <c r="C112" t="s">
        <v>1977</v>
      </c>
      <c r="D112" s="49"/>
      <c r="E112" t="s">
        <v>2039</v>
      </c>
      <c r="F112" s="49"/>
      <c r="G112" t="s">
        <v>2038</v>
      </c>
      <c r="H112" t="s">
        <v>2047</v>
      </c>
      <c r="I112" t="s">
        <v>2048</v>
      </c>
      <c r="J112" s="49" t="str">
        <f>IF(I112="","",_xlfn.XLOOKUP(TRIM(I112),'SkillMasterSkill ID'!$C:$C,'SkillMasterSkill ID'!$F:$F,"NOT FOUND",0))</f>
        <v>NOT FOUND</v>
      </c>
      <c r="K112" s="49"/>
      <c r="L112" s="49"/>
    </row>
    <row r="113" spans="1:12" x14ac:dyDescent="0.25">
      <c r="A11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3">
        <v>10804</v>
      </c>
      <c r="C113" t="s">
        <v>1977</v>
      </c>
      <c r="D113" s="49"/>
      <c r="E113" t="s">
        <v>2013</v>
      </c>
      <c r="F113" s="49"/>
      <c r="G113" t="s">
        <v>2012</v>
      </c>
      <c r="H113" t="s">
        <v>2019</v>
      </c>
      <c r="I113" t="s">
        <v>2020</v>
      </c>
      <c r="J113" s="49" t="str">
        <f>IF(I113="","",_xlfn.XLOOKUP(TRIM(I113),'SkillMasterSkill ID'!$C:$C,'SkillMasterSkill ID'!$F:$F,"NOT FOUND",0))</f>
        <v>NOT FOUND</v>
      </c>
      <c r="K113" s="49"/>
      <c r="L113" s="49"/>
    </row>
    <row r="114" spans="1:12" x14ac:dyDescent="0.25">
      <c r="A11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4">
        <v>10804</v>
      </c>
      <c r="C114" t="s">
        <v>1977</v>
      </c>
      <c r="D114" s="49"/>
      <c r="E114" t="s">
        <v>1851</v>
      </c>
      <c r="F114" s="49"/>
      <c r="G114" t="s">
        <v>2002</v>
      </c>
      <c r="H114" t="s">
        <v>2004</v>
      </c>
      <c r="I114" t="s">
        <v>2005</v>
      </c>
      <c r="J114" s="49" t="str">
        <f>IF(I114="","",_xlfn.XLOOKUP(TRIM(I114),'SkillMasterSkill ID'!$C:$C,'SkillMasterSkill ID'!$F:$F,"NOT FOUND",0))</f>
        <v>NOT FOUND</v>
      </c>
      <c r="K114" s="49"/>
      <c r="L114" s="49"/>
    </row>
    <row r="115" spans="1:12" x14ac:dyDescent="0.25">
      <c r="A11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5">
        <v>10804</v>
      </c>
      <c r="C115" t="s">
        <v>1977</v>
      </c>
      <c r="D115" s="50"/>
      <c r="E115" t="s">
        <v>1983</v>
      </c>
      <c r="F115" s="50"/>
      <c r="G115" t="s">
        <v>1988</v>
      </c>
      <c r="H115" t="s">
        <v>1990</v>
      </c>
      <c r="I115" t="s">
        <v>1991</v>
      </c>
      <c r="J115" s="50" t="str">
        <f>IF(I115="","",_xlfn.XLOOKUP(TRIM(I115),'SkillMasterSkill ID'!$C:$C,'SkillMasterSkill ID'!$F:$F,"NOT FOUND",0))</f>
        <v>NOT FOUND</v>
      </c>
      <c r="K115" s="50"/>
      <c r="L115" s="50"/>
    </row>
    <row r="116" spans="1:12" x14ac:dyDescent="0.25">
      <c r="A11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6">
        <v>10804</v>
      </c>
      <c r="C116" t="s">
        <v>1977</v>
      </c>
      <c r="D116" s="49"/>
      <c r="E116" t="s">
        <v>1851</v>
      </c>
      <c r="F116" s="49"/>
      <c r="G116" t="s">
        <v>2002</v>
      </c>
      <c r="H116" t="s">
        <v>2008</v>
      </c>
      <c r="I116" t="s">
        <v>2009</v>
      </c>
      <c r="J116" s="49" t="str">
        <f>IF(I116="","",_xlfn.XLOOKUP(TRIM(I116),'SkillMasterSkill ID'!$C:$C,'SkillMasterSkill ID'!$F:$F,"NOT FOUND",0))</f>
        <v>NOT FOUND</v>
      </c>
      <c r="K116" s="49"/>
      <c r="L116" s="49"/>
    </row>
    <row r="117" spans="1:12" x14ac:dyDescent="0.25">
      <c r="A11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7">
        <v>10814</v>
      </c>
      <c r="C117" t="s">
        <v>2049</v>
      </c>
      <c r="D117" s="49"/>
      <c r="E117" t="s">
        <v>1618</v>
      </c>
      <c r="F117" s="49"/>
      <c r="G117" t="s">
        <v>1622</v>
      </c>
      <c r="H117" t="s">
        <v>1620</v>
      </c>
      <c r="I117" t="s">
        <v>1621</v>
      </c>
      <c r="J117" s="49" t="str">
        <f>IF(I117="","",_xlfn.XLOOKUP(TRIM(I117),'SkillMasterSkill ID'!$C:$C,'SkillMasterSkill ID'!$F:$F,"NOT FOUND",0))</f>
        <v>NOT FOUND</v>
      </c>
      <c r="K117" s="49"/>
      <c r="L117" s="49"/>
    </row>
    <row r="118" spans="1:12" x14ac:dyDescent="0.25">
      <c r="A11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8">
        <v>10814</v>
      </c>
      <c r="C118" t="s">
        <v>2049</v>
      </c>
      <c r="D118" s="49"/>
      <c r="E118" t="s">
        <v>1614</v>
      </c>
      <c r="F118" s="49"/>
      <c r="G118" t="s">
        <v>1622</v>
      </c>
      <c r="H118" t="s">
        <v>1616</v>
      </c>
      <c r="I118" t="s">
        <v>1617</v>
      </c>
      <c r="J118" s="49" t="str">
        <f>IF(I118="","",_xlfn.XLOOKUP(TRIM(I118),'SkillMasterSkill ID'!$C:$C,'SkillMasterSkill ID'!$F:$F,"NOT FOUND",0))</f>
        <v>NOT FOUND</v>
      </c>
      <c r="K118" s="49"/>
      <c r="L118" s="49"/>
    </row>
    <row r="119" spans="1:12" x14ac:dyDescent="0.25">
      <c r="A11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9">
        <v>10814</v>
      </c>
      <c r="C119" t="s">
        <v>2049</v>
      </c>
      <c r="D119" s="49"/>
      <c r="E119" t="s">
        <v>1598</v>
      </c>
      <c r="F119" s="49"/>
      <c r="G119" t="s">
        <v>1622</v>
      </c>
      <c r="H119" t="s">
        <v>1600</v>
      </c>
      <c r="I119" t="s">
        <v>1601</v>
      </c>
      <c r="J119" s="49" t="str">
        <f>IF(I119="","",_xlfn.XLOOKUP(TRIM(I119),'SkillMasterSkill ID'!$C:$C,'SkillMasterSkill ID'!$F:$F,"NOT FOUND",0))</f>
        <v>NOT FOUND</v>
      </c>
      <c r="K119" s="49"/>
      <c r="L119" s="49"/>
    </row>
    <row r="120" spans="1:12" x14ac:dyDescent="0.25">
      <c r="A12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0">
        <v>10814</v>
      </c>
      <c r="C120" t="s">
        <v>2049</v>
      </c>
      <c r="D120" s="49"/>
      <c r="E120" t="s">
        <v>1606</v>
      </c>
      <c r="F120" s="49"/>
      <c r="G120" t="s">
        <v>1622</v>
      </c>
      <c r="H120" t="s">
        <v>1608</v>
      </c>
      <c r="I120" t="s">
        <v>1609</v>
      </c>
      <c r="J120" s="49" t="str">
        <f>IF(I120="","",_xlfn.XLOOKUP(TRIM(I120),'SkillMasterSkill ID'!$C:$C,'SkillMasterSkill ID'!$F:$F,"NOT FOUND",0))</f>
        <v>NOT FOUND</v>
      </c>
      <c r="K120" s="49"/>
      <c r="L120" s="49"/>
    </row>
    <row r="121" spans="1:12" x14ac:dyDescent="0.25">
      <c r="A12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1">
        <v>10814</v>
      </c>
      <c r="C121" t="s">
        <v>2049</v>
      </c>
      <c r="D121" s="49"/>
      <c r="E121" t="s">
        <v>1610</v>
      </c>
      <c r="F121" s="49"/>
      <c r="G121" t="s">
        <v>1622</v>
      </c>
      <c r="H121" t="s">
        <v>1612</v>
      </c>
      <c r="I121" t="s">
        <v>1613</v>
      </c>
      <c r="J121" s="49" t="str">
        <f>IF(I121="","",_xlfn.XLOOKUP(TRIM(I121),'SkillMasterSkill ID'!$C:$C,'SkillMasterSkill ID'!$F:$F,"NOT FOUND",0))</f>
        <v>Competency related to waste identification that supports effective field/project leadership and execution.</v>
      </c>
      <c r="K121" s="49"/>
      <c r="L121" s="49"/>
    </row>
    <row r="122" spans="1:12" x14ac:dyDescent="0.25">
      <c r="A12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2">
        <v>10814</v>
      </c>
      <c r="C122" t="s">
        <v>2049</v>
      </c>
      <c r="D122" s="49"/>
      <c r="E122" t="s">
        <v>1602</v>
      </c>
      <c r="F122" s="49"/>
      <c r="G122" t="s">
        <v>1622</v>
      </c>
      <c r="H122" t="s">
        <v>1604</v>
      </c>
      <c r="I122" t="s">
        <v>1605</v>
      </c>
      <c r="J122" s="49" t="str">
        <f>IF(I122="","",_xlfn.XLOOKUP(TRIM(I122),'SkillMasterSkill ID'!$C:$C,'SkillMasterSkill ID'!$F:$F,"NOT FOUND",0))</f>
        <v>NOT FOUND</v>
      </c>
      <c r="K122" s="49"/>
      <c r="L122" s="49"/>
    </row>
    <row r="123" spans="1:12" x14ac:dyDescent="0.25">
      <c r="A12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3">
        <v>10814</v>
      </c>
      <c r="C123" t="s">
        <v>2051</v>
      </c>
      <c r="D123" s="49"/>
      <c r="E123" t="s">
        <v>1949</v>
      </c>
      <c r="F123" s="49"/>
      <c r="G123" t="s">
        <v>2069</v>
      </c>
      <c r="H123" t="s">
        <v>2074</v>
      </c>
      <c r="I123" t="s">
        <v>2075</v>
      </c>
      <c r="J123" s="49" t="str">
        <f>IF(I123="","",_xlfn.XLOOKUP(TRIM(I123),'SkillMasterSkill ID'!$C:$C,'SkillMasterSkill ID'!$F:$F,"NOT FOUND",0))</f>
        <v>NOT FOUND</v>
      </c>
      <c r="K123" s="49"/>
      <c r="L123" s="49"/>
    </row>
    <row r="124" spans="1:12" x14ac:dyDescent="0.25">
      <c r="A12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4">
        <v>10814</v>
      </c>
      <c r="C124" t="s">
        <v>2051</v>
      </c>
      <c r="D124" s="49"/>
      <c r="E124" t="s">
        <v>1598</v>
      </c>
      <c r="F124" s="49"/>
      <c r="G124" t="s">
        <v>2050</v>
      </c>
      <c r="H124" t="s">
        <v>2055</v>
      </c>
      <c r="I124" t="s">
        <v>2056</v>
      </c>
      <c r="J124" s="49" t="str">
        <f>IF(I124="","",_xlfn.XLOOKUP(TRIM(I124),'SkillMasterSkill ID'!$C:$C,'SkillMasterSkill ID'!$F:$F,"NOT FOUND",0))</f>
        <v>NOT FOUND</v>
      </c>
      <c r="K124" s="49"/>
      <c r="L124" s="49"/>
    </row>
    <row r="125" spans="1:12" x14ac:dyDescent="0.25">
      <c r="A12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5">
        <v>10814</v>
      </c>
      <c r="C125" t="s">
        <v>2051</v>
      </c>
      <c r="D125" s="49"/>
      <c r="E125" t="s">
        <v>1606</v>
      </c>
      <c r="F125" s="49"/>
      <c r="G125" t="s">
        <v>2083</v>
      </c>
      <c r="H125" t="s">
        <v>2086</v>
      </c>
      <c r="I125" t="s">
        <v>2087</v>
      </c>
      <c r="J125" s="49" t="str">
        <f>IF(I125="","",_xlfn.XLOOKUP(TRIM(I125),'SkillMasterSkill ID'!$C:$C,'SkillMasterSkill ID'!$F:$F,"NOT FOUND",0))</f>
        <v>NOT FOUND</v>
      </c>
      <c r="K125" s="49"/>
      <c r="L125" s="49"/>
    </row>
    <row r="126" spans="1:12" x14ac:dyDescent="0.25">
      <c r="A12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6">
        <v>10814</v>
      </c>
      <c r="C126" t="s">
        <v>2051</v>
      </c>
      <c r="D126" s="49"/>
      <c r="E126" t="s">
        <v>1808</v>
      </c>
      <c r="F126" s="49"/>
      <c r="G126" t="s">
        <v>1933</v>
      </c>
      <c r="H126" t="s">
        <v>2082</v>
      </c>
      <c r="I126" t="s">
        <v>1811</v>
      </c>
      <c r="J126" s="49" t="str">
        <f>IF(I126="","",_xlfn.XLOOKUP(TRIM(I126),'SkillMasterSkill ID'!$C:$C,'SkillMasterSkill ID'!$F:$F,"NOT FOUND",0))</f>
        <v>NOT FOUND</v>
      </c>
      <c r="K126" s="49"/>
      <c r="L126" s="49"/>
    </row>
    <row r="127" spans="1:12" x14ac:dyDescent="0.25">
      <c r="A12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7">
        <v>10814</v>
      </c>
      <c r="C127" t="s">
        <v>2051</v>
      </c>
      <c r="D127" s="49"/>
      <c r="E127" t="s">
        <v>1754</v>
      </c>
      <c r="F127" s="49"/>
      <c r="G127" t="s">
        <v>2069</v>
      </c>
      <c r="H127" t="s">
        <v>2070</v>
      </c>
      <c r="I127" t="s">
        <v>2071</v>
      </c>
      <c r="J127" s="49" t="str">
        <f>IF(I127="","",_xlfn.XLOOKUP(TRIM(I127),'SkillMasterSkill ID'!$C:$C,'SkillMasterSkill ID'!$F:$F,"NOT FOUND",0))</f>
        <v>NOT FOUND</v>
      </c>
      <c r="K127" s="49"/>
      <c r="L127" s="49"/>
    </row>
    <row r="128" spans="1:12" x14ac:dyDescent="0.25">
      <c r="A12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8">
        <v>10814</v>
      </c>
      <c r="C128" t="s">
        <v>2051</v>
      </c>
      <c r="D128" s="49"/>
      <c r="E128" t="s">
        <v>1602</v>
      </c>
      <c r="F128" s="49"/>
      <c r="G128" t="s">
        <v>2060</v>
      </c>
      <c r="H128" t="s">
        <v>2064</v>
      </c>
      <c r="I128" t="s">
        <v>2065</v>
      </c>
      <c r="J128" s="49" t="str">
        <f>IF(I128="","",_xlfn.XLOOKUP(TRIM(I128),'SkillMasterSkill ID'!$C:$C,'SkillMasterSkill ID'!$F:$F,"NOT FOUND",0))</f>
        <v>NOT FOUND</v>
      </c>
      <c r="K128" s="49"/>
      <c r="L128" s="49"/>
    </row>
    <row r="129" spans="1:12" x14ac:dyDescent="0.25">
      <c r="A12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9">
        <v>10814</v>
      </c>
      <c r="C129" t="s">
        <v>2051</v>
      </c>
      <c r="D129" s="49"/>
      <c r="E129" t="s">
        <v>1808</v>
      </c>
      <c r="F129" s="49"/>
      <c r="G129" t="s">
        <v>1933</v>
      </c>
      <c r="H129" t="s">
        <v>2079</v>
      </c>
      <c r="I129" t="s">
        <v>2080</v>
      </c>
      <c r="J129" s="49" t="str">
        <f>IF(I129="","",_xlfn.XLOOKUP(TRIM(I129),'SkillMasterSkill ID'!$C:$C,'SkillMasterSkill ID'!$F:$F,"NOT FOUND",0))</f>
        <v>NOT FOUND</v>
      </c>
      <c r="K129" s="49"/>
      <c r="L129" s="49"/>
    </row>
    <row r="130" spans="1:12" x14ac:dyDescent="0.25">
      <c r="A13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0">
        <v>10814</v>
      </c>
      <c r="C130" t="s">
        <v>2051</v>
      </c>
      <c r="D130" s="49"/>
      <c r="E130" t="s">
        <v>1598</v>
      </c>
      <c r="F130" s="49"/>
      <c r="G130" t="s">
        <v>2050</v>
      </c>
      <c r="H130" t="s">
        <v>2052</v>
      </c>
      <c r="I130" t="s">
        <v>2053</v>
      </c>
      <c r="J130" s="49" t="str">
        <f>IF(I130="","",_xlfn.XLOOKUP(TRIM(I130),'SkillMasterSkill ID'!$C:$C,'SkillMasterSkill ID'!$F:$F,"NOT FOUND",0))</f>
        <v>NOT FOUND</v>
      </c>
      <c r="K130" s="49"/>
      <c r="L130" s="49"/>
    </row>
    <row r="131" spans="1:12" x14ac:dyDescent="0.25">
      <c r="A13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1">
        <v>10814</v>
      </c>
      <c r="C131" t="s">
        <v>2051</v>
      </c>
      <c r="D131" s="49"/>
      <c r="E131" t="s">
        <v>1602</v>
      </c>
      <c r="F131" s="49"/>
      <c r="G131" t="s">
        <v>2060</v>
      </c>
      <c r="H131" t="s">
        <v>2067</v>
      </c>
      <c r="I131" t="s">
        <v>2068</v>
      </c>
      <c r="J131" s="49" t="str">
        <f>IF(I131="","",_xlfn.XLOOKUP(TRIM(I131),'SkillMasterSkill ID'!$C:$C,'SkillMasterSkill ID'!$F:$F,"NOT FOUND",0))</f>
        <v>NOT FOUND</v>
      </c>
      <c r="K131" s="49"/>
      <c r="L131" s="49"/>
    </row>
    <row r="132" spans="1:12" x14ac:dyDescent="0.25">
      <c r="A13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2">
        <v>10814</v>
      </c>
      <c r="C132" t="s">
        <v>2051</v>
      </c>
      <c r="D132" s="49"/>
      <c r="E132" t="s">
        <v>1606</v>
      </c>
      <c r="F132" s="49"/>
      <c r="G132" t="s">
        <v>2083</v>
      </c>
      <c r="H132" t="s">
        <v>2084</v>
      </c>
      <c r="I132" t="s">
        <v>2085</v>
      </c>
      <c r="J132" s="49" t="str">
        <f>IF(I132="","",_xlfn.XLOOKUP(TRIM(I132),'SkillMasterSkill ID'!$C:$C,'SkillMasterSkill ID'!$F:$F,"NOT FOUND",0))</f>
        <v>NOT FOUND</v>
      </c>
      <c r="K132" s="49"/>
      <c r="L132" s="49"/>
    </row>
    <row r="133" spans="1:12" x14ac:dyDescent="0.25">
      <c r="A13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3">
        <v>10814</v>
      </c>
      <c r="C133" t="s">
        <v>2051</v>
      </c>
      <c r="D133" s="49"/>
      <c r="E133" t="s">
        <v>1970</v>
      </c>
      <c r="F133" s="49"/>
      <c r="G133" t="s">
        <v>2097</v>
      </c>
      <c r="H133" t="s">
        <v>2098</v>
      </c>
      <c r="I133" t="s">
        <v>2099</v>
      </c>
      <c r="J133" s="49" t="str">
        <f>IF(I133="","",_xlfn.XLOOKUP(TRIM(I133),'SkillMasterSkill ID'!$C:$C,'SkillMasterSkill ID'!$F:$F,"NOT FOUND",0))</f>
        <v>NOT FOUND</v>
      </c>
      <c r="K133" s="49"/>
      <c r="L133" s="49"/>
    </row>
    <row r="134" spans="1:12" x14ac:dyDescent="0.25">
      <c r="A13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4">
        <v>10814</v>
      </c>
      <c r="C134" t="s">
        <v>2051</v>
      </c>
      <c r="D134" s="49"/>
      <c r="E134" t="s">
        <v>1840</v>
      </c>
      <c r="F134" s="49"/>
      <c r="G134" t="s">
        <v>2097</v>
      </c>
      <c r="H134" t="s">
        <v>2100</v>
      </c>
      <c r="I134" t="s">
        <v>1975</v>
      </c>
      <c r="J134" s="49" t="str">
        <f>IF(I134="","",_xlfn.XLOOKUP(TRIM(I134),'SkillMasterSkill ID'!$C:$C,'SkillMasterSkill ID'!$F:$F,"NOT FOUND",0))</f>
        <v>NOT FOUND</v>
      </c>
      <c r="K134" s="49"/>
      <c r="L134" s="49"/>
    </row>
    <row r="135" spans="1:12" x14ac:dyDescent="0.25">
      <c r="A13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5">
        <v>10814</v>
      </c>
      <c r="C135" t="s">
        <v>2051</v>
      </c>
      <c r="D135" s="49"/>
      <c r="E135" t="s">
        <v>1602</v>
      </c>
      <c r="F135" s="49"/>
      <c r="G135" t="s">
        <v>2060</v>
      </c>
      <c r="H135" t="s">
        <v>2061</v>
      </c>
      <c r="I135" t="s">
        <v>2062</v>
      </c>
      <c r="J135" s="49" t="str">
        <f>IF(I135="","",_xlfn.XLOOKUP(TRIM(I135),'SkillMasterSkill ID'!$C:$C,'SkillMasterSkill ID'!$F:$F,"NOT FOUND",0))</f>
        <v>NOT FOUND</v>
      </c>
      <c r="K135" s="49"/>
      <c r="L135" s="49"/>
    </row>
    <row r="136" spans="1:12" x14ac:dyDescent="0.25">
      <c r="A13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6">
        <v>10814</v>
      </c>
      <c r="C136" t="s">
        <v>2051</v>
      </c>
      <c r="D136" s="49"/>
      <c r="E136" t="s">
        <v>1633</v>
      </c>
      <c r="F136" s="49"/>
      <c r="G136" t="s">
        <v>2090</v>
      </c>
      <c r="H136" t="s">
        <v>2091</v>
      </c>
      <c r="I136" t="s">
        <v>2092</v>
      </c>
      <c r="J136" s="49" t="str">
        <f>IF(I136="","",_xlfn.XLOOKUP(TRIM(I136),'SkillMasterSkill ID'!$C:$C,'SkillMasterSkill ID'!$F:$F,"NOT FOUND",0))</f>
        <v>NOT FOUND</v>
      </c>
      <c r="K136" s="49"/>
      <c r="L136" s="49"/>
    </row>
    <row r="137" spans="1:12" x14ac:dyDescent="0.25">
      <c r="A13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7">
        <v>10814</v>
      </c>
      <c r="C137" t="s">
        <v>2051</v>
      </c>
      <c r="D137" s="49"/>
      <c r="E137" t="s">
        <v>1598</v>
      </c>
      <c r="F137" s="49"/>
      <c r="G137" t="s">
        <v>2050</v>
      </c>
      <c r="H137" t="s">
        <v>2058</v>
      </c>
      <c r="I137" t="s">
        <v>2059</v>
      </c>
      <c r="J137" s="49" t="str">
        <f>IF(I137="","",_xlfn.XLOOKUP(TRIM(I137),'SkillMasterSkill ID'!$C:$C,'SkillMasterSkill ID'!$F:$F,"NOT FOUND",0))</f>
        <v>NOT FOUND</v>
      </c>
      <c r="K137" s="49"/>
      <c r="L137" s="49"/>
    </row>
    <row r="138" spans="1:12" x14ac:dyDescent="0.25">
      <c r="A13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8">
        <v>10814</v>
      </c>
      <c r="C138" t="s">
        <v>2051</v>
      </c>
      <c r="D138" s="49"/>
      <c r="E138" t="s">
        <v>1633</v>
      </c>
      <c r="F138" s="49"/>
      <c r="G138" t="s">
        <v>2090</v>
      </c>
      <c r="H138" t="s">
        <v>2095</v>
      </c>
      <c r="I138" t="s">
        <v>2096</v>
      </c>
      <c r="J138" s="49" t="str">
        <f>IF(I138="","",_xlfn.XLOOKUP(TRIM(I138),'SkillMasterSkill ID'!$C:$C,'SkillMasterSkill ID'!$F:$F,"NOT FOUND",0))</f>
        <v>NOT FOUND</v>
      </c>
      <c r="K138" s="49"/>
      <c r="L138" s="49"/>
    </row>
    <row r="139" spans="1:12" x14ac:dyDescent="0.25">
      <c r="A13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9">
        <v>10814</v>
      </c>
      <c r="C139" t="s">
        <v>2051</v>
      </c>
      <c r="D139" s="49"/>
      <c r="E139" t="s">
        <v>1949</v>
      </c>
      <c r="F139" s="49"/>
      <c r="G139" t="s">
        <v>2069</v>
      </c>
      <c r="H139" t="s">
        <v>2072</v>
      </c>
      <c r="I139" t="s">
        <v>2073</v>
      </c>
      <c r="J139" s="49" t="str">
        <f>IF(I139="","",_xlfn.XLOOKUP(TRIM(I139),'SkillMasterSkill ID'!$C:$C,'SkillMasterSkill ID'!$F:$F,"NOT FOUND",0))</f>
        <v>NOT FOUND</v>
      </c>
      <c r="K139" s="49"/>
      <c r="L139" s="49"/>
    </row>
    <row r="140" spans="1:12" x14ac:dyDescent="0.25">
      <c r="A14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0">
        <v>10814</v>
      </c>
      <c r="C140" t="s">
        <v>2051</v>
      </c>
      <c r="D140" s="49"/>
      <c r="E140" t="s">
        <v>1808</v>
      </c>
      <c r="F140" s="49"/>
      <c r="G140" t="s">
        <v>1933</v>
      </c>
      <c r="H140" t="s">
        <v>2076</v>
      </c>
      <c r="I140" t="s">
        <v>2077</v>
      </c>
      <c r="J140" s="49" t="str">
        <f>IF(I140="","",_xlfn.XLOOKUP(TRIM(I140),'SkillMasterSkill ID'!$C:$C,'SkillMasterSkill ID'!$F:$F,"NOT FOUND",0))</f>
        <v>NOT FOUND</v>
      </c>
      <c r="K140" s="49"/>
      <c r="L140" s="49"/>
    </row>
    <row r="141" spans="1:12" x14ac:dyDescent="0.25">
      <c r="A14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1">
        <v>10814</v>
      </c>
      <c r="C141" t="s">
        <v>2051</v>
      </c>
      <c r="D141" s="49"/>
      <c r="E141" t="s">
        <v>1606</v>
      </c>
      <c r="F141" s="49"/>
      <c r="G141" t="s">
        <v>2083</v>
      </c>
      <c r="H141" t="s">
        <v>2088</v>
      </c>
      <c r="I141" t="s">
        <v>2089</v>
      </c>
      <c r="J141" s="49" t="str">
        <f>IF(I141="","",_xlfn.XLOOKUP(TRIM(I141),'SkillMasterSkill ID'!$C:$C,'SkillMasterSkill ID'!$F:$F,"NOT FOUND",0))</f>
        <v>NOT FOUND</v>
      </c>
      <c r="K141" s="49"/>
      <c r="L141" s="49"/>
    </row>
    <row r="142" spans="1:12" x14ac:dyDescent="0.25">
      <c r="A14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2">
        <v>10814</v>
      </c>
      <c r="C142" t="s">
        <v>2051</v>
      </c>
      <c r="D142" s="49"/>
      <c r="E142" t="s">
        <v>1878</v>
      </c>
      <c r="F142" s="49"/>
      <c r="G142" t="s">
        <v>2090</v>
      </c>
      <c r="H142" t="s">
        <v>2093</v>
      </c>
      <c r="I142" t="s">
        <v>2094</v>
      </c>
      <c r="J142" s="49" t="str">
        <f>IF(I142="","",_xlfn.XLOOKUP(TRIM(I142),'SkillMasterSkill ID'!$C:$C,'SkillMasterSkill ID'!$F:$F,"NOT FOUND",0))</f>
        <v>NOT FOUND</v>
      </c>
      <c r="K142" s="49"/>
      <c r="L142" s="49"/>
    </row>
    <row r="143" spans="1:12" x14ac:dyDescent="0.25">
      <c r="A14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3">
        <v>10805</v>
      </c>
      <c r="C143" t="s">
        <v>2101</v>
      </c>
      <c r="D143" s="49"/>
      <c r="E143" t="s">
        <v>1618</v>
      </c>
      <c r="F143" s="49"/>
      <c r="G143" t="s">
        <v>1622</v>
      </c>
      <c r="H143" t="s">
        <v>1620</v>
      </c>
      <c r="I143" t="s">
        <v>1621</v>
      </c>
      <c r="J143" s="49" t="str">
        <f>IF(I143="","",_xlfn.XLOOKUP(TRIM(I143),'SkillMasterSkill ID'!$C:$C,'SkillMasterSkill ID'!$F:$F,"NOT FOUND",0))</f>
        <v>NOT FOUND</v>
      </c>
      <c r="K143" s="49"/>
      <c r="L143" s="49"/>
    </row>
    <row r="144" spans="1:12" x14ac:dyDescent="0.25">
      <c r="A14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4">
        <v>10805</v>
      </c>
      <c r="C144" t="s">
        <v>2101</v>
      </c>
      <c r="D144" s="49"/>
      <c r="E144" t="s">
        <v>1614</v>
      </c>
      <c r="F144" s="49"/>
      <c r="G144" t="s">
        <v>1622</v>
      </c>
      <c r="H144" t="s">
        <v>1616</v>
      </c>
      <c r="I144" t="s">
        <v>1617</v>
      </c>
      <c r="J144" s="49" t="str">
        <f>IF(I144="","",_xlfn.XLOOKUP(TRIM(I144),'SkillMasterSkill ID'!$C:$C,'SkillMasterSkill ID'!$F:$F,"NOT FOUND",0))</f>
        <v>NOT FOUND</v>
      </c>
      <c r="K144" s="49"/>
      <c r="L144" s="49"/>
    </row>
    <row r="145" spans="1:12" x14ac:dyDescent="0.25">
      <c r="A14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5">
        <v>10805</v>
      </c>
      <c r="C145" t="s">
        <v>2101</v>
      </c>
      <c r="D145" s="49"/>
      <c r="E145" t="s">
        <v>1598</v>
      </c>
      <c r="F145" s="49"/>
      <c r="G145" t="s">
        <v>1622</v>
      </c>
      <c r="H145" t="s">
        <v>1600</v>
      </c>
      <c r="I145" t="s">
        <v>1601</v>
      </c>
      <c r="J145" s="49" t="str">
        <f>IF(I145="","",_xlfn.XLOOKUP(TRIM(I145),'SkillMasterSkill ID'!$C:$C,'SkillMasterSkill ID'!$F:$F,"NOT FOUND",0))</f>
        <v>NOT FOUND</v>
      </c>
      <c r="K145" s="49"/>
      <c r="L145" s="49"/>
    </row>
    <row r="146" spans="1:12" x14ac:dyDescent="0.25">
      <c r="A14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6">
        <v>10805</v>
      </c>
      <c r="C146" t="s">
        <v>2101</v>
      </c>
      <c r="D146" s="49"/>
      <c r="E146" t="s">
        <v>1606</v>
      </c>
      <c r="F146" s="49"/>
      <c r="G146" t="s">
        <v>1622</v>
      </c>
      <c r="H146" t="s">
        <v>1608</v>
      </c>
      <c r="I146" t="s">
        <v>1609</v>
      </c>
      <c r="J146" s="49" t="str">
        <f>IF(I146="","",_xlfn.XLOOKUP(TRIM(I146),'SkillMasterSkill ID'!$C:$C,'SkillMasterSkill ID'!$F:$F,"NOT FOUND",0))</f>
        <v>NOT FOUND</v>
      </c>
      <c r="K146" s="49"/>
      <c r="L146" s="49"/>
    </row>
    <row r="147" spans="1:12" x14ac:dyDescent="0.25">
      <c r="A14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7">
        <v>10805</v>
      </c>
      <c r="C147" t="s">
        <v>2101</v>
      </c>
      <c r="D147" s="49"/>
      <c r="E147" t="s">
        <v>1610</v>
      </c>
      <c r="F147" s="49"/>
      <c r="G147" t="s">
        <v>1622</v>
      </c>
      <c r="H147" t="s">
        <v>1612</v>
      </c>
      <c r="I147" t="s">
        <v>1613</v>
      </c>
      <c r="J147" s="49" t="str">
        <f>IF(I147="","",_xlfn.XLOOKUP(TRIM(I147),'SkillMasterSkill ID'!$C:$C,'SkillMasterSkill ID'!$F:$F,"NOT FOUND",0))</f>
        <v>Competency related to waste identification that supports effective field/project leadership and execution.</v>
      </c>
      <c r="K147" s="49"/>
      <c r="L147" s="49"/>
    </row>
    <row r="148" spans="1:12" x14ac:dyDescent="0.25">
      <c r="A14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8">
        <v>10805</v>
      </c>
      <c r="C148" t="s">
        <v>2101</v>
      </c>
      <c r="D148" s="49"/>
      <c r="E148" t="s">
        <v>1602</v>
      </c>
      <c r="F148" s="49"/>
      <c r="G148" t="s">
        <v>1622</v>
      </c>
      <c r="H148" t="s">
        <v>1604</v>
      </c>
      <c r="I148" t="s">
        <v>1605</v>
      </c>
      <c r="J148" s="49" t="str">
        <f>IF(I148="","",_xlfn.XLOOKUP(TRIM(I148),'SkillMasterSkill ID'!$C:$C,'SkillMasterSkill ID'!$F:$F,"NOT FOUND",0))</f>
        <v>NOT FOUND</v>
      </c>
      <c r="K148" s="49"/>
      <c r="L148" s="49"/>
    </row>
    <row r="149" spans="1:12" x14ac:dyDescent="0.25">
      <c r="A14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9">
        <v>10805</v>
      </c>
      <c r="C149" t="s">
        <v>2103</v>
      </c>
      <c r="D149" s="49"/>
      <c r="E149" t="s">
        <v>2111</v>
      </c>
      <c r="F149" s="49"/>
      <c r="G149" t="s">
        <v>2110</v>
      </c>
      <c r="H149" t="s">
        <v>2112</v>
      </c>
      <c r="I149" t="s">
        <v>2113</v>
      </c>
      <c r="J149" s="49" t="str">
        <f>IF(I149="","",_xlfn.XLOOKUP(TRIM(I149),'SkillMasterSkill ID'!$C:$C,'SkillMasterSkill ID'!$F:$F,"NOT FOUND",0))</f>
        <v>NOT FOUND</v>
      </c>
      <c r="K149" s="49"/>
      <c r="L149" s="49"/>
    </row>
    <row r="150" spans="1:12" x14ac:dyDescent="0.25">
      <c r="A15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0">
        <v>10805</v>
      </c>
      <c r="C150" t="s">
        <v>2103</v>
      </c>
      <c r="D150" s="49"/>
      <c r="E150" t="s">
        <v>1878</v>
      </c>
      <c r="F150" s="49"/>
      <c r="G150" t="s">
        <v>2132</v>
      </c>
      <c r="H150" t="s">
        <v>2137</v>
      </c>
      <c r="I150" t="s">
        <v>2138</v>
      </c>
      <c r="J150" s="49" t="str">
        <f>IF(I150="","",_xlfn.XLOOKUP(TRIM(I150),'SkillMasterSkill ID'!$C:$C,'SkillMasterSkill ID'!$F:$F,"NOT FOUND",0))</f>
        <v>NOT FOUND</v>
      </c>
      <c r="K150" s="49"/>
      <c r="L150" s="49"/>
    </row>
    <row r="151" spans="1:12" x14ac:dyDescent="0.25">
      <c r="A15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1">
        <v>10805</v>
      </c>
      <c r="C151" t="s">
        <v>2103</v>
      </c>
      <c r="D151" s="49"/>
      <c r="E151" t="s">
        <v>1855</v>
      </c>
      <c r="F151" s="49"/>
      <c r="G151" t="s">
        <v>2118</v>
      </c>
      <c r="H151" t="s">
        <v>2121</v>
      </c>
      <c r="I151" t="s">
        <v>2122</v>
      </c>
      <c r="J151" s="49" t="str">
        <f>IF(I151="","",_xlfn.XLOOKUP(TRIM(I151),'SkillMasterSkill ID'!$C:$C,'SkillMasterSkill ID'!$F:$F,"NOT FOUND",0))</f>
        <v>NOT FOUND</v>
      </c>
      <c r="K151" s="49"/>
      <c r="L151" s="49"/>
    </row>
    <row r="152" spans="1:12" x14ac:dyDescent="0.25">
      <c r="A15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2">
        <v>10805</v>
      </c>
      <c r="C152" t="s">
        <v>2103</v>
      </c>
      <c r="D152" s="49"/>
      <c r="E152" t="s">
        <v>2111</v>
      </c>
      <c r="F152" s="49"/>
      <c r="G152" t="s">
        <v>2110</v>
      </c>
      <c r="H152" t="s">
        <v>2114</v>
      </c>
      <c r="I152" t="s">
        <v>2115</v>
      </c>
      <c r="J152" s="49" t="str">
        <f>IF(I152="","",_xlfn.XLOOKUP(TRIM(I152),'SkillMasterSkill ID'!$C:$C,'SkillMasterSkill ID'!$F:$F,"NOT FOUND",0))</f>
        <v>NOT FOUND</v>
      </c>
      <c r="K152" s="49"/>
      <c r="L152" s="49"/>
    </row>
    <row r="153" spans="1:12" x14ac:dyDescent="0.25">
      <c r="A15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3">
        <v>10805</v>
      </c>
      <c r="C153" t="s">
        <v>2103</v>
      </c>
      <c r="D153" s="49"/>
      <c r="E153" t="s">
        <v>2104</v>
      </c>
      <c r="F153" s="49"/>
      <c r="G153" t="s">
        <v>2102</v>
      </c>
      <c r="H153" t="s">
        <v>2106</v>
      </c>
      <c r="I153" t="s">
        <v>2107</v>
      </c>
      <c r="J153" s="49" t="str">
        <f>IF(I153="","",_xlfn.XLOOKUP(TRIM(I153),'SkillMasterSkill ID'!$C:$C,'SkillMasterSkill ID'!$F:$F,"NOT FOUND",0))</f>
        <v>NOT FOUND</v>
      </c>
      <c r="K153" s="49"/>
      <c r="L153" s="49"/>
    </row>
    <row r="154" spans="1:12" x14ac:dyDescent="0.25">
      <c r="A15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4">
        <v>10805</v>
      </c>
      <c r="C154" t="s">
        <v>2103</v>
      </c>
      <c r="D154" s="49"/>
      <c r="E154" t="s">
        <v>1840</v>
      </c>
      <c r="F154" s="49"/>
      <c r="G154" t="s">
        <v>1969</v>
      </c>
      <c r="H154" t="s">
        <v>2150</v>
      </c>
      <c r="I154" t="s">
        <v>2151</v>
      </c>
      <c r="J154" s="49" t="str">
        <f>IF(I154="","",_xlfn.XLOOKUP(TRIM(I154),'SkillMasterSkill ID'!$C:$C,'SkillMasterSkill ID'!$F:$F,"NOT FOUND",0))</f>
        <v>NOT FOUND</v>
      </c>
      <c r="K154" s="49"/>
      <c r="L154" s="49"/>
    </row>
    <row r="155" spans="1:12" x14ac:dyDescent="0.25">
      <c r="A15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5">
        <v>10805</v>
      </c>
      <c r="C155" t="s">
        <v>2103</v>
      </c>
      <c r="D155" s="49"/>
      <c r="E155" t="s">
        <v>2142</v>
      </c>
      <c r="F155" s="49"/>
      <c r="G155" t="s">
        <v>2141</v>
      </c>
      <c r="H155" t="s">
        <v>2144</v>
      </c>
      <c r="I155" t="s">
        <v>2145</v>
      </c>
      <c r="J155" s="49" t="str">
        <f>IF(I155="","",_xlfn.XLOOKUP(TRIM(I155),'SkillMasterSkill ID'!$C:$C,'SkillMasterSkill ID'!$F:$F,"NOT FOUND",0))</f>
        <v>NOT FOUND</v>
      </c>
      <c r="K155" s="49"/>
      <c r="L155" s="49"/>
    </row>
    <row r="156" spans="1:12" x14ac:dyDescent="0.25">
      <c r="A15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6">
        <v>10805</v>
      </c>
      <c r="C156" t="s">
        <v>2103</v>
      </c>
      <c r="D156" s="49"/>
      <c r="E156" t="s">
        <v>1855</v>
      </c>
      <c r="F156" s="49"/>
      <c r="G156" t="s">
        <v>2118</v>
      </c>
      <c r="H156" t="s">
        <v>2123</v>
      </c>
      <c r="I156" t="s">
        <v>2124</v>
      </c>
      <c r="J156" s="49" t="str">
        <f>IF(I156="","",_xlfn.XLOOKUP(TRIM(I156),'SkillMasterSkill ID'!$C:$C,'SkillMasterSkill ID'!$F:$F,"NOT FOUND",0))</f>
        <v>NOT FOUND</v>
      </c>
      <c r="K156" s="49"/>
      <c r="L156" s="49"/>
    </row>
    <row r="157" spans="1:12" x14ac:dyDescent="0.25">
      <c r="A15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7">
        <v>10805</v>
      </c>
      <c r="C157" t="s">
        <v>2103</v>
      </c>
      <c r="D157" s="49"/>
      <c r="E157" t="s">
        <v>1855</v>
      </c>
      <c r="F157" s="49"/>
      <c r="G157" t="s">
        <v>2118</v>
      </c>
      <c r="H157" t="s">
        <v>2119</v>
      </c>
      <c r="I157" t="s">
        <v>2120</v>
      </c>
      <c r="J157" s="49" t="str">
        <f>IF(I157="","",_xlfn.XLOOKUP(TRIM(I157),'SkillMasterSkill ID'!$C:$C,'SkillMasterSkill ID'!$F:$F,"NOT FOUND",0))</f>
        <v>NOT FOUND</v>
      </c>
      <c r="K157" s="49"/>
      <c r="L157" s="49"/>
    </row>
    <row r="158" spans="1:12" x14ac:dyDescent="0.25">
      <c r="A15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8">
        <v>10805</v>
      </c>
      <c r="C158" t="s">
        <v>2103</v>
      </c>
      <c r="D158" s="49"/>
      <c r="E158" t="s">
        <v>1602</v>
      </c>
      <c r="F158" s="49"/>
      <c r="G158" t="s">
        <v>2125</v>
      </c>
      <c r="H158" t="s">
        <v>2126</v>
      </c>
      <c r="I158" t="s">
        <v>2127</v>
      </c>
      <c r="J158" s="49" t="str">
        <f>IF(I158="","",_xlfn.XLOOKUP(TRIM(I158),'SkillMasterSkill ID'!$C:$C,'SkillMasterSkill ID'!$F:$F,"NOT FOUND",0))</f>
        <v>NOT FOUND</v>
      </c>
      <c r="K158" s="49"/>
      <c r="L158" s="49"/>
    </row>
    <row r="159" spans="1:12" x14ac:dyDescent="0.25">
      <c r="A15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9">
        <v>10805</v>
      </c>
      <c r="C159" t="s">
        <v>2103</v>
      </c>
      <c r="D159" s="49"/>
      <c r="E159" t="s">
        <v>2142</v>
      </c>
      <c r="F159" s="49"/>
      <c r="G159" t="s">
        <v>2141</v>
      </c>
      <c r="H159" t="s">
        <v>2146</v>
      </c>
      <c r="I159" t="s">
        <v>2147</v>
      </c>
      <c r="J159" s="49" t="str">
        <f>IF(I159="","",_xlfn.XLOOKUP(TRIM(I159),'SkillMasterSkill ID'!$C:$C,'SkillMasterSkill ID'!$F:$F,"NOT FOUND",0))</f>
        <v>NOT FOUND</v>
      </c>
      <c r="K159" s="49"/>
      <c r="L159" s="49"/>
    </row>
    <row r="160" spans="1:12" x14ac:dyDescent="0.25">
      <c r="A16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60">
        <v>10805</v>
      </c>
      <c r="C160" t="s">
        <v>2103</v>
      </c>
      <c r="D160" s="49"/>
      <c r="E160" t="s">
        <v>2111</v>
      </c>
      <c r="F160" s="49"/>
      <c r="G160" t="s">
        <v>2110</v>
      </c>
      <c r="H160" t="s">
        <v>2116</v>
      </c>
      <c r="I160" t="s">
        <v>2117</v>
      </c>
      <c r="J160" s="49" t="str">
        <f>IF(I160="","",_xlfn.XLOOKUP(TRIM(I160),'SkillMasterSkill ID'!$C:$C,'SkillMasterSkill ID'!$F:$F,"NOT FOUND",0))</f>
        <v>NOT FOUND</v>
      </c>
      <c r="K160" s="49"/>
      <c r="L160" s="49"/>
    </row>
    <row r="161" spans="1:12" x14ac:dyDescent="0.25">
      <c r="A16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61">
        <v>10805</v>
      </c>
      <c r="C161" t="s">
        <v>2103</v>
      </c>
      <c r="D161" s="49"/>
      <c r="E161" t="s">
        <v>1633</v>
      </c>
      <c r="F161" s="49"/>
      <c r="G161" t="s">
        <v>2132</v>
      </c>
      <c r="H161" t="s">
        <v>2139</v>
      </c>
      <c r="I161" t="s">
        <v>2140</v>
      </c>
      <c r="J161" s="49" t="str">
        <f>IF(I161="","",_xlfn.XLOOKUP(TRIM(I161),'SkillMasterSkill ID'!$C:$C,'SkillMasterSkill ID'!$F:$F,"NOT FOUND",0))</f>
        <v>NOT FOUND</v>
      </c>
      <c r="K161" s="49"/>
      <c r="L161" s="49"/>
    </row>
    <row r="162" spans="1:12" x14ac:dyDescent="0.25">
      <c r="A16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62">
        <v>10805</v>
      </c>
      <c r="C162" t="s">
        <v>2103</v>
      </c>
      <c r="D162" s="49"/>
      <c r="E162" t="s">
        <v>1970</v>
      </c>
      <c r="F162" s="49"/>
      <c r="G162" t="s">
        <v>1969</v>
      </c>
      <c r="H162" t="s">
        <v>2148</v>
      </c>
      <c r="I162" t="s">
        <v>2149</v>
      </c>
      <c r="J162" s="49" t="str">
        <f>IF(I162="","",_xlfn.XLOOKUP(TRIM(I162),'SkillMasterSkill ID'!$C:$C,'SkillMasterSkill ID'!$F:$F,"NOT FOUND",0))</f>
        <v>NOT FOUND</v>
      </c>
      <c r="K162" s="49"/>
      <c r="L162" s="49"/>
    </row>
    <row r="163" spans="1:12" x14ac:dyDescent="0.25">
      <c r="A16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63">
        <v>10805</v>
      </c>
      <c r="C163" t="s">
        <v>2103</v>
      </c>
      <c r="D163" s="49"/>
      <c r="E163" t="s">
        <v>1606</v>
      </c>
      <c r="F163" s="49"/>
      <c r="G163" t="s">
        <v>2125</v>
      </c>
      <c r="H163" t="s">
        <v>2130</v>
      </c>
      <c r="I163" t="s">
        <v>2131</v>
      </c>
      <c r="J163" s="49" t="str">
        <f>IF(I163="","",_xlfn.XLOOKUP(TRIM(I163),'SkillMasterSkill ID'!$C:$C,'SkillMasterSkill ID'!$F:$F,"NOT FOUND",0))</f>
        <v>NOT FOUND</v>
      </c>
      <c r="K163" s="49"/>
      <c r="L163" s="49"/>
    </row>
    <row r="164" spans="1:12" x14ac:dyDescent="0.25">
      <c r="A16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64">
        <v>10805</v>
      </c>
      <c r="C164" t="s">
        <v>2103</v>
      </c>
      <c r="D164" s="49"/>
      <c r="E164" t="s">
        <v>2133</v>
      </c>
      <c r="F164" s="49"/>
      <c r="G164" t="s">
        <v>2132</v>
      </c>
      <c r="H164" t="s">
        <v>2135</v>
      </c>
      <c r="I164" t="s">
        <v>2136</v>
      </c>
      <c r="J164" s="49" t="str">
        <f>IF(I164="","",_xlfn.XLOOKUP(TRIM(I164),'SkillMasterSkill ID'!$C:$C,'SkillMasterSkill ID'!$F:$F,"NOT FOUND",0))</f>
        <v>NOT FOUND</v>
      </c>
      <c r="K164" s="49"/>
      <c r="L164" s="49"/>
    </row>
    <row r="165" spans="1:12" x14ac:dyDescent="0.25">
      <c r="A16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65">
        <v>10805</v>
      </c>
      <c r="C165" t="s">
        <v>2103</v>
      </c>
      <c r="D165" s="49"/>
      <c r="E165" t="s">
        <v>1606</v>
      </c>
      <c r="F165" s="49"/>
      <c r="G165" t="s">
        <v>2125</v>
      </c>
      <c r="H165" t="s">
        <v>2128</v>
      </c>
      <c r="I165" t="s">
        <v>2129</v>
      </c>
      <c r="J165" s="49" t="str">
        <f>IF(I165="","",_xlfn.XLOOKUP(TRIM(I165),'SkillMasterSkill ID'!$C:$C,'SkillMasterSkill ID'!$F:$F,"NOT FOUND",0))</f>
        <v>NOT FOUND</v>
      </c>
      <c r="K165" s="49"/>
      <c r="L165" s="49"/>
    </row>
    <row r="166" spans="1:12" x14ac:dyDescent="0.25">
      <c r="A16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66">
        <v>10805</v>
      </c>
      <c r="C166" t="s">
        <v>2103</v>
      </c>
      <c r="D166" s="49"/>
      <c r="E166" t="s">
        <v>2104</v>
      </c>
      <c r="F166" s="49"/>
      <c r="G166" t="s">
        <v>2102</v>
      </c>
      <c r="H166" t="s">
        <v>2108</v>
      </c>
      <c r="I166" t="s">
        <v>2109</v>
      </c>
      <c r="J166" s="49" t="str">
        <f>IF(I166="","",_xlfn.XLOOKUP(TRIM(I166),'SkillMasterSkill ID'!$C:$C,'SkillMasterSkill ID'!$F:$F,"NOT FOUND",0))</f>
        <v>NOT FOUND</v>
      </c>
      <c r="K166" s="49"/>
      <c r="L166" s="49"/>
    </row>
    <row r="167" spans="1:12" x14ac:dyDescent="0.25">
      <c r="A16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67">
        <v>10815</v>
      </c>
      <c r="C167" t="s">
        <v>2152</v>
      </c>
      <c r="D167" s="49"/>
      <c r="E167" t="s">
        <v>1618</v>
      </c>
      <c r="F167" s="49"/>
      <c r="G167" t="s">
        <v>1622</v>
      </c>
      <c r="H167" t="s">
        <v>1620</v>
      </c>
      <c r="I167" t="s">
        <v>1621</v>
      </c>
      <c r="J167" s="49" t="str">
        <f>IF(I167="","",_xlfn.XLOOKUP(TRIM(I167),'SkillMasterSkill ID'!$C:$C,'SkillMasterSkill ID'!$F:$F,"NOT FOUND",0))</f>
        <v>NOT FOUND</v>
      </c>
      <c r="K167" s="49"/>
      <c r="L167" s="49"/>
    </row>
    <row r="168" spans="1:12" x14ac:dyDescent="0.25">
      <c r="A16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68">
        <v>10815</v>
      </c>
      <c r="C168" t="s">
        <v>2152</v>
      </c>
      <c r="D168" s="49"/>
      <c r="E168" t="s">
        <v>1614</v>
      </c>
      <c r="F168" s="49"/>
      <c r="G168" t="s">
        <v>1622</v>
      </c>
      <c r="H168" t="s">
        <v>1616</v>
      </c>
      <c r="I168" t="s">
        <v>1617</v>
      </c>
      <c r="J168" s="49" t="str">
        <f>IF(I168="","",_xlfn.XLOOKUP(TRIM(I168),'SkillMasterSkill ID'!$C:$C,'SkillMasterSkill ID'!$F:$F,"NOT FOUND",0))</f>
        <v>NOT FOUND</v>
      </c>
      <c r="K168" s="49"/>
      <c r="L168" s="49"/>
    </row>
    <row r="169" spans="1:12" x14ac:dyDescent="0.25">
      <c r="A16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69">
        <v>10815</v>
      </c>
      <c r="C169" t="s">
        <v>2152</v>
      </c>
      <c r="D169" s="49"/>
      <c r="E169" t="s">
        <v>1598</v>
      </c>
      <c r="F169" s="49"/>
      <c r="G169" t="s">
        <v>1622</v>
      </c>
      <c r="H169" t="s">
        <v>1600</v>
      </c>
      <c r="I169" t="s">
        <v>1601</v>
      </c>
      <c r="J169" s="49" t="str">
        <f>IF(I169="","",_xlfn.XLOOKUP(TRIM(I169),'SkillMasterSkill ID'!$C:$C,'SkillMasterSkill ID'!$F:$F,"NOT FOUND",0))</f>
        <v>NOT FOUND</v>
      </c>
      <c r="K169" s="49"/>
      <c r="L169" s="49"/>
    </row>
    <row r="170" spans="1:12" x14ac:dyDescent="0.25">
      <c r="A17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70">
        <v>10815</v>
      </c>
      <c r="C170" t="s">
        <v>2152</v>
      </c>
      <c r="D170" s="49"/>
      <c r="E170" t="s">
        <v>1606</v>
      </c>
      <c r="F170" s="49"/>
      <c r="G170" t="s">
        <v>1622</v>
      </c>
      <c r="H170" t="s">
        <v>1608</v>
      </c>
      <c r="I170" t="s">
        <v>1609</v>
      </c>
      <c r="J170" s="49" t="str">
        <f>IF(I170="","",_xlfn.XLOOKUP(TRIM(I170),'SkillMasterSkill ID'!$C:$C,'SkillMasterSkill ID'!$F:$F,"NOT FOUND",0))</f>
        <v>NOT FOUND</v>
      </c>
      <c r="K170" s="49"/>
      <c r="L170" s="49"/>
    </row>
    <row r="171" spans="1:12" x14ac:dyDescent="0.25">
      <c r="A17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71">
        <v>10815</v>
      </c>
      <c r="C171" t="s">
        <v>2152</v>
      </c>
      <c r="D171" s="49"/>
      <c r="E171" t="s">
        <v>1610</v>
      </c>
      <c r="F171" s="49"/>
      <c r="G171" t="s">
        <v>1622</v>
      </c>
      <c r="H171" t="s">
        <v>1612</v>
      </c>
      <c r="I171" t="s">
        <v>1613</v>
      </c>
      <c r="J171" s="49" t="str">
        <f>IF(I171="","",_xlfn.XLOOKUP(TRIM(I171),'SkillMasterSkill ID'!$C:$C,'SkillMasterSkill ID'!$F:$F,"NOT FOUND",0))</f>
        <v>Competency related to waste identification that supports effective field/project leadership and execution.</v>
      </c>
      <c r="K171" s="49"/>
      <c r="L171" s="49"/>
    </row>
    <row r="172" spans="1:12" x14ac:dyDescent="0.25">
      <c r="A17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72">
        <v>10815</v>
      </c>
      <c r="C172" t="s">
        <v>2152</v>
      </c>
      <c r="D172" s="49"/>
      <c r="E172" t="s">
        <v>1602</v>
      </c>
      <c r="F172" s="49"/>
      <c r="G172" t="s">
        <v>1622</v>
      </c>
      <c r="H172" t="s">
        <v>1604</v>
      </c>
      <c r="I172" t="s">
        <v>1605</v>
      </c>
      <c r="J172" s="49" t="str">
        <f>IF(I172="","",_xlfn.XLOOKUP(TRIM(I172),'SkillMasterSkill ID'!$C:$C,'SkillMasterSkill ID'!$F:$F,"NOT FOUND",0))</f>
        <v>NOT FOUND</v>
      </c>
      <c r="K172" s="49"/>
      <c r="L172" s="49"/>
    </row>
    <row r="173" spans="1:12" x14ac:dyDescent="0.25">
      <c r="A17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73">
        <v>10815</v>
      </c>
      <c r="C173" t="s">
        <v>2154</v>
      </c>
      <c r="D173" s="49"/>
      <c r="E173" t="s">
        <v>1808</v>
      </c>
      <c r="F173" s="49"/>
      <c r="G173" t="s">
        <v>2177</v>
      </c>
      <c r="H173" t="s">
        <v>2181</v>
      </c>
      <c r="I173" t="s">
        <v>2182</v>
      </c>
      <c r="J173" s="49" t="str">
        <f>IF(I173="","",_xlfn.XLOOKUP(TRIM(I173),'SkillMasterSkill ID'!$C:$C,'SkillMasterSkill ID'!$F:$F,"NOT FOUND",0))</f>
        <v>NOT FOUND</v>
      </c>
      <c r="K173" s="49"/>
      <c r="L173" s="49"/>
    </row>
    <row r="174" spans="1:12" x14ac:dyDescent="0.25">
      <c r="A17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74">
        <v>10815</v>
      </c>
      <c r="C174" t="s">
        <v>2154</v>
      </c>
      <c r="D174" s="49"/>
      <c r="E174" t="s">
        <v>1754</v>
      </c>
      <c r="F174" s="49"/>
      <c r="G174" t="s">
        <v>2170</v>
      </c>
      <c r="H174" t="s">
        <v>2171</v>
      </c>
      <c r="I174" t="s">
        <v>2172</v>
      </c>
      <c r="J174" s="49" t="str">
        <f>IF(I174="","",_xlfn.XLOOKUP(TRIM(I174),'SkillMasterSkill ID'!$C:$C,'SkillMasterSkill ID'!$F:$F,"NOT FOUND",0))</f>
        <v>NOT FOUND</v>
      </c>
      <c r="K174" s="49"/>
      <c r="L174" s="49"/>
    </row>
    <row r="175" spans="1:12" x14ac:dyDescent="0.25">
      <c r="A17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75">
        <v>10815</v>
      </c>
      <c r="C175" t="s">
        <v>2154</v>
      </c>
      <c r="D175" s="49"/>
      <c r="E175" t="s">
        <v>1855</v>
      </c>
      <c r="F175" s="49"/>
      <c r="G175" t="s">
        <v>2161</v>
      </c>
      <c r="H175" t="s">
        <v>2163</v>
      </c>
      <c r="I175" t="s">
        <v>2164</v>
      </c>
      <c r="J175" s="49" t="str">
        <f>IF(I175="","",_xlfn.XLOOKUP(TRIM(I175),'SkillMasterSkill ID'!$C:$C,'SkillMasterSkill ID'!$F:$F,"NOT FOUND",0))</f>
        <v>NOT FOUND</v>
      </c>
      <c r="K175" s="49"/>
      <c r="L175" s="49"/>
    </row>
    <row r="176" spans="1:12" x14ac:dyDescent="0.25">
      <c r="A17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76">
        <v>10815</v>
      </c>
      <c r="C176" t="s">
        <v>2154</v>
      </c>
      <c r="D176" s="49"/>
      <c r="E176" t="s">
        <v>1598</v>
      </c>
      <c r="F176" s="49"/>
      <c r="G176" t="s">
        <v>2153</v>
      </c>
      <c r="H176" t="s">
        <v>2158</v>
      </c>
      <c r="I176" t="s">
        <v>2159</v>
      </c>
      <c r="J176" s="49" t="str">
        <f>IF(I176="","",_xlfn.XLOOKUP(TRIM(I176),'SkillMasterSkill ID'!$C:$C,'SkillMasterSkill ID'!$F:$F,"NOT FOUND",0))</f>
        <v>NOT FOUND</v>
      </c>
      <c r="K176" s="49"/>
      <c r="L176" s="49"/>
    </row>
    <row r="177" spans="1:12" x14ac:dyDescent="0.25">
      <c r="A17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77">
        <v>10815</v>
      </c>
      <c r="C177" t="s">
        <v>2154</v>
      </c>
      <c r="D177" s="49"/>
      <c r="E177" t="s">
        <v>1808</v>
      </c>
      <c r="F177" s="49"/>
      <c r="G177" t="s">
        <v>2177</v>
      </c>
      <c r="H177" t="s">
        <v>2179</v>
      </c>
      <c r="I177" t="s">
        <v>2180</v>
      </c>
      <c r="J177" s="49" t="str">
        <f>IF(I177="","",_xlfn.XLOOKUP(TRIM(I177),'SkillMasterSkill ID'!$C:$C,'SkillMasterSkill ID'!$F:$F,"NOT FOUND",0))</f>
        <v>NOT FOUND</v>
      </c>
      <c r="K177" s="49"/>
      <c r="L177" s="49"/>
    </row>
    <row r="178" spans="1:12" x14ac:dyDescent="0.25">
      <c r="A17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78">
        <v>10815</v>
      </c>
      <c r="C178" t="s">
        <v>2154</v>
      </c>
      <c r="D178" s="49"/>
      <c r="E178" t="s">
        <v>2189</v>
      </c>
      <c r="F178" s="49"/>
      <c r="G178" t="s">
        <v>2083</v>
      </c>
      <c r="H178" t="s">
        <v>2190</v>
      </c>
      <c r="I178" t="s">
        <v>2191</v>
      </c>
      <c r="J178" s="49" t="str">
        <f>IF(I178="","",_xlfn.XLOOKUP(TRIM(I178),'SkillMasterSkill ID'!$C:$C,'SkillMasterSkill ID'!$F:$F,"NOT FOUND",0))</f>
        <v>NOT FOUND</v>
      </c>
      <c r="K178" s="49"/>
      <c r="L178" s="49"/>
    </row>
    <row r="179" spans="1:12" x14ac:dyDescent="0.25">
      <c r="A17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79">
        <v>10815</v>
      </c>
      <c r="C179" t="s">
        <v>2154</v>
      </c>
      <c r="D179" s="49"/>
      <c r="E179" t="s">
        <v>1602</v>
      </c>
      <c r="F179" s="49"/>
      <c r="G179" t="s">
        <v>2161</v>
      </c>
      <c r="H179" t="s">
        <v>2165</v>
      </c>
      <c r="I179" t="s">
        <v>2166</v>
      </c>
      <c r="J179" s="49" t="str">
        <f>IF(I179="","",_xlfn.XLOOKUP(TRIM(I179),'SkillMasterSkill ID'!$C:$C,'SkillMasterSkill ID'!$F:$F,"NOT FOUND",0))</f>
        <v>NOT FOUND</v>
      </c>
      <c r="K179" s="49"/>
      <c r="L179" s="49"/>
    </row>
    <row r="180" spans="1:12" x14ac:dyDescent="0.25">
      <c r="A18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80">
        <v>10815</v>
      </c>
      <c r="C180" t="s">
        <v>2154</v>
      </c>
      <c r="D180" s="49"/>
      <c r="E180" t="s">
        <v>1970</v>
      </c>
      <c r="F180" s="49"/>
      <c r="G180" t="s">
        <v>2198</v>
      </c>
      <c r="H180" t="s">
        <v>2148</v>
      </c>
      <c r="I180" t="s">
        <v>2099</v>
      </c>
      <c r="J180" s="49" t="str">
        <f>IF(I180="","",_xlfn.XLOOKUP(TRIM(I180),'SkillMasterSkill ID'!$C:$C,'SkillMasterSkill ID'!$F:$F,"NOT FOUND",0))</f>
        <v>NOT FOUND</v>
      </c>
      <c r="K180" s="49"/>
      <c r="L180" s="49"/>
    </row>
    <row r="181" spans="1:12" x14ac:dyDescent="0.25">
      <c r="A18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81">
        <v>10815</v>
      </c>
      <c r="C181" t="s">
        <v>2154</v>
      </c>
      <c r="D181" s="49"/>
      <c r="E181" t="s">
        <v>1840</v>
      </c>
      <c r="F181" s="49"/>
      <c r="G181" t="s">
        <v>2198</v>
      </c>
      <c r="H181" t="s">
        <v>2200</v>
      </c>
      <c r="I181" t="s">
        <v>2201</v>
      </c>
      <c r="J181" s="49" t="str">
        <f>IF(I181="","",_xlfn.XLOOKUP(TRIM(I181),'SkillMasterSkill ID'!$C:$C,'SkillMasterSkill ID'!$F:$F,"NOT FOUND",0))</f>
        <v>NOT FOUND</v>
      </c>
      <c r="K181" s="49"/>
      <c r="L181" s="49"/>
    </row>
    <row r="182" spans="1:12" x14ac:dyDescent="0.25">
      <c r="A18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82">
        <v>10815</v>
      </c>
      <c r="C182" t="s">
        <v>2154</v>
      </c>
      <c r="D182" s="49"/>
      <c r="E182" t="s">
        <v>2175</v>
      </c>
      <c r="F182" s="49"/>
      <c r="G182" t="s">
        <v>2170</v>
      </c>
      <c r="H182" t="s">
        <v>2074</v>
      </c>
      <c r="I182" t="s">
        <v>2176</v>
      </c>
      <c r="J182" s="49" t="str">
        <f>IF(I182="","",_xlfn.XLOOKUP(TRIM(I182),'SkillMasterSkill ID'!$C:$C,'SkillMasterSkill ID'!$F:$F,"NOT FOUND",0))</f>
        <v>NOT FOUND</v>
      </c>
      <c r="K182" s="49"/>
      <c r="L182" s="49"/>
    </row>
    <row r="183" spans="1:12" x14ac:dyDescent="0.25">
      <c r="A18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83">
        <v>10815</v>
      </c>
      <c r="C183" t="s">
        <v>2154</v>
      </c>
      <c r="D183" s="49"/>
      <c r="E183" t="s">
        <v>1633</v>
      </c>
      <c r="F183" s="49"/>
      <c r="G183" t="s">
        <v>2192</v>
      </c>
      <c r="H183" t="s">
        <v>2193</v>
      </c>
      <c r="I183" t="s">
        <v>2194</v>
      </c>
      <c r="J183" s="49" t="str">
        <f>IF(I183="","",_xlfn.XLOOKUP(TRIM(I183),'SkillMasterSkill ID'!$C:$C,'SkillMasterSkill ID'!$F:$F,"NOT FOUND",0))</f>
        <v>NOT FOUND</v>
      </c>
      <c r="K183" s="49"/>
      <c r="L183" s="49"/>
    </row>
    <row r="184" spans="1:12" x14ac:dyDescent="0.25">
      <c r="A18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84">
        <v>10815</v>
      </c>
      <c r="C184" t="s">
        <v>2154</v>
      </c>
      <c r="D184" s="49"/>
      <c r="E184" t="s">
        <v>1808</v>
      </c>
      <c r="F184" s="49"/>
      <c r="G184" t="s">
        <v>2177</v>
      </c>
      <c r="H184" t="s">
        <v>2184</v>
      </c>
      <c r="I184" t="s">
        <v>2185</v>
      </c>
      <c r="J184" s="49" t="str">
        <f>IF(I184="","",_xlfn.XLOOKUP(TRIM(I184),'SkillMasterSkill ID'!$C:$C,'SkillMasterSkill ID'!$F:$F,"NOT FOUND",0))</f>
        <v>NOT FOUND</v>
      </c>
      <c r="K184" s="49"/>
      <c r="L184" s="49"/>
    </row>
    <row r="185" spans="1:12" x14ac:dyDescent="0.25">
      <c r="A18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85">
        <v>10815</v>
      </c>
      <c r="C185" t="s">
        <v>2154</v>
      </c>
      <c r="D185" s="49"/>
      <c r="E185" t="s">
        <v>1945</v>
      </c>
      <c r="F185" s="49"/>
      <c r="G185" t="s">
        <v>2083</v>
      </c>
      <c r="H185" t="s">
        <v>2086</v>
      </c>
      <c r="I185" t="s">
        <v>2188</v>
      </c>
      <c r="J185" s="49" t="str">
        <f>IF(I185="","",_xlfn.XLOOKUP(TRIM(I185),'SkillMasterSkill ID'!$C:$C,'SkillMasterSkill ID'!$F:$F,"NOT FOUND",0))</f>
        <v>NOT FOUND</v>
      </c>
      <c r="K185" s="49"/>
      <c r="L185" s="49"/>
    </row>
    <row r="186" spans="1:12" x14ac:dyDescent="0.25">
      <c r="A18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86">
        <v>10815</v>
      </c>
      <c r="C186" t="s">
        <v>2154</v>
      </c>
      <c r="D186" s="49"/>
      <c r="E186" t="s">
        <v>1598</v>
      </c>
      <c r="F186" s="49"/>
      <c r="G186" t="s">
        <v>2153</v>
      </c>
      <c r="H186" t="s">
        <v>2058</v>
      </c>
      <c r="I186" t="s">
        <v>2160</v>
      </c>
      <c r="J186" s="49" t="str">
        <f>IF(I186="","",_xlfn.XLOOKUP(TRIM(I186),'SkillMasterSkill ID'!$C:$C,'SkillMasterSkill ID'!$F:$F,"NOT FOUND",0))</f>
        <v>NOT FOUND</v>
      </c>
      <c r="K186" s="49"/>
      <c r="L186" s="49"/>
    </row>
    <row r="187" spans="1:12" x14ac:dyDescent="0.25">
      <c r="A18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87">
        <v>10815</v>
      </c>
      <c r="C187" t="s">
        <v>2154</v>
      </c>
      <c r="D187" s="49"/>
      <c r="E187" t="s">
        <v>1598</v>
      </c>
      <c r="F187" s="49"/>
      <c r="G187" t="s">
        <v>2153</v>
      </c>
      <c r="H187" t="s">
        <v>2156</v>
      </c>
      <c r="I187" t="s">
        <v>2157</v>
      </c>
      <c r="J187" s="49" t="str">
        <f>IF(I187="","",_xlfn.XLOOKUP(TRIM(I187),'SkillMasterSkill ID'!$C:$C,'SkillMasterSkill ID'!$F:$F,"NOT FOUND",0))</f>
        <v>NOT FOUND</v>
      </c>
      <c r="K187" s="49"/>
      <c r="L187" s="49"/>
    </row>
    <row r="188" spans="1:12" x14ac:dyDescent="0.25">
      <c r="A18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88">
        <v>10815</v>
      </c>
      <c r="C188" t="s">
        <v>2154</v>
      </c>
      <c r="D188" s="49"/>
      <c r="E188" t="s">
        <v>1602</v>
      </c>
      <c r="F188" s="49"/>
      <c r="G188" t="s">
        <v>2161</v>
      </c>
      <c r="H188" t="s">
        <v>2168</v>
      </c>
      <c r="I188" t="s">
        <v>2169</v>
      </c>
      <c r="J188" s="49" t="str">
        <f>IF(I188="","",_xlfn.XLOOKUP(TRIM(I188),'SkillMasterSkill ID'!$C:$C,'SkillMasterSkill ID'!$F:$F,"NOT FOUND",0))</f>
        <v>NOT FOUND</v>
      </c>
      <c r="K188" s="49"/>
      <c r="L188" s="49"/>
    </row>
    <row r="189" spans="1:12" x14ac:dyDescent="0.25">
      <c r="A18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89">
        <v>10815</v>
      </c>
      <c r="C189" t="s">
        <v>2154</v>
      </c>
      <c r="D189" s="49"/>
      <c r="E189" t="s">
        <v>1633</v>
      </c>
      <c r="F189" s="49"/>
      <c r="G189" t="s">
        <v>2192</v>
      </c>
      <c r="H189" t="s">
        <v>2197</v>
      </c>
      <c r="I189" t="s">
        <v>2096</v>
      </c>
      <c r="J189" s="49" t="str">
        <f>IF(I189="","",_xlfn.XLOOKUP(TRIM(I189),'SkillMasterSkill ID'!$C:$C,'SkillMasterSkill ID'!$F:$F,"NOT FOUND",0))</f>
        <v>NOT FOUND</v>
      </c>
      <c r="K189" s="49"/>
      <c r="L189" s="49"/>
    </row>
    <row r="190" spans="1:12" x14ac:dyDescent="0.25">
      <c r="A19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90">
        <v>10815</v>
      </c>
      <c r="C190" t="s">
        <v>2154</v>
      </c>
      <c r="D190" s="49"/>
      <c r="E190" t="s">
        <v>1606</v>
      </c>
      <c r="F190" s="49"/>
      <c r="G190" t="s">
        <v>2083</v>
      </c>
      <c r="H190" t="s">
        <v>2186</v>
      </c>
      <c r="I190" t="s">
        <v>2187</v>
      </c>
      <c r="J190" s="49" t="str">
        <f>IF(I190="","",_xlfn.XLOOKUP(TRIM(I190),'SkillMasterSkill ID'!$C:$C,'SkillMasterSkill ID'!$F:$F,"NOT FOUND",0))</f>
        <v>NOT FOUND</v>
      </c>
      <c r="K190" s="49"/>
      <c r="L190" s="49"/>
    </row>
    <row r="191" spans="1:12" x14ac:dyDescent="0.25">
      <c r="A19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91">
        <v>10815</v>
      </c>
      <c r="C191" t="s">
        <v>2154</v>
      </c>
      <c r="D191" s="49"/>
      <c r="E191" t="s">
        <v>1949</v>
      </c>
      <c r="F191" s="49"/>
      <c r="G191" t="s">
        <v>2170</v>
      </c>
      <c r="H191" t="s">
        <v>2173</v>
      </c>
      <c r="I191" t="s">
        <v>2174</v>
      </c>
      <c r="J191" s="49" t="str">
        <f>IF(I191="","",_xlfn.XLOOKUP(TRIM(I191),'SkillMasterSkill ID'!$C:$C,'SkillMasterSkill ID'!$F:$F,"NOT FOUND",0))</f>
        <v>NOT FOUND</v>
      </c>
      <c r="K191" s="49"/>
      <c r="L191" s="49"/>
    </row>
    <row r="192" spans="1:12" x14ac:dyDescent="0.25">
      <c r="A19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92">
        <v>10815</v>
      </c>
      <c r="C192" t="s">
        <v>2154</v>
      </c>
      <c r="D192" s="49"/>
      <c r="E192" t="s">
        <v>1878</v>
      </c>
      <c r="F192" s="49"/>
      <c r="G192" t="s">
        <v>2192</v>
      </c>
      <c r="H192" t="s">
        <v>2195</v>
      </c>
      <c r="I192" t="s">
        <v>2196</v>
      </c>
      <c r="J192" s="49" t="str">
        <f>IF(I192="","",_xlfn.XLOOKUP(TRIM(I192),'SkillMasterSkill ID'!$C:$C,'SkillMasterSkill ID'!$F:$F,"NOT FOUND",0))</f>
        <v>NOT FOUND</v>
      </c>
      <c r="K192" s="49"/>
      <c r="L192" s="49"/>
    </row>
    <row r="193" spans="1:12" x14ac:dyDescent="0.25">
      <c r="A19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93">
        <v>1135</v>
      </c>
      <c r="C193" t="s">
        <v>4443</v>
      </c>
      <c r="D193" s="46"/>
      <c r="E193" t="s">
        <v>3962</v>
      </c>
      <c r="F193" s="50"/>
      <c r="G193" t="s">
        <v>4460</v>
      </c>
      <c r="H193" t="s">
        <v>4461</v>
      </c>
      <c r="I193" t="s">
        <v>4462</v>
      </c>
      <c r="J193" s="50" t="str">
        <f>IF(I193="","",_xlfn.XLOOKUP(TRIM(I193),'SkillMasterSkill ID'!$C:$C,'SkillMasterSkill ID'!$F:$F,"NOT FOUND",0))</f>
        <v>NOT FOUND</v>
      </c>
      <c r="K193" s="50"/>
      <c r="L193" s="50"/>
    </row>
    <row r="194" spans="1:12" x14ac:dyDescent="0.25">
      <c r="A19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94">
        <v>1135</v>
      </c>
      <c r="C194" t="s">
        <v>4443</v>
      </c>
      <c r="D194" s="46"/>
      <c r="E194" t="s">
        <v>2864</v>
      </c>
      <c r="F194" s="50"/>
      <c r="G194" t="s">
        <v>4470</v>
      </c>
      <c r="H194" t="s">
        <v>4474</v>
      </c>
      <c r="I194" t="s">
        <v>4475</v>
      </c>
      <c r="J194" s="50" t="str">
        <f>IF(I194="","",_xlfn.XLOOKUP(TRIM(I194),'SkillMasterSkill ID'!$C:$C,'SkillMasterSkill ID'!$F:$F,"NOT FOUND",0))</f>
        <v>NOT FOUND</v>
      </c>
      <c r="K194" s="50"/>
      <c r="L194" s="50"/>
    </row>
    <row r="195" spans="1:12" x14ac:dyDescent="0.25">
      <c r="A19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95">
        <v>1135</v>
      </c>
      <c r="C195" t="s">
        <v>4443</v>
      </c>
      <c r="D195" s="46"/>
      <c r="E195" t="s">
        <v>1367</v>
      </c>
      <c r="F195" s="50"/>
      <c r="G195" t="s">
        <v>4491</v>
      </c>
      <c r="H195" t="s">
        <v>4501</v>
      </c>
      <c r="I195" t="s">
        <v>4502</v>
      </c>
      <c r="J195" s="50" t="str">
        <f>IF(I195="","",_xlfn.XLOOKUP(TRIM(I195),'SkillMasterSkill ID'!$C:$C,'SkillMasterSkill ID'!$F:$F,"NOT FOUND",0))</f>
        <v>NOT FOUND</v>
      </c>
      <c r="K195" s="50"/>
      <c r="L195" s="50"/>
    </row>
    <row r="196" spans="1:12" x14ac:dyDescent="0.25">
      <c r="A19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96">
        <v>1135</v>
      </c>
      <c r="C196" t="s">
        <v>4443</v>
      </c>
      <c r="D196" s="46"/>
      <c r="E196" t="s">
        <v>3356</v>
      </c>
      <c r="F196" s="50"/>
      <c r="G196" t="s">
        <v>4446</v>
      </c>
      <c r="H196" t="s">
        <v>4480</v>
      </c>
      <c r="I196" t="s">
        <v>4481</v>
      </c>
      <c r="J196" s="50" t="str">
        <f>IF(I196="","",_xlfn.XLOOKUP(TRIM(I196),'SkillMasterSkill ID'!$C:$C,'SkillMasterSkill ID'!$F:$F,"NOT FOUND",0))</f>
        <v>NOT FOUND</v>
      </c>
      <c r="K196" s="50"/>
      <c r="L196" s="50"/>
    </row>
    <row r="197" spans="1:12" x14ac:dyDescent="0.25">
      <c r="A19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97">
        <v>1135</v>
      </c>
      <c r="C197" t="s">
        <v>4443</v>
      </c>
      <c r="D197" s="46"/>
      <c r="E197" t="s">
        <v>2215</v>
      </c>
      <c r="F197" s="50"/>
      <c r="G197" t="s">
        <v>1622</v>
      </c>
      <c r="H197" t="s">
        <v>4455</v>
      </c>
      <c r="I197" t="s">
        <v>4456</v>
      </c>
      <c r="J197" s="50" t="str">
        <f>IF(I197="","",_xlfn.XLOOKUP(TRIM(I197),'SkillMasterSkill ID'!$C:$C,'SkillMasterSkill ID'!$F:$F,"NOT FOUND",0))</f>
        <v>NOT FOUND</v>
      </c>
      <c r="K197" s="50"/>
      <c r="L197" s="50"/>
    </row>
    <row r="198" spans="1:12" x14ac:dyDescent="0.25">
      <c r="A19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98">
        <v>1135</v>
      </c>
      <c r="C198" t="s">
        <v>4443</v>
      </c>
      <c r="D198" s="46"/>
      <c r="E198" t="s">
        <v>4492</v>
      </c>
      <c r="F198" s="50"/>
      <c r="G198" t="s">
        <v>4491</v>
      </c>
      <c r="H198" t="s">
        <v>4493</v>
      </c>
      <c r="I198" t="s">
        <v>2425</v>
      </c>
      <c r="J198" s="50" t="str">
        <f>IF(I198="","",_xlfn.XLOOKUP(TRIM(I198),'SkillMasterSkill ID'!$C:$C,'SkillMasterSkill ID'!$F:$F,"NOT FOUND",0))</f>
        <v>NOT FOUND</v>
      </c>
      <c r="K198" s="50"/>
      <c r="L198" s="50"/>
    </row>
    <row r="199" spans="1:12" x14ac:dyDescent="0.25">
      <c r="A19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99">
        <v>1135</v>
      </c>
      <c r="C199" t="s">
        <v>4443</v>
      </c>
      <c r="D199" s="46"/>
      <c r="E199" t="s">
        <v>2864</v>
      </c>
      <c r="F199" s="50"/>
      <c r="G199" t="s">
        <v>4470</v>
      </c>
      <c r="H199" t="s">
        <v>4471</v>
      </c>
      <c r="I199" t="s">
        <v>2700</v>
      </c>
      <c r="J199" s="50" t="str">
        <f>IF(I199="","",_xlfn.XLOOKUP(TRIM(I199),'SkillMasterSkill ID'!$C:$C,'SkillMasterSkill ID'!$F:$F,"NOT FOUND",0))</f>
        <v>NOT FOUND</v>
      </c>
      <c r="K199" s="50"/>
      <c r="L199" s="50"/>
    </row>
    <row r="200" spans="1:12" x14ac:dyDescent="0.25">
      <c r="A20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00">
        <v>1135</v>
      </c>
      <c r="C200" t="s">
        <v>4443</v>
      </c>
      <c r="D200" s="46"/>
      <c r="E200" t="s">
        <v>953</v>
      </c>
      <c r="F200" s="50"/>
      <c r="G200" t="s">
        <v>4485</v>
      </c>
      <c r="H200" t="s">
        <v>4487</v>
      </c>
      <c r="I200" t="s">
        <v>4488</v>
      </c>
      <c r="J200" s="50" t="str">
        <f>IF(I200="","",_xlfn.XLOOKUP(TRIM(I200),'SkillMasterSkill ID'!$C:$C,'SkillMasterSkill ID'!$F:$F,"NOT FOUND",0))</f>
        <v>NOT FOUND</v>
      </c>
      <c r="K200" s="50"/>
      <c r="L200" s="50"/>
    </row>
    <row r="201" spans="1:12" x14ac:dyDescent="0.25">
      <c r="A20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01">
        <v>1135</v>
      </c>
      <c r="C201" t="s">
        <v>4443</v>
      </c>
      <c r="D201" s="46"/>
      <c r="E201" t="s">
        <v>3962</v>
      </c>
      <c r="F201" s="50"/>
      <c r="G201" t="s">
        <v>4460</v>
      </c>
      <c r="H201" t="s">
        <v>4465</v>
      </c>
      <c r="I201" t="s">
        <v>4466</v>
      </c>
      <c r="J201" s="50" t="str">
        <f>IF(I201="","",_xlfn.XLOOKUP(TRIM(I201),'SkillMasterSkill ID'!$C:$C,'SkillMasterSkill ID'!$F:$F,"NOT FOUND",0))</f>
        <v>NOT FOUND</v>
      </c>
      <c r="K201" s="50"/>
      <c r="L201" s="50"/>
    </row>
    <row r="202" spans="1:12" x14ac:dyDescent="0.25">
      <c r="A20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02">
        <v>1135</v>
      </c>
      <c r="C202" t="s">
        <v>4443</v>
      </c>
      <c r="D202" s="46"/>
      <c r="E202" t="s">
        <v>2864</v>
      </c>
      <c r="F202" s="50"/>
      <c r="G202" t="s">
        <v>4470</v>
      </c>
      <c r="H202" t="s">
        <v>4472</v>
      </c>
      <c r="I202" t="s">
        <v>4473</v>
      </c>
      <c r="J202" s="50" t="str">
        <f>IF(I202="","",_xlfn.XLOOKUP(TRIM(I202),'SkillMasterSkill ID'!$C:$C,'SkillMasterSkill ID'!$F:$F,"NOT FOUND",0))</f>
        <v>NOT FOUND</v>
      </c>
      <c r="K202" s="50"/>
      <c r="L202" s="50"/>
    </row>
    <row r="203" spans="1:12" x14ac:dyDescent="0.25">
      <c r="A20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03">
        <v>1135</v>
      </c>
      <c r="C203" t="s">
        <v>4443</v>
      </c>
      <c r="D203" s="46"/>
      <c r="E203" t="s">
        <v>803</v>
      </c>
      <c r="F203" s="50"/>
      <c r="G203" t="s">
        <v>4491</v>
      </c>
      <c r="H203" t="s">
        <v>4499</v>
      </c>
      <c r="I203" t="s">
        <v>4500</v>
      </c>
      <c r="J203" s="50" t="str">
        <f>IF(I203="","",_xlfn.XLOOKUP(TRIM(I203),'SkillMasterSkill ID'!$C:$C,'SkillMasterSkill ID'!$F:$F,"NOT FOUND",0))</f>
        <v>NOT FOUND</v>
      </c>
      <c r="K203" s="50"/>
      <c r="L203" s="50"/>
    </row>
    <row r="204" spans="1:12" x14ac:dyDescent="0.25">
      <c r="A20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04">
        <v>1135</v>
      </c>
      <c r="C204" t="s">
        <v>4443</v>
      </c>
      <c r="D204" s="46"/>
      <c r="E204" t="s">
        <v>3356</v>
      </c>
      <c r="F204" s="50"/>
      <c r="G204" t="s">
        <v>4446</v>
      </c>
      <c r="H204" t="s">
        <v>4483</v>
      </c>
      <c r="I204" t="s">
        <v>4484</v>
      </c>
      <c r="J204" s="50" t="str">
        <f>IF(I204="","",_xlfn.XLOOKUP(TRIM(I204),'SkillMasterSkill ID'!$C:$C,'SkillMasterSkill ID'!$F:$F,"NOT FOUND",0))</f>
        <v>NOT FOUND</v>
      </c>
      <c r="K204" s="50"/>
      <c r="L204" s="50"/>
    </row>
    <row r="205" spans="1:12" x14ac:dyDescent="0.25">
      <c r="A20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05">
        <v>1135</v>
      </c>
      <c r="C205" t="s">
        <v>4443</v>
      </c>
      <c r="D205" s="46"/>
      <c r="E205" t="s">
        <v>3962</v>
      </c>
      <c r="F205" s="50"/>
      <c r="G205" t="s">
        <v>4460</v>
      </c>
      <c r="H205" t="s">
        <v>4463</v>
      </c>
      <c r="I205" t="s">
        <v>4464</v>
      </c>
      <c r="J205" s="50" t="str">
        <f>IF(I205="","",_xlfn.XLOOKUP(TRIM(I205),'SkillMasterSkill ID'!$C:$C,'SkillMasterSkill ID'!$F:$F,"NOT FOUND",0))</f>
        <v>NOT FOUND</v>
      </c>
      <c r="K205" s="50"/>
      <c r="L205" s="50"/>
    </row>
    <row r="206" spans="1:12" x14ac:dyDescent="0.25">
      <c r="A20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06">
        <v>1135</v>
      </c>
      <c r="C206" t="s">
        <v>4443</v>
      </c>
      <c r="D206" s="46"/>
      <c r="E206" t="s">
        <v>3962</v>
      </c>
      <c r="F206" s="50"/>
      <c r="G206" t="s">
        <v>4460</v>
      </c>
      <c r="H206" t="s">
        <v>4467</v>
      </c>
      <c r="I206" t="s">
        <v>898</v>
      </c>
      <c r="J206" s="50" t="str">
        <f>IF(I206="","",_xlfn.XLOOKUP(TRIM(I206),'SkillMasterSkill ID'!$C:$C,'SkillMasterSkill ID'!$F:$F,"NOT FOUND",0))</f>
        <v>Competency related to issue escalation that supports effective field/project leadership and execution.</v>
      </c>
      <c r="K206" s="50"/>
      <c r="L206" s="50"/>
    </row>
    <row r="207" spans="1:12" x14ac:dyDescent="0.25">
      <c r="A20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07">
        <v>1135</v>
      </c>
      <c r="C207" t="s">
        <v>4443</v>
      </c>
      <c r="D207" s="46"/>
      <c r="E207" t="s">
        <v>3356</v>
      </c>
      <c r="F207" s="50"/>
      <c r="G207" t="s">
        <v>4446</v>
      </c>
      <c r="H207" t="s">
        <v>4482</v>
      </c>
      <c r="I207" t="s">
        <v>4343</v>
      </c>
      <c r="J207" s="50" t="str">
        <f>IF(I207="","",_xlfn.XLOOKUP(TRIM(I207),'SkillMasterSkill ID'!$C:$C,'SkillMasterSkill ID'!$F:$F,"NOT FOUND",0))</f>
        <v>NOT FOUND</v>
      </c>
      <c r="K207" s="50"/>
      <c r="L207" s="50"/>
    </row>
    <row r="208" spans="1:12" x14ac:dyDescent="0.25">
      <c r="A20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08">
        <v>1135</v>
      </c>
      <c r="C208" t="s">
        <v>4443</v>
      </c>
      <c r="D208" s="46"/>
      <c r="E208" t="s">
        <v>3356</v>
      </c>
      <c r="F208" s="50"/>
      <c r="G208" t="s">
        <v>4446</v>
      </c>
      <c r="H208" t="s">
        <v>4478</v>
      </c>
      <c r="I208" t="s">
        <v>4479</v>
      </c>
      <c r="J208" s="50" t="str">
        <f>IF(I208="","",_xlfn.XLOOKUP(TRIM(I208),'SkillMasterSkill ID'!$C:$C,'SkillMasterSkill ID'!$F:$F,"NOT FOUND",0))</f>
        <v>NOT FOUND</v>
      </c>
      <c r="K208" s="50"/>
      <c r="L208" s="50"/>
    </row>
    <row r="209" spans="1:12" x14ac:dyDescent="0.25">
      <c r="A20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09">
        <v>1135</v>
      </c>
      <c r="C209" t="s">
        <v>4443</v>
      </c>
      <c r="D209" s="46"/>
      <c r="E209" t="s">
        <v>953</v>
      </c>
      <c r="F209" s="50"/>
      <c r="G209" t="s">
        <v>4485</v>
      </c>
      <c r="H209" t="s">
        <v>4486</v>
      </c>
      <c r="I209" t="s">
        <v>4233</v>
      </c>
      <c r="J209" s="50" t="str">
        <f>IF(I209="","",_xlfn.XLOOKUP(TRIM(I209),'SkillMasterSkill ID'!$C:$C,'SkillMasterSkill ID'!$F:$F,"NOT FOUND",0))</f>
        <v>NOT FOUND</v>
      </c>
      <c r="K209" s="50"/>
      <c r="L209" s="50"/>
    </row>
    <row r="210" spans="1:12" x14ac:dyDescent="0.25">
      <c r="A21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10">
        <v>1135</v>
      </c>
      <c r="C210" t="s">
        <v>4443</v>
      </c>
      <c r="D210" s="46"/>
      <c r="E210" t="s">
        <v>953</v>
      </c>
      <c r="F210" s="50"/>
      <c r="G210" t="s">
        <v>4485</v>
      </c>
      <c r="H210" t="s">
        <v>4489</v>
      </c>
      <c r="I210" t="s">
        <v>4490</v>
      </c>
      <c r="J210" s="50" t="str">
        <f>IF(I210="","",_xlfn.XLOOKUP(TRIM(I210),'SkillMasterSkill ID'!$C:$C,'SkillMasterSkill ID'!$F:$F,"NOT FOUND",0))</f>
        <v>NOT FOUND</v>
      </c>
      <c r="K210" s="50"/>
      <c r="L210" s="50"/>
    </row>
    <row r="211" spans="1:12" x14ac:dyDescent="0.25">
      <c r="A21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11">
        <v>1135</v>
      </c>
      <c r="C211" t="s">
        <v>4443</v>
      </c>
      <c r="D211" s="46"/>
      <c r="E211" t="s">
        <v>873</v>
      </c>
      <c r="F211" s="50"/>
      <c r="G211" t="s">
        <v>1622</v>
      </c>
      <c r="H211" t="s">
        <v>4451</v>
      </c>
      <c r="I211" t="s">
        <v>4452</v>
      </c>
      <c r="J211" s="50" t="str">
        <f>IF(I211="","",_xlfn.XLOOKUP(TRIM(I211),'SkillMasterSkill ID'!$C:$C,'SkillMasterSkill ID'!$F:$F,"NOT FOUND",0))</f>
        <v>NOT FOUND</v>
      </c>
      <c r="K211" s="50"/>
      <c r="L211" s="50"/>
    </row>
    <row r="212" spans="1:12" x14ac:dyDescent="0.25">
      <c r="A21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12">
        <v>1135</v>
      </c>
      <c r="C212" t="s">
        <v>4443</v>
      </c>
      <c r="D212" s="46"/>
      <c r="E212" t="s">
        <v>3962</v>
      </c>
      <c r="F212" s="50"/>
      <c r="G212" t="s">
        <v>4460</v>
      </c>
      <c r="H212" t="s">
        <v>4468</v>
      </c>
      <c r="I212" t="s">
        <v>4469</v>
      </c>
      <c r="J212" s="50" t="str">
        <f>IF(I212="","",_xlfn.XLOOKUP(TRIM(I212),'SkillMasterSkill ID'!$C:$C,'SkillMasterSkill ID'!$F:$F,"NOT FOUND",0))</f>
        <v>NOT FOUND</v>
      </c>
      <c r="K212" s="50"/>
      <c r="L212" s="50"/>
    </row>
    <row r="213" spans="1:12" x14ac:dyDescent="0.25">
      <c r="A21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13">
        <v>1135</v>
      </c>
      <c r="C213" t="s">
        <v>4443</v>
      </c>
      <c r="D213" s="46"/>
      <c r="E213" t="s">
        <v>4448</v>
      </c>
      <c r="F213" s="50"/>
      <c r="G213" t="s">
        <v>1622</v>
      </c>
      <c r="H213" t="s">
        <v>4449</v>
      </c>
      <c r="I213" t="s">
        <v>4450</v>
      </c>
      <c r="J213" s="50" t="str">
        <f>IF(I213="","",_xlfn.XLOOKUP(TRIM(I213),'SkillMasterSkill ID'!$C:$C,'SkillMasterSkill ID'!$F:$F,"NOT FOUND",0))</f>
        <v>NOT FOUND</v>
      </c>
      <c r="K213" s="50"/>
      <c r="L213" s="50"/>
    </row>
    <row r="214" spans="1:12" x14ac:dyDescent="0.25">
      <c r="A21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14">
        <v>1135</v>
      </c>
      <c r="C214" t="s">
        <v>4443</v>
      </c>
      <c r="D214" s="46"/>
      <c r="E214" t="s">
        <v>4494</v>
      </c>
      <c r="F214" s="50"/>
      <c r="G214" t="s">
        <v>4491</v>
      </c>
      <c r="H214" t="s">
        <v>4496</v>
      </c>
      <c r="I214" t="s">
        <v>4497</v>
      </c>
      <c r="J214" s="50" t="str">
        <f>IF(I214="","",_xlfn.XLOOKUP(TRIM(I214),'SkillMasterSkill ID'!$C:$C,'SkillMasterSkill ID'!$F:$F,"NOT FOUND",0))</f>
        <v>NOT FOUND</v>
      </c>
      <c r="K214" s="50"/>
      <c r="L214" s="50"/>
    </row>
    <row r="215" spans="1:12" x14ac:dyDescent="0.25">
      <c r="A21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15">
        <v>1135</v>
      </c>
      <c r="C215" t="s">
        <v>4443</v>
      </c>
      <c r="D215" s="46"/>
      <c r="E215" t="s">
        <v>2864</v>
      </c>
      <c r="F215" s="50"/>
      <c r="G215" t="s">
        <v>4470</v>
      </c>
      <c r="H215" t="s">
        <v>4476</v>
      </c>
      <c r="I215" t="s">
        <v>4477</v>
      </c>
      <c r="J215" s="50" t="str">
        <f>IF(I215="","",_xlfn.XLOOKUP(TRIM(I215),'SkillMasterSkill ID'!$C:$C,'SkillMasterSkill ID'!$F:$F,"NOT FOUND",0))</f>
        <v>NOT FOUND</v>
      </c>
      <c r="K215" s="50"/>
      <c r="L215" s="50"/>
    </row>
    <row r="216" spans="1:12" x14ac:dyDescent="0.25">
      <c r="A21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16">
        <v>1135</v>
      </c>
      <c r="C216" t="s">
        <v>4443</v>
      </c>
      <c r="D216" s="46"/>
      <c r="E216" t="s">
        <v>3142</v>
      </c>
      <c r="F216" s="50"/>
      <c r="G216" t="s">
        <v>1622</v>
      </c>
      <c r="H216" t="s">
        <v>4458</v>
      </c>
      <c r="I216" t="s">
        <v>4459</v>
      </c>
      <c r="J216" s="50" t="str">
        <f>IF(I216="","",_xlfn.XLOOKUP(TRIM(I216),'SkillMasterSkill ID'!$C:$C,'SkillMasterSkill ID'!$F:$F,"NOT FOUND",0))</f>
        <v>NOT FOUND</v>
      </c>
      <c r="K216" s="50"/>
      <c r="L216" s="50"/>
    </row>
    <row r="217" spans="1:12" x14ac:dyDescent="0.25">
      <c r="A21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17">
        <v>1135</v>
      </c>
      <c r="C217" t="s">
        <v>4443</v>
      </c>
      <c r="D217" s="46"/>
      <c r="E217" t="s">
        <v>3837</v>
      </c>
      <c r="F217" s="50"/>
      <c r="G217" t="s">
        <v>1622</v>
      </c>
      <c r="H217" t="s">
        <v>4453</v>
      </c>
      <c r="I217" t="s">
        <v>4454</v>
      </c>
      <c r="J217" s="50" t="str">
        <f>IF(I217="","",_xlfn.XLOOKUP(TRIM(I217),'SkillMasterSkill ID'!$C:$C,'SkillMasterSkill ID'!$F:$F,"NOT FOUND",0))</f>
        <v>NOT FOUND</v>
      </c>
      <c r="K217" s="50"/>
      <c r="L217" s="50"/>
    </row>
    <row r="218" spans="1:12" x14ac:dyDescent="0.25">
      <c r="A21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18" t="s">
        <v>3276</v>
      </c>
      <c r="C218" t="s">
        <v>720</v>
      </c>
      <c r="D218" s="46"/>
      <c r="E218" t="s">
        <v>2937</v>
      </c>
      <c r="F218" s="50"/>
      <c r="G218" t="s">
        <v>3328</v>
      </c>
      <c r="H218" t="s">
        <v>3334</v>
      </c>
      <c r="I218" t="s">
        <v>3335</v>
      </c>
      <c r="J218" s="50" t="str">
        <f>IF(I218="","",_xlfn.XLOOKUP(TRIM(I218),'SkillMasterSkill ID'!$C:$C,'SkillMasterSkill ID'!$F:$F,"NOT FOUND",0))</f>
        <v>NOT FOUND</v>
      </c>
      <c r="K218" s="50"/>
      <c r="L218" s="50"/>
    </row>
    <row r="219" spans="1:12" x14ac:dyDescent="0.25">
      <c r="A21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19" t="s">
        <v>3276</v>
      </c>
      <c r="C219" t="s">
        <v>720</v>
      </c>
      <c r="D219" s="46"/>
      <c r="E219" t="s">
        <v>3277</v>
      </c>
      <c r="F219" s="50"/>
      <c r="G219" t="s">
        <v>3275</v>
      </c>
      <c r="H219" t="s">
        <v>3284</v>
      </c>
      <c r="I219" t="s">
        <v>3287</v>
      </c>
      <c r="J219" s="50" t="str">
        <f>IF(I219="","",_xlfn.XLOOKUP(TRIM(I219),'SkillMasterSkill ID'!$C:$C,'SkillMasterSkill ID'!$F:$F,"NOT FOUND",0))</f>
        <v>NOT FOUND</v>
      </c>
      <c r="K219" s="50"/>
      <c r="L219" s="50"/>
    </row>
    <row r="220" spans="1:12" x14ac:dyDescent="0.25">
      <c r="A22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20" t="s">
        <v>3276</v>
      </c>
      <c r="C220" t="s">
        <v>720</v>
      </c>
      <c r="D220" s="46"/>
      <c r="E220" t="s">
        <v>2519</v>
      </c>
      <c r="F220" s="50"/>
      <c r="G220" t="s">
        <v>3360</v>
      </c>
      <c r="H220" t="s">
        <v>3364</v>
      </c>
      <c r="I220" t="s">
        <v>1396</v>
      </c>
      <c r="J220" s="50" t="str">
        <f>IF(I220="","",_xlfn.XLOOKUP(TRIM(I220),'SkillMasterSkill ID'!$C:$C,'SkillMasterSkill ID'!$F:$F,"NOT FOUND",0))</f>
        <v>NOT FOUND</v>
      </c>
      <c r="K220" s="50"/>
      <c r="L220" s="50"/>
    </row>
    <row r="221" spans="1:12" x14ac:dyDescent="0.25">
      <c r="A22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21" t="s">
        <v>3276</v>
      </c>
      <c r="C221" t="s">
        <v>720</v>
      </c>
      <c r="D221" s="46"/>
      <c r="E221" t="s">
        <v>2937</v>
      </c>
      <c r="F221" s="50"/>
      <c r="G221" t="s">
        <v>3328</v>
      </c>
      <c r="H221" t="s">
        <v>3332</v>
      </c>
      <c r="I221" t="s">
        <v>3333</v>
      </c>
      <c r="J221" s="50" t="str">
        <f>IF(I221="","",_xlfn.XLOOKUP(TRIM(I221),'SkillMasterSkill ID'!$C:$C,'SkillMasterSkill ID'!$F:$F,"NOT FOUND",0))</f>
        <v>NOT FOUND</v>
      </c>
      <c r="K221" s="50"/>
      <c r="L221" s="50"/>
    </row>
    <row r="222" spans="1:12" x14ac:dyDescent="0.25">
      <c r="A22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22" t="s">
        <v>3276</v>
      </c>
      <c r="C222" t="s">
        <v>720</v>
      </c>
      <c r="D222" s="46"/>
      <c r="E222" t="s">
        <v>3277</v>
      </c>
      <c r="F222" s="50"/>
      <c r="G222" t="s">
        <v>3275</v>
      </c>
      <c r="H222" t="s">
        <v>3289</v>
      </c>
      <c r="I222" t="s">
        <v>3292</v>
      </c>
      <c r="J222" s="50" t="str">
        <f>IF(I222="","",_xlfn.XLOOKUP(TRIM(I222),'SkillMasterSkill ID'!$C:$C,'SkillMasterSkill ID'!$F:$F,"NOT FOUND",0))</f>
        <v>NOT FOUND</v>
      </c>
      <c r="K222" s="50"/>
      <c r="L222" s="50"/>
    </row>
    <row r="223" spans="1:12" x14ac:dyDescent="0.25">
      <c r="A22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23" t="s">
        <v>3276</v>
      </c>
      <c r="C223" t="s">
        <v>720</v>
      </c>
      <c r="D223" s="46"/>
      <c r="E223" t="s">
        <v>3277</v>
      </c>
      <c r="F223" s="50"/>
      <c r="G223" t="s">
        <v>3275</v>
      </c>
      <c r="H223" t="s">
        <v>3289</v>
      </c>
      <c r="I223" t="s">
        <v>3290</v>
      </c>
      <c r="J223" s="50" t="str">
        <f>IF(I223="","",_xlfn.XLOOKUP(TRIM(I223),'SkillMasterSkill ID'!$C:$C,'SkillMasterSkill ID'!$F:$F,"NOT FOUND",0))</f>
        <v>NOT FOUND</v>
      </c>
      <c r="K223" s="50"/>
      <c r="L223" s="50"/>
    </row>
    <row r="224" spans="1:12" x14ac:dyDescent="0.25">
      <c r="A22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24" t="s">
        <v>3276</v>
      </c>
      <c r="C224" t="s">
        <v>720</v>
      </c>
      <c r="D224" s="46"/>
      <c r="E224" t="s">
        <v>3295</v>
      </c>
      <c r="F224" s="50"/>
      <c r="G224" t="s">
        <v>3294</v>
      </c>
      <c r="H224" t="s">
        <v>3301</v>
      </c>
      <c r="I224" t="s">
        <v>3302</v>
      </c>
      <c r="J224" s="50" t="str">
        <f>IF(I224="","",_xlfn.XLOOKUP(TRIM(I224),'SkillMasterSkill ID'!$C:$C,'SkillMasterSkill ID'!$F:$F,"NOT FOUND",0))</f>
        <v>NOT FOUND</v>
      </c>
      <c r="K224" s="50"/>
      <c r="L224" s="50"/>
    </row>
    <row r="225" spans="1:12" x14ac:dyDescent="0.25">
      <c r="A22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25" t="s">
        <v>3276</v>
      </c>
      <c r="C225" t="s">
        <v>720</v>
      </c>
      <c r="D225" s="46"/>
      <c r="E225" t="s">
        <v>2665</v>
      </c>
      <c r="F225" s="50"/>
      <c r="G225" t="s">
        <v>3320</v>
      </c>
      <c r="H225" t="s">
        <v>3322</v>
      </c>
      <c r="I225" t="s">
        <v>3323</v>
      </c>
      <c r="J225" s="50" t="str">
        <f>IF(I225="","",_xlfn.XLOOKUP(TRIM(I225),'SkillMasterSkill ID'!$C:$C,'SkillMasterSkill ID'!$F:$F,"NOT FOUND",0))</f>
        <v>NOT FOUND</v>
      </c>
      <c r="K225" s="50"/>
      <c r="L225" s="50"/>
    </row>
    <row r="226" spans="1:12" x14ac:dyDescent="0.25">
      <c r="A22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26" t="s">
        <v>3276</v>
      </c>
      <c r="C226" t="s">
        <v>720</v>
      </c>
      <c r="D226" s="46"/>
      <c r="E226" t="s">
        <v>3304</v>
      </c>
      <c r="F226" s="50"/>
      <c r="G226" t="s">
        <v>3303</v>
      </c>
      <c r="H226" t="s">
        <v>3308</v>
      </c>
      <c r="I226" t="s">
        <v>3309</v>
      </c>
      <c r="J226" s="50" t="str">
        <f>IF(I226="","",_xlfn.XLOOKUP(TRIM(I226),'SkillMasterSkill ID'!$C:$C,'SkillMasterSkill ID'!$F:$F,"NOT FOUND",0))</f>
        <v>NOT FOUND</v>
      </c>
      <c r="K226" s="50"/>
      <c r="L226" s="50"/>
    </row>
    <row r="227" spans="1:12" x14ac:dyDescent="0.25">
      <c r="A22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27" t="s">
        <v>3276</v>
      </c>
      <c r="C227" t="s">
        <v>720</v>
      </c>
      <c r="D227" s="46"/>
      <c r="E227" t="s">
        <v>3304</v>
      </c>
      <c r="F227" s="50"/>
      <c r="G227" t="s">
        <v>3303</v>
      </c>
      <c r="H227" t="s">
        <v>3306</v>
      </c>
      <c r="I227" t="s">
        <v>3307</v>
      </c>
      <c r="J227" s="50" t="str">
        <f>IF(I227="","",_xlfn.XLOOKUP(TRIM(I227),'SkillMasterSkill ID'!$C:$C,'SkillMasterSkill ID'!$F:$F,"NOT FOUND",0))</f>
        <v>NOT FOUND</v>
      </c>
      <c r="K227" s="50"/>
      <c r="L227" s="50"/>
    </row>
    <row r="228" spans="1:12" x14ac:dyDescent="0.25">
      <c r="A22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28" t="s">
        <v>3276</v>
      </c>
      <c r="C228" t="s">
        <v>720</v>
      </c>
      <c r="D228" s="46"/>
      <c r="E228" t="s">
        <v>3277</v>
      </c>
      <c r="F228" s="50"/>
      <c r="G228" t="s">
        <v>3275</v>
      </c>
      <c r="H228" t="s">
        <v>3279</v>
      </c>
      <c r="I228" t="s">
        <v>3280</v>
      </c>
      <c r="J228" s="50" t="str">
        <f>IF(I228="","",_xlfn.XLOOKUP(TRIM(I228),'SkillMasterSkill ID'!$C:$C,'SkillMasterSkill ID'!$F:$F,"NOT FOUND",0))</f>
        <v>NOT FOUND</v>
      </c>
      <c r="K228" s="50"/>
      <c r="L228" s="50"/>
    </row>
    <row r="229" spans="1:12" x14ac:dyDescent="0.25">
      <c r="A22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29" t="s">
        <v>3276</v>
      </c>
      <c r="C229" t="s">
        <v>720</v>
      </c>
      <c r="D229" s="46"/>
      <c r="E229" t="s">
        <v>963</v>
      </c>
      <c r="F229" s="50"/>
      <c r="G229" t="s">
        <v>3312</v>
      </c>
      <c r="H229" t="s">
        <v>3316</v>
      </c>
      <c r="I229" t="s">
        <v>3317</v>
      </c>
      <c r="J229" s="50" t="str">
        <f>IF(I229="","",_xlfn.XLOOKUP(TRIM(I229),'SkillMasterSkill ID'!$C:$C,'SkillMasterSkill ID'!$F:$F,"NOT FOUND",0))</f>
        <v>NOT FOUND</v>
      </c>
      <c r="K229" s="50"/>
      <c r="L229" s="50"/>
    </row>
    <row r="230" spans="1:12" x14ac:dyDescent="0.25">
      <c r="A23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30" t="s">
        <v>3276</v>
      </c>
      <c r="C230" t="s">
        <v>720</v>
      </c>
      <c r="D230" s="46"/>
      <c r="E230" t="s">
        <v>963</v>
      </c>
      <c r="F230" s="50"/>
      <c r="G230" t="s">
        <v>3312</v>
      </c>
      <c r="H230" t="s">
        <v>3314</v>
      </c>
      <c r="I230" t="s">
        <v>3315</v>
      </c>
      <c r="J230" s="50" t="str">
        <f>IF(I230="","",_xlfn.XLOOKUP(TRIM(I230),'SkillMasterSkill ID'!$C:$C,'SkillMasterSkill ID'!$F:$F,"NOT FOUND",0))</f>
        <v>NOT FOUND</v>
      </c>
      <c r="K230" s="50"/>
      <c r="L230" s="50"/>
    </row>
    <row r="231" spans="1:12" x14ac:dyDescent="0.25">
      <c r="A23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31" t="s">
        <v>3276</v>
      </c>
      <c r="C231" t="s">
        <v>720</v>
      </c>
      <c r="D231" s="46"/>
      <c r="E231" t="s">
        <v>2519</v>
      </c>
      <c r="F231" s="50"/>
      <c r="G231" t="s">
        <v>3360</v>
      </c>
      <c r="H231" t="s">
        <v>3362</v>
      </c>
      <c r="I231" t="s">
        <v>3363</v>
      </c>
      <c r="J231" s="50" t="str">
        <f>IF(I231="","",_xlfn.XLOOKUP(TRIM(I231),'SkillMasterSkill ID'!$C:$C,'SkillMasterSkill ID'!$F:$F,"NOT FOUND",0))</f>
        <v>NOT FOUND</v>
      </c>
      <c r="K231" s="50"/>
      <c r="L231" s="50"/>
    </row>
    <row r="232" spans="1:12" x14ac:dyDescent="0.25">
      <c r="A23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32" t="s">
        <v>3276</v>
      </c>
      <c r="C232" t="s">
        <v>720</v>
      </c>
      <c r="D232" s="46"/>
      <c r="E232" t="s">
        <v>3339</v>
      </c>
      <c r="F232" s="50"/>
      <c r="G232" t="s">
        <v>3338</v>
      </c>
      <c r="H232" t="s">
        <v>3341</v>
      </c>
      <c r="I232" t="s">
        <v>3342</v>
      </c>
      <c r="J232" s="50" t="str">
        <f>IF(I232="","",_xlfn.XLOOKUP(TRIM(I232),'SkillMasterSkill ID'!$C:$C,'SkillMasterSkill ID'!$F:$F,"NOT FOUND",0))</f>
        <v>NOT FOUND</v>
      </c>
      <c r="K232" s="50"/>
      <c r="L232" s="50"/>
    </row>
    <row r="233" spans="1:12" x14ac:dyDescent="0.25">
      <c r="A23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33" t="s">
        <v>3276</v>
      </c>
      <c r="C233" t="s">
        <v>720</v>
      </c>
      <c r="D233" s="46"/>
      <c r="E233" t="s">
        <v>3304</v>
      </c>
      <c r="F233" s="50"/>
      <c r="G233" t="s">
        <v>3303</v>
      </c>
      <c r="H233" t="s">
        <v>3310</v>
      </c>
      <c r="I233" t="s">
        <v>3311</v>
      </c>
      <c r="J233" s="50" t="str">
        <f>IF(I233="","",_xlfn.XLOOKUP(TRIM(I233),'SkillMasterSkill ID'!$C:$C,'SkillMasterSkill ID'!$F:$F,"NOT FOUND",0))</f>
        <v>NOT FOUND</v>
      </c>
      <c r="K233" s="50"/>
      <c r="L233" s="50"/>
    </row>
    <row r="234" spans="1:12" x14ac:dyDescent="0.25">
      <c r="A23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34" t="s">
        <v>3276</v>
      </c>
      <c r="C234" t="s">
        <v>720</v>
      </c>
      <c r="D234" s="46"/>
      <c r="E234" t="s">
        <v>2665</v>
      </c>
      <c r="F234" s="50"/>
      <c r="G234" t="s">
        <v>3320</v>
      </c>
      <c r="H234" t="s">
        <v>3290</v>
      </c>
      <c r="I234" t="s">
        <v>3324</v>
      </c>
      <c r="J234" s="50" t="str">
        <f>IF(I234="","",_xlfn.XLOOKUP(TRIM(I234),'SkillMasterSkill ID'!$C:$C,'SkillMasterSkill ID'!$F:$F,"NOT FOUND",0))</f>
        <v>NOT FOUND</v>
      </c>
      <c r="K234" s="50"/>
      <c r="L234" s="50"/>
    </row>
    <row r="235" spans="1:12" x14ac:dyDescent="0.25">
      <c r="A23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35" t="s">
        <v>3276</v>
      </c>
      <c r="C235" t="s">
        <v>720</v>
      </c>
      <c r="D235" s="46"/>
      <c r="E235" t="s">
        <v>3295</v>
      </c>
      <c r="F235" s="50"/>
      <c r="G235" t="s">
        <v>3294</v>
      </c>
      <c r="H235" t="s">
        <v>3297</v>
      </c>
      <c r="I235" t="s">
        <v>3298</v>
      </c>
      <c r="J235" s="50" t="str">
        <f>IF(I235="","",_xlfn.XLOOKUP(TRIM(I235),'SkillMasterSkill ID'!$C:$C,'SkillMasterSkill ID'!$F:$F,"NOT FOUND",0))</f>
        <v>NOT FOUND</v>
      </c>
      <c r="K235" s="50"/>
      <c r="L235" s="50"/>
    </row>
    <row r="236" spans="1:12" x14ac:dyDescent="0.25">
      <c r="A23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36" t="s">
        <v>3276</v>
      </c>
      <c r="C236" t="s">
        <v>720</v>
      </c>
      <c r="D236" s="46"/>
      <c r="E236" t="s">
        <v>2937</v>
      </c>
      <c r="F236" s="50"/>
      <c r="G236" t="s">
        <v>3328</v>
      </c>
      <c r="H236" t="s">
        <v>3330</v>
      </c>
      <c r="I236" t="s">
        <v>3331</v>
      </c>
      <c r="J236" s="50" t="str">
        <f>IF(I236="","",_xlfn.XLOOKUP(TRIM(I236),'SkillMasterSkill ID'!$C:$C,'SkillMasterSkill ID'!$F:$F,"NOT FOUND",0))</f>
        <v>NOT FOUND</v>
      </c>
      <c r="K236" s="50"/>
      <c r="L236" s="50"/>
    </row>
    <row r="237" spans="1:12" x14ac:dyDescent="0.25">
      <c r="A23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37" t="s">
        <v>3276</v>
      </c>
      <c r="C237" t="s">
        <v>720</v>
      </c>
      <c r="D237" s="46"/>
      <c r="E237" t="s">
        <v>3343</v>
      </c>
      <c r="F237" s="50"/>
      <c r="G237" t="s">
        <v>3338</v>
      </c>
      <c r="H237" t="s">
        <v>3347</v>
      </c>
      <c r="I237" t="s">
        <v>3348</v>
      </c>
      <c r="J237" s="50" t="str">
        <f>IF(I237="","",_xlfn.XLOOKUP(TRIM(I237),'SkillMasterSkill ID'!$C:$C,'SkillMasterSkill ID'!$F:$F,"NOT FOUND",0))</f>
        <v>NOT FOUND</v>
      </c>
      <c r="K237" s="50"/>
      <c r="L237" s="50"/>
    </row>
    <row r="238" spans="1:12" x14ac:dyDescent="0.25">
      <c r="A23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38" t="s">
        <v>3276</v>
      </c>
      <c r="C238" t="s">
        <v>720</v>
      </c>
      <c r="D238" s="46"/>
      <c r="E238" t="s">
        <v>3277</v>
      </c>
      <c r="F238" s="50"/>
      <c r="G238" t="s">
        <v>3275</v>
      </c>
      <c r="H238" t="s">
        <v>3279</v>
      </c>
      <c r="I238" t="s">
        <v>3282</v>
      </c>
      <c r="J238" s="50" t="str">
        <f>IF(I238="","",_xlfn.XLOOKUP(TRIM(I238),'SkillMasterSkill ID'!$C:$C,'SkillMasterSkill ID'!$F:$F,"NOT FOUND",0))</f>
        <v>NOT FOUND</v>
      </c>
      <c r="K238" s="50"/>
      <c r="L238" s="50"/>
    </row>
    <row r="239" spans="1:12" x14ac:dyDescent="0.25">
      <c r="A23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39" t="s">
        <v>3276</v>
      </c>
      <c r="C239" t="s">
        <v>720</v>
      </c>
      <c r="D239" s="46"/>
      <c r="E239" t="s">
        <v>3277</v>
      </c>
      <c r="F239" s="50"/>
      <c r="G239" t="s">
        <v>3275</v>
      </c>
      <c r="H239" t="s">
        <v>3284</v>
      </c>
      <c r="I239" t="s">
        <v>3285</v>
      </c>
      <c r="J239" s="50" t="str">
        <f>IF(I239="","",_xlfn.XLOOKUP(TRIM(I239),'SkillMasterSkill ID'!$C:$C,'SkillMasterSkill ID'!$F:$F,"NOT FOUND",0))</f>
        <v>NOT FOUND</v>
      </c>
      <c r="K239" s="50"/>
      <c r="L239" s="50"/>
    </row>
    <row r="240" spans="1:12" x14ac:dyDescent="0.25">
      <c r="A24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40" t="s">
        <v>3276</v>
      </c>
      <c r="C240" t="s">
        <v>720</v>
      </c>
      <c r="D240" s="46"/>
      <c r="E240" t="s">
        <v>2975</v>
      </c>
      <c r="F240" s="50"/>
      <c r="G240" t="s">
        <v>3320</v>
      </c>
      <c r="H240" t="s">
        <v>3326</v>
      </c>
      <c r="I240" t="s">
        <v>3327</v>
      </c>
      <c r="J240" s="50" t="str">
        <f>IF(I240="","",_xlfn.XLOOKUP(TRIM(I240),'SkillMasterSkill ID'!$C:$C,'SkillMasterSkill ID'!$F:$F,"NOT FOUND",0))</f>
        <v>NOT FOUND</v>
      </c>
      <c r="K240" s="50"/>
      <c r="L240" s="50"/>
    </row>
    <row r="241" spans="1:12" x14ac:dyDescent="0.25">
      <c r="A24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41" t="s">
        <v>3276</v>
      </c>
      <c r="C241" t="s">
        <v>720</v>
      </c>
      <c r="D241" s="46"/>
      <c r="E241" t="s">
        <v>963</v>
      </c>
      <c r="F241" s="50"/>
      <c r="G241" t="s">
        <v>3312</v>
      </c>
      <c r="H241" t="s">
        <v>3318</v>
      </c>
      <c r="I241" t="s">
        <v>3319</v>
      </c>
      <c r="J241" s="50" t="str">
        <f>IF(I241="","",_xlfn.XLOOKUP(TRIM(I241),'SkillMasterSkill ID'!$C:$C,'SkillMasterSkill ID'!$F:$F,"NOT FOUND",0))</f>
        <v>NOT FOUND</v>
      </c>
      <c r="K241" s="50"/>
      <c r="L241" s="50"/>
    </row>
    <row r="242" spans="1:12" x14ac:dyDescent="0.25">
      <c r="A24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42" t="s">
        <v>3276</v>
      </c>
      <c r="C242" t="s">
        <v>720</v>
      </c>
      <c r="D242" s="46"/>
      <c r="E242" t="s">
        <v>2937</v>
      </c>
      <c r="F242" s="50"/>
      <c r="G242" t="s">
        <v>3328</v>
      </c>
      <c r="H242" t="s">
        <v>3336</v>
      </c>
      <c r="I242" t="s">
        <v>3337</v>
      </c>
      <c r="J242" s="50" t="str">
        <f>IF(I242="","",_xlfn.XLOOKUP(TRIM(I242),'SkillMasterSkill ID'!$C:$C,'SkillMasterSkill ID'!$F:$F,"NOT FOUND",0))</f>
        <v>NOT FOUND</v>
      </c>
      <c r="K242" s="50"/>
      <c r="L242" s="50"/>
    </row>
    <row r="243" spans="1:12" x14ac:dyDescent="0.25">
      <c r="A24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43" t="s">
        <v>3276</v>
      </c>
      <c r="C243" t="s">
        <v>720</v>
      </c>
      <c r="D243" s="46"/>
      <c r="E243" t="s">
        <v>3295</v>
      </c>
      <c r="F243" s="50"/>
      <c r="G243" t="s">
        <v>3294</v>
      </c>
      <c r="H243" t="s">
        <v>3299</v>
      </c>
      <c r="I243" t="s">
        <v>3300</v>
      </c>
      <c r="J243" s="50" t="str">
        <f>IF(I243="","",_xlfn.XLOOKUP(TRIM(I243),'SkillMasterSkill ID'!$C:$C,'SkillMasterSkill ID'!$F:$F,"NOT FOUND",0))</f>
        <v>NOT FOUND</v>
      </c>
      <c r="K243" s="50"/>
      <c r="L243" s="50"/>
    </row>
    <row r="244" spans="1:12" x14ac:dyDescent="0.25">
      <c r="A24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44" t="s">
        <v>3276</v>
      </c>
      <c r="C244" t="s">
        <v>720</v>
      </c>
      <c r="D244" s="46"/>
      <c r="E244" t="s">
        <v>3343</v>
      </c>
      <c r="F244" s="50"/>
      <c r="G244" t="s">
        <v>3338</v>
      </c>
      <c r="H244" t="s">
        <v>3345</v>
      </c>
      <c r="I244" t="s">
        <v>3346</v>
      </c>
      <c r="J244" s="50" t="str">
        <f>IF(I244="","",_xlfn.XLOOKUP(TRIM(I244),'SkillMasterSkill ID'!$C:$C,'SkillMasterSkill ID'!$F:$F,"NOT FOUND",0))</f>
        <v>NOT FOUND</v>
      </c>
      <c r="K244" s="50"/>
      <c r="L244" s="50"/>
    </row>
    <row r="245" spans="1:12" x14ac:dyDescent="0.25">
      <c r="A24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45">
        <v>10105</v>
      </c>
      <c r="C245" t="s">
        <v>77</v>
      </c>
      <c r="D245" s="46"/>
      <c r="E245" t="s">
        <v>3698</v>
      </c>
      <c r="F245" s="50"/>
      <c r="G245" t="s">
        <v>3697</v>
      </c>
      <c r="H245" t="s">
        <v>3702</v>
      </c>
      <c r="I245" t="s">
        <v>3703</v>
      </c>
      <c r="J245" s="50" t="str">
        <f>IF(I245="","",_xlfn.XLOOKUP(TRIM(I245),'SkillMasterSkill ID'!$C:$C,'SkillMasterSkill ID'!$F:$F,"NOT FOUND",0))</f>
        <v>NOT FOUND</v>
      </c>
      <c r="K245" s="50"/>
      <c r="L245" s="50"/>
    </row>
    <row r="246" spans="1:12" x14ac:dyDescent="0.25">
      <c r="A24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46">
        <v>10105</v>
      </c>
      <c r="C246" t="s">
        <v>77</v>
      </c>
      <c r="D246" s="46"/>
      <c r="E246" t="s">
        <v>3372</v>
      </c>
      <c r="F246" s="50"/>
      <c r="G246" t="s">
        <v>3683</v>
      </c>
      <c r="H246" t="s">
        <v>3688</v>
      </c>
      <c r="I246" t="s">
        <v>3689</v>
      </c>
      <c r="J246" s="50" t="str">
        <f>IF(I246="","",_xlfn.XLOOKUP(TRIM(I246),'SkillMasterSkill ID'!$C:$C,'SkillMasterSkill ID'!$F:$F,"NOT FOUND",0))</f>
        <v>NOT FOUND</v>
      </c>
      <c r="K246" s="50"/>
      <c r="L246" s="50"/>
    </row>
    <row r="247" spans="1:12" x14ac:dyDescent="0.25">
      <c r="A24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47">
        <v>10105</v>
      </c>
      <c r="C247" t="s">
        <v>77</v>
      </c>
      <c r="D247" s="46"/>
      <c r="E247" t="s">
        <v>3356</v>
      </c>
      <c r="F247" s="50"/>
      <c r="G247" t="s">
        <v>3683</v>
      </c>
      <c r="H247" t="s">
        <v>3684</v>
      </c>
      <c r="I247" t="s">
        <v>3685</v>
      </c>
      <c r="J247" s="50" t="str">
        <f>IF(I247="","",_xlfn.XLOOKUP(TRIM(I247),'SkillMasterSkill ID'!$C:$C,'SkillMasterSkill ID'!$F:$F,"NOT FOUND",0))</f>
        <v>NOT FOUND</v>
      </c>
      <c r="K247" s="50"/>
      <c r="L247" s="50"/>
    </row>
    <row r="248" spans="1:12" x14ac:dyDescent="0.25">
      <c r="A24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48">
        <v>10105</v>
      </c>
      <c r="C248" t="s">
        <v>77</v>
      </c>
      <c r="D248" s="46"/>
      <c r="E248" t="s">
        <v>963</v>
      </c>
      <c r="F248" s="50"/>
      <c r="G248" t="s">
        <v>3690</v>
      </c>
      <c r="H248" t="s">
        <v>3695</v>
      </c>
      <c r="I248" t="s">
        <v>3161</v>
      </c>
      <c r="J248" s="50" t="str">
        <f>IF(I248="","",_xlfn.XLOOKUP(TRIM(I248),'SkillMasterSkill ID'!$C:$C,'SkillMasterSkill ID'!$F:$F,"NOT FOUND",0))</f>
        <v>NOT FOUND</v>
      </c>
      <c r="K248" s="50"/>
      <c r="L248" s="50"/>
    </row>
    <row r="249" spans="1:12" x14ac:dyDescent="0.25">
      <c r="A24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49">
        <v>10105</v>
      </c>
      <c r="C249" t="s">
        <v>77</v>
      </c>
      <c r="D249" s="46"/>
      <c r="E249" t="s">
        <v>873</v>
      </c>
      <c r="F249" s="50"/>
      <c r="G249" t="s">
        <v>3731</v>
      </c>
      <c r="H249" t="s">
        <v>3735</v>
      </c>
      <c r="I249" t="s">
        <v>3736</v>
      </c>
      <c r="J249" s="50" t="str">
        <f>IF(I249="","",_xlfn.XLOOKUP(TRIM(I249),'SkillMasterSkill ID'!$C:$C,'SkillMasterSkill ID'!$F:$F,"NOT FOUND",0))</f>
        <v>NOT FOUND</v>
      </c>
      <c r="K249" s="50"/>
      <c r="L249" s="50"/>
    </row>
    <row r="250" spans="1:12" x14ac:dyDescent="0.25">
      <c r="A25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50">
        <v>10105</v>
      </c>
      <c r="C250" t="s">
        <v>77</v>
      </c>
      <c r="D250" s="46"/>
      <c r="E250" t="s">
        <v>1415</v>
      </c>
      <c r="F250" s="50"/>
      <c r="G250" t="s">
        <v>3731</v>
      </c>
      <c r="H250" t="s">
        <v>3732</v>
      </c>
      <c r="I250" t="s">
        <v>3035</v>
      </c>
      <c r="J250" s="50" t="str">
        <f>IF(I250="","",_xlfn.XLOOKUP(TRIM(I250),'SkillMasterSkill ID'!$C:$C,'SkillMasterSkill ID'!$F:$F,"NOT FOUND",0))</f>
        <v>NOT FOUND</v>
      </c>
      <c r="K250" s="50"/>
      <c r="L250" s="50"/>
    </row>
    <row r="251" spans="1:12" x14ac:dyDescent="0.25">
      <c r="A25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51">
        <v>10105</v>
      </c>
      <c r="C251" t="s">
        <v>77</v>
      </c>
      <c r="D251" s="46"/>
      <c r="E251" t="s">
        <v>951</v>
      </c>
      <c r="F251" s="50"/>
      <c r="G251" t="s">
        <v>2256</v>
      </c>
      <c r="H251" t="s">
        <v>3749</v>
      </c>
      <c r="I251" t="s">
        <v>1396</v>
      </c>
      <c r="J251" s="50" t="str">
        <f>IF(I251="","",_xlfn.XLOOKUP(TRIM(I251),'SkillMasterSkill ID'!$C:$C,'SkillMasterSkill ID'!$F:$F,"NOT FOUND",0))</f>
        <v>NOT FOUND</v>
      </c>
      <c r="K251" s="50"/>
      <c r="L251" s="50"/>
    </row>
    <row r="252" spans="1:12" x14ac:dyDescent="0.25">
      <c r="A25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52">
        <v>10105</v>
      </c>
      <c r="C252" t="s">
        <v>77</v>
      </c>
      <c r="D252" s="46"/>
      <c r="E252" t="s">
        <v>3715</v>
      </c>
      <c r="F252" s="50"/>
      <c r="G252" t="s">
        <v>3714</v>
      </c>
      <c r="H252" t="s">
        <v>3717</v>
      </c>
      <c r="I252" t="s">
        <v>3718</v>
      </c>
      <c r="J252" s="50" t="str">
        <f>IF(I252="","",_xlfn.XLOOKUP(TRIM(I252),'SkillMasterSkill ID'!$C:$C,'SkillMasterSkill ID'!$F:$F,"NOT FOUND",0))</f>
        <v>NOT FOUND</v>
      </c>
      <c r="K252" s="50"/>
      <c r="L252" s="50"/>
    </row>
    <row r="253" spans="1:12" x14ac:dyDescent="0.25">
      <c r="A25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53">
        <v>10105</v>
      </c>
      <c r="C253" t="s">
        <v>77</v>
      </c>
      <c r="D253" s="46"/>
      <c r="E253" t="s">
        <v>3698</v>
      </c>
      <c r="F253" s="50"/>
      <c r="G253" t="s">
        <v>3697</v>
      </c>
      <c r="H253" t="s">
        <v>3704</v>
      </c>
      <c r="I253" t="s">
        <v>3705</v>
      </c>
      <c r="J253" s="50" t="str">
        <f>IF(I253="","",_xlfn.XLOOKUP(TRIM(I253),'SkillMasterSkill ID'!$C:$C,'SkillMasterSkill ID'!$F:$F,"NOT FOUND",0))</f>
        <v>NOT FOUND</v>
      </c>
      <c r="K253" s="50"/>
      <c r="L253" s="50"/>
    </row>
    <row r="254" spans="1:12" x14ac:dyDescent="0.25">
      <c r="A25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54">
        <v>10105</v>
      </c>
      <c r="C254" t="s">
        <v>77</v>
      </c>
      <c r="D254" s="46"/>
      <c r="E254" t="s">
        <v>3698</v>
      </c>
      <c r="F254" s="50"/>
      <c r="G254" t="s">
        <v>3697</v>
      </c>
      <c r="H254" t="s">
        <v>3700</v>
      </c>
      <c r="I254" t="s">
        <v>3701</v>
      </c>
      <c r="J254" s="50" t="str">
        <f>IF(I254="","",_xlfn.XLOOKUP(TRIM(I254),'SkillMasterSkill ID'!$C:$C,'SkillMasterSkill ID'!$F:$F,"NOT FOUND",0))</f>
        <v>NOT FOUND</v>
      </c>
      <c r="K254" s="50"/>
      <c r="L254" s="50"/>
    </row>
    <row r="255" spans="1:12" x14ac:dyDescent="0.25">
      <c r="A25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55">
        <v>10105</v>
      </c>
      <c r="C255" t="s">
        <v>77</v>
      </c>
      <c r="D255" s="46"/>
      <c r="E255" t="s">
        <v>3304</v>
      </c>
      <c r="F255" s="50"/>
      <c r="G255" t="s">
        <v>3743</v>
      </c>
      <c r="H255" t="s">
        <v>3745</v>
      </c>
      <c r="I255" t="s">
        <v>3746</v>
      </c>
      <c r="J255" s="50" t="str">
        <f>IF(I255="","",_xlfn.XLOOKUP(TRIM(I255),'SkillMasterSkill ID'!$C:$C,'SkillMasterSkill ID'!$F:$F,"NOT FOUND",0))</f>
        <v>NOT FOUND</v>
      </c>
      <c r="K255" s="50"/>
      <c r="L255" s="50"/>
    </row>
    <row r="256" spans="1:12" x14ac:dyDescent="0.25">
      <c r="A25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56">
        <v>10105</v>
      </c>
      <c r="C256" t="s">
        <v>77</v>
      </c>
      <c r="D256" s="46"/>
      <c r="E256" t="s">
        <v>3707</v>
      </c>
      <c r="F256" s="50"/>
      <c r="G256" t="s">
        <v>3706</v>
      </c>
      <c r="H256" t="s">
        <v>3712</v>
      </c>
      <c r="I256" t="s">
        <v>3713</v>
      </c>
      <c r="J256" s="50" t="str">
        <f>IF(I256="","",_xlfn.XLOOKUP(TRIM(I256),'SkillMasterSkill ID'!$C:$C,'SkillMasterSkill ID'!$F:$F,"NOT FOUND",0))</f>
        <v>NOT FOUND</v>
      </c>
      <c r="K256" s="50"/>
      <c r="L256" s="50"/>
    </row>
    <row r="257" spans="1:12" x14ac:dyDescent="0.25">
      <c r="A25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57">
        <v>10105</v>
      </c>
      <c r="C257" t="s">
        <v>77</v>
      </c>
      <c r="D257" s="46"/>
      <c r="E257" t="s">
        <v>3162</v>
      </c>
      <c r="F257" s="50"/>
      <c r="G257" t="s">
        <v>3743</v>
      </c>
      <c r="H257" t="s">
        <v>3747</v>
      </c>
      <c r="I257" t="s">
        <v>3164</v>
      </c>
      <c r="J257" s="50" t="str">
        <f>IF(I257="","",_xlfn.XLOOKUP(TRIM(I257),'SkillMasterSkill ID'!$C:$C,'SkillMasterSkill ID'!$F:$F,"NOT FOUND",0))</f>
        <v>NOT FOUND</v>
      </c>
      <c r="K257" s="50"/>
      <c r="L257" s="50"/>
    </row>
    <row r="258" spans="1:12" x14ac:dyDescent="0.25">
      <c r="A25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58">
        <v>10105</v>
      </c>
      <c r="C258" t="s">
        <v>77</v>
      </c>
      <c r="D258" s="46"/>
      <c r="E258" t="s">
        <v>3240</v>
      </c>
      <c r="F258" s="50"/>
      <c r="G258" t="s">
        <v>3725</v>
      </c>
      <c r="H258" t="s">
        <v>3726</v>
      </c>
      <c r="I258" t="s">
        <v>3727</v>
      </c>
      <c r="J258" s="50" t="str">
        <f>IF(I258="","",_xlfn.XLOOKUP(TRIM(I258),'SkillMasterSkill ID'!$C:$C,'SkillMasterSkill ID'!$F:$F,"NOT FOUND",0))</f>
        <v>NOT FOUND</v>
      </c>
      <c r="K258" s="50"/>
      <c r="L258" s="50"/>
    </row>
    <row r="259" spans="1:12" x14ac:dyDescent="0.25">
      <c r="A25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59">
        <v>10105</v>
      </c>
      <c r="C259" t="s">
        <v>77</v>
      </c>
      <c r="D259" s="46"/>
      <c r="E259" t="s">
        <v>963</v>
      </c>
      <c r="F259" s="50"/>
      <c r="G259" t="s">
        <v>3690</v>
      </c>
      <c r="H259" t="s">
        <v>3696</v>
      </c>
      <c r="I259" t="s">
        <v>3315</v>
      </c>
      <c r="J259" s="50" t="str">
        <f>IF(I259="","",_xlfn.XLOOKUP(TRIM(I259),'SkillMasterSkill ID'!$C:$C,'SkillMasterSkill ID'!$F:$F,"NOT FOUND",0))</f>
        <v>NOT FOUND</v>
      </c>
      <c r="K259" s="50"/>
      <c r="L259" s="50"/>
    </row>
    <row r="260" spans="1:12" x14ac:dyDescent="0.25">
      <c r="A26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60">
        <v>10105</v>
      </c>
      <c r="C260" t="s">
        <v>77</v>
      </c>
      <c r="D260" s="46"/>
      <c r="E260" t="s">
        <v>951</v>
      </c>
      <c r="F260" s="50"/>
      <c r="G260" t="s">
        <v>2256</v>
      </c>
      <c r="H260" t="s">
        <v>3748</v>
      </c>
      <c r="I260" t="s">
        <v>2963</v>
      </c>
      <c r="J260" s="50" t="str">
        <f>IF(I260="","",_xlfn.XLOOKUP(TRIM(I260),'SkillMasterSkill ID'!$C:$C,'SkillMasterSkill ID'!$F:$F,"NOT FOUND",0))</f>
        <v>NOT FOUND</v>
      </c>
      <c r="K260" s="50"/>
      <c r="L260" s="50"/>
    </row>
    <row r="261" spans="1:12" x14ac:dyDescent="0.25">
      <c r="A26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61">
        <v>10105</v>
      </c>
      <c r="C261" t="s">
        <v>77</v>
      </c>
      <c r="D261" s="46"/>
      <c r="E261" t="s">
        <v>3240</v>
      </c>
      <c r="F261" s="50"/>
      <c r="G261" t="s">
        <v>3725</v>
      </c>
      <c r="H261" t="s">
        <v>3728</v>
      </c>
      <c r="I261" t="s">
        <v>3729</v>
      </c>
      <c r="J261" s="50" t="str">
        <f>IF(I261="","",_xlfn.XLOOKUP(TRIM(I261),'SkillMasterSkill ID'!$C:$C,'SkillMasterSkill ID'!$F:$F,"NOT FOUND",0))</f>
        <v>NOT FOUND</v>
      </c>
      <c r="K261" s="50"/>
      <c r="L261" s="50"/>
    </row>
    <row r="262" spans="1:12" x14ac:dyDescent="0.25">
      <c r="A26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62">
        <v>10105</v>
      </c>
      <c r="C262" t="s">
        <v>77</v>
      </c>
      <c r="D262" s="46"/>
      <c r="E262" t="s">
        <v>3605</v>
      </c>
      <c r="F262" s="50"/>
      <c r="G262" t="s">
        <v>3731</v>
      </c>
      <c r="H262" t="s">
        <v>3733</v>
      </c>
      <c r="I262" t="s">
        <v>3734</v>
      </c>
      <c r="J262" s="50" t="str">
        <f>IF(I262="","",_xlfn.XLOOKUP(TRIM(I262),'SkillMasterSkill ID'!$C:$C,'SkillMasterSkill ID'!$F:$F,"NOT FOUND",0))</f>
        <v>NOT FOUND</v>
      </c>
      <c r="K262" s="50"/>
      <c r="L262" s="50"/>
    </row>
    <row r="263" spans="1:12" x14ac:dyDescent="0.25">
      <c r="A26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63">
        <v>10105</v>
      </c>
      <c r="C263" t="s">
        <v>77</v>
      </c>
      <c r="D263" s="46"/>
      <c r="E263" t="s">
        <v>963</v>
      </c>
      <c r="F263" s="50"/>
      <c r="G263" t="s">
        <v>3690</v>
      </c>
      <c r="H263" t="s">
        <v>3693</v>
      </c>
      <c r="I263" t="s">
        <v>3694</v>
      </c>
      <c r="J263" s="50" t="str">
        <f>IF(I263="","",_xlfn.XLOOKUP(TRIM(I263),'SkillMasterSkill ID'!$C:$C,'SkillMasterSkill ID'!$F:$F,"NOT FOUND",0))</f>
        <v>NOT FOUND</v>
      </c>
      <c r="K263" s="50"/>
      <c r="L263" s="50"/>
    </row>
    <row r="264" spans="1:12" x14ac:dyDescent="0.25">
      <c r="A26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64">
        <v>10105</v>
      </c>
      <c r="C264" t="s">
        <v>77</v>
      </c>
      <c r="D264" s="46"/>
      <c r="E264" t="s">
        <v>963</v>
      </c>
      <c r="F264" s="50"/>
      <c r="G264" t="s">
        <v>3690</v>
      </c>
      <c r="H264" t="s">
        <v>3691</v>
      </c>
      <c r="I264" t="s">
        <v>3692</v>
      </c>
      <c r="J264" s="50" t="str">
        <f>IF(I264="","",_xlfn.XLOOKUP(TRIM(I264),'SkillMasterSkill ID'!$C:$C,'SkillMasterSkill ID'!$F:$F,"NOT FOUND",0))</f>
        <v>NOT FOUND</v>
      </c>
      <c r="K264" s="50"/>
      <c r="L264" s="50"/>
    </row>
    <row r="265" spans="1:12" x14ac:dyDescent="0.25">
      <c r="A26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65">
        <v>10105</v>
      </c>
      <c r="C265" t="s">
        <v>77</v>
      </c>
      <c r="D265" s="46"/>
      <c r="E265" t="s">
        <v>2899</v>
      </c>
      <c r="F265" s="50"/>
      <c r="G265" t="s">
        <v>3714</v>
      </c>
      <c r="H265" t="s">
        <v>3723</v>
      </c>
      <c r="I265" t="s">
        <v>3724</v>
      </c>
      <c r="J265" s="50" t="str">
        <f>IF(I265="","",_xlfn.XLOOKUP(TRIM(I265),'SkillMasterSkill ID'!$C:$C,'SkillMasterSkill ID'!$F:$F,"NOT FOUND",0))</f>
        <v>NOT FOUND</v>
      </c>
      <c r="K265" s="50"/>
      <c r="L265" s="50"/>
    </row>
    <row r="266" spans="1:12" x14ac:dyDescent="0.25">
      <c r="A26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66">
        <v>10105</v>
      </c>
      <c r="C266" t="s">
        <v>77</v>
      </c>
      <c r="D266" s="46"/>
      <c r="E266" t="s">
        <v>3707</v>
      </c>
      <c r="F266" s="50"/>
      <c r="G266" t="s">
        <v>3706</v>
      </c>
      <c r="H266" t="s">
        <v>3709</v>
      </c>
      <c r="I266" t="s">
        <v>3710</v>
      </c>
      <c r="J266" s="50" t="str">
        <f>IF(I266="","",_xlfn.XLOOKUP(TRIM(I266),'SkillMasterSkill ID'!$C:$C,'SkillMasterSkill ID'!$F:$F,"NOT FOUND",0))</f>
        <v>NOT FOUND</v>
      </c>
      <c r="K266" s="50"/>
      <c r="L266" s="50"/>
    </row>
    <row r="267" spans="1:12" x14ac:dyDescent="0.25">
      <c r="A26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67">
        <v>10105</v>
      </c>
      <c r="C267" t="s">
        <v>77</v>
      </c>
      <c r="D267" s="46"/>
      <c r="E267" t="s">
        <v>2975</v>
      </c>
      <c r="F267" s="50"/>
      <c r="G267" t="s">
        <v>3737</v>
      </c>
      <c r="H267" t="s">
        <v>1302</v>
      </c>
      <c r="I267" t="s">
        <v>2738</v>
      </c>
      <c r="J267" s="50" t="str">
        <f>IF(I267="","",_xlfn.XLOOKUP(TRIM(I267),'SkillMasterSkill ID'!$C:$C,'SkillMasterSkill ID'!$F:$F,"NOT FOUND",0))</f>
        <v>NOT FOUND</v>
      </c>
      <c r="K267" s="50"/>
      <c r="L267" s="50"/>
    </row>
    <row r="268" spans="1:12" x14ac:dyDescent="0.25">
      <c r="A26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68">
        <v>10105</v>
      </c>
      <c r="C268" t="s">
        <v>77</v>
      </c>
      <c r="D268" s="46"/>
      <c r="E268" t="s">
        <v>3707</v>
      </c>
      <c r="F268" s="50"/>
      <c r="G268" t="s">
        <v>3706</v>
      </c>
      <c r="H268" t="s">
        <v>3711</v>
      </c>
      <c r="I268" t="s">
        <v>3410</v>
      </c>
      <c r="J268" s="50" t="str">
        <f>IF(I268="","",_xlfn.XLOOKUP(TRIM(I268),'SkillMasterSkill ID'!$C:$C,'SkillMasterSkill ID'!$F:$F,"NOT FOUND",0))</f>
        <v>NOT FOUND</v>
      </c>
      <c r="K268" s="50"/>
      <c r="L268" s="50"/>
    </row>
    <row r="269" spans="1:12" x14ac:dyDescent="0.25">
      <c r="A26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69">
        <v>10105</v>
      </c>
      <c r="C269" t="s">
        <v>77</v>
      </c>
      <c r="D269" s="46"/>
      <c r="E269" t="s">
        <v>1470</v>
      </c>
      <c r="F269" s="50"/>
      <c r="G269" t="s">
        <v>3737</v>
      </c>
      <c r="H269" t="s">
        <v>3738</v>
      </c>
      <c r="I269" t="s">
        <v>3291</v>
      </c>
      <c r="J269" s="50" t="str">
        <f>IF(I269="","",_xlfn.XLOOKUP(TRIM(I269),'SkillMasterSkill ID'!$C:$C,'SkillMasterSkill ID'!$F:$F,"NOT FOUND",0))</f>
        <v>NOT FOUND</v>
      </c>
      <c r="K269" s="50"/>
      <c r="L269" s="50"/>
    </row>
    <row r="270" spans="1:12" x14ac:dyDescent="0.25">
      <c r="A27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70">
        <v>10105</v>
      </c>
      <c r="C270" t="s">
        <v>77</v>
      </c>
      <c r="D270" s="46"/>
      <c r="E270" t="s">
        <v>1448</v>
      </c>
      <c r="F270" s="50"/>
      <c r="G270" t="s">
        <v>3725</v>
      </c>
      <c r="H270" t="s">
        <v>3730</v>
      </c>
      <c r="I270" t="s">
        <v>3236</v>
      </c>
      <c r="J270" s="50" t="str">
        <f>IF(I270="","",_xlfn.XLOOKUP(TRIM(I270),'SkillMasterSkill ID'!$C:$C,'SkillMasterSkill ID'!$F:$F,"NOT FOUND",0))</f>
        <v>NOT FOUND</v>
      </c>
      <c r="K270" s="50"/>
      <c r="L270" s="50"/>
    </row>
    <row r="271" spans="1:12" x14ac:dyDescent="0.25">
      <c r="A27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71">
        <v>10105</v>
      </c>
      <c r="C271" t="s">
        <v>77</v>
      </c>
      <c r="D271" s="46"/>
      <c r="E271" t="s">
        <v>3356</v>
      </c>
      <c r="F271" s="50"/>
      <c r="G271" t="s">
        <v>3683</v>
      </c>
      <c r="H271" t="s">
        <v>3686</v>
      </c>
      <c r="I271" t="s">
        <v>3687</v>
      </c>
      <c r="J271" s="50" t="str">
        <f>IF(I271="","",_xlfn.XLOOKUP(TRIM(I271),'SkillMasterSkill ID'!$C:$C,'SkillMasterSkill ID'!$F:$F,"NOT FOUND",0))</f>
        <v>NOT FOUND</v>
      </c>
      <c r="K271" s="50"/>
      <c r="L271" s="50"/>
    </row>
    <row r="272" spans="1:12" x14ac:dyDescent="0.25">
      <c r="A27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72">
        <v>10105</v>
      </c>
      <c r="C272" t="s">
        <v>77</v>
      </c>
      <c r="D272" s="46"/>
      <c r="E272" t="s">
        <v>3419</v>
      </c>
      <c r="F272" s="50"/>
      <c r="G272" t="s">
        <v>3413</v>
      </c>
      <c r="H272" t="s">
        <v>3741</v>
      </c>
      <c r="I272" t="s">
        <v>3742</v>
      </c>
      <c r="J272" s="50" t="str">
        <f>IF(I272="","",_xlfn.XLOOKUP(TRIM(I272),'SkillMasterSkill ID'!$C:$C,'SkillMasterSkill ID'!$F:$F,"NOT FOUND",0))</f>
        <v>NOT FOUND</v>
      </c>
      <c r="K272" s="50"/>
      <c r="L272" s="50"/>
    </row>
    <row r="273" spans="1:12" x14ac:dyDescent="0.25">
      <c r="A27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73">
        <v>10105</v>
      </c>
      <c r="C273" t="s">
        <v>77</v>
      </c>
      <c r="D273" s="46"/>
      <c r="E273" t="s">
        <v>1476</v>
      </c>
      <c r="F273" s="50"/>
      <c r="G273" t="s">
        <v>3413</v>
      </c>
      <c r="H273" t="s">
        <v>3739</v>
      </c>
      <c r="I273" t="s">
        <v>3740</v>
      </c>
      <c r="J273" s="50" t="str">
        <f>IF(I273="","",_xlfn.XLOOKUP(TRIM(I273),'SkillMasterSkill ID'!$C:$C,'SkillMasterSkill ID'!$F:$F,"NOT FOUND",0))</f>
        <v>NOT FOUND</v>
      </c>
      <c r="K273" s="50"/>
      <c r="L273" s="50"/>
    </row>
    <row r="274" spans="1:12" x14ac:dyDescent="0.25">
      <c r="A27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74">
        <v>10105</v>
      </c>
      <c r="C274" t="s">
        <v>77</v>
      </c>
      <c r="D274" s="46"/>
      <c r="E274" t="s">
        <v>3719</v>
      </c>
      <c r="F274" s="50"/>
      <c r="G274" t="s">
        <v>3714</v>
      </c>
      <c r="H274" t="s">
        <v>3721</v>
      </c>
      <c r="I274" t="s">
        <v>3722</v>
      </c>
      <c r="J274" s="50" t="str">
        <f>IF(I274="","",_xlfn.XLOOKUP(TRIM(I274),'SkillMasterSkill ID'!$C:$C,'SkillMasterSkill ID'!$F:$F,"NOT FOUND",0))</f>
        <v>NOT FOUND</v>
      </c>
      <c r="K274" s="50"/>
      <c r="L274" s="50"/>
    </row>
    <row r="275" spans="1:12" x14ac:dyDescent="0.25">
      <c r="A27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75">
        <v>6104</v>
      </c>
      <c r="C275" t="s">
        <v>714</v>
      </c>
      <c r="D275" s="46"/>
      <c r="E275" t="s">
        <v>3372</v>
      </c>
      <c r="F275" s="50"/>
      <c r="G275" t="s">
        <v>3493</v>
      </c>
      <c r="H275" t="s">
        <v>3498</v>
      </c>
      <c r="I275" t="s">
        <v>885</v>
      </c>
      <c r="J275" s="50" t="str">
        <f>IF(I275="","",_xlfn.XLOOKUP(TRIM(I275),'SkillMasterSkill ID'!$C:$C,'SkillMasterSkill ID'!$F:$F,"NOT FOUND",0))</f>
        <v>Ability to set expectations, enforce accountability, and initiate timely corrective action when performance deviates.</v>
      </c>
      <c r="K275" s="50"/>
      <c r="L275" s="50"/>
    </row>
    <row r="276" spans="1:12" x14ac:dyDescent="0.25">
      <c r="A27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76">
        <v>6104</v>
      </c>
      <c r="C276" t="s">
        <v>714</v>
      </c>
      <c r="D276" s="46"/>
      <c r="E276" t="s">
        <v>2992</v>
      </c>
      <c r="F276" s="50"/>
      <c r="G276" t="s">
        <v>2991</v>
      </c>
      <c r="H276" t="s">
        <v>3482</v>
      </c>
      <c r="I276" t="s">
        <v>847</v>
      </c>
      <c r="J276" s="50" t="str">
        <f>IF(I276="","",_xlfn.XLOOKUP(TRIM(I276),'SkillMasterSkill ID'!$C:$C,'SkillMasterSkill ID'!$F:$F,"NOT FOUND",0))</f>
        <v>Ability to plan and sequence work effectively, using schedules, constraints, and lookahead thinking to meet targets.</v>
      </c>
      <c r="K276" s="50"/>
      <c r="L276" s="50"/>
    </row>
    <row r="277" spans="1:12" x14ac:dyDescent="0.25">
      <c r="A27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77">
        <v>6104</v>
      </c>
      <c r="C277" t="s">
        <v>714</v>
      </c>
      <c r="D277" s="46"/>
      <c r="E277" t="s">
        <v>2992</v>
      </c>
      <c r="F277" s="50"/>
      <c r="G277" t="s">
        <v>2991</v>
      </c>
      <c r="H277" t="s">
        <v>3480</v>
      </c>
      <c r="I277" t="s">
        <v>3481</v>
      </c>
      <c r="J277" s="50" t="str">
        <f>IF(I277="","",_xlfn.XLOOKUP(TRIM(I277),'SkillMasterSkill ID'!$C:$C,'SkillMasterSkill ID'!$F:$F,"NOT FOUND",0))</f>
        <v>NOT FOUND</v>
      </c>
      <c r="K277" s="50"/>
      <c r="L277" s="50"/>
    </row>
    <row r="278" spans="1:12" x14ac:dyDescent="0.25">
      <c r="A27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78">
        <v>6104</v>
      </c>
      <c r="C278" t="s">
        <v>714</v>
      </c>
      <c r="D278" s="46"/>
      <c r="E278" t="s">
        <v>3001</v>
      </c>
      <c r="F278" s="50"/>
      <c r="G278" t="s">
        <v>3483</v>
      </c>
      <c r="H278" t="s">
        <v>3484</v>
      </c>
      <c r="I278" t="s">
        <v>3485</v>
      </c>
      <c r="J278" s="50" t="str">
        <f>IF(I278="","",_xlfn.XLOOKUP(TRIM(I278),'SkillMasterSkill ID'!$C:$C,'SkillMasterSkill ID'!$F:$F,"NOT FOUND",0))</f>
        <v>NOT FOUND</v>
      </c>
      <c r="K278" s="50"/>
      <c r="L278" s="50"/>
    </row>
    <row r="279" spans="1:12" x14ac:dyDescent="0.25">
      <c r="A27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79">
        <v>6104</v>
      </c>
      <c r="C279" t="s">
        <v>714</v>
      </c>
      <c r="D279" s="46"/>
      <c r="E279" t="s">
        <v>3001</v>
      </c>
      <c r="F279" s="50"/>
      <c r="G279" t="s">
        <v>3483</v>
      </c>
      <c r="H279" t="s">
        <v>3486</v>
      </c>
      <c r="I279" t="s">
        <v>3487</v>
      </c>
      <c r="J279" s="50" t="str">
        <f>IF(I279="","",_xlfn.XLOOKUP(TRIM(I279),'SkillMasterSkill ID'!$C:$C,'SkillMasterSkill ID'!$F:$F,"NOT FOUND",0))</f>
        <v>NOT FOUND</v>
      </c>
      <c r="K279" s="50"/>
      <c r="L279" s="50"/>
    </row>
    <row r="280" spans="1:12" x14ac:dyDescent="0.25">
      <c r="A28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80">
        <v>6104</v>
      </c>
      <c r="C280" t="s">
        <v>714</v>
      </c>
      <c r="D280" s="46"/>
      <c r="E280" t="s">
        <v>874</v>
      </c>
      <c r="F280" s="50"/>
      <c r="G280" t="s">
        <v>3489</v>
      </c>
      <c r="H280" t="s">
        <v>3492</v>
      </c>
      <c r="I280" t="s">
        <v>2563</v>
      </c>
      <c r="J280" s="50" t="str">
        <f>IF(I280="","",_xlfn.XLOOKUP(TRIM(I280),'SkillMasterSkill ID'!$C:$C,'SkillMasterSkill ID'!$F:$F,"NOT FOUND",0))</f>
        <v>NOT FOUND</v>
      </c>
      <c r="K280" s="50"/>
      <c r="L280" s="50"/>
    </row>
    <row r="281" spans="1:12" x14ac:dyDescent="0.25">
      <c r="A28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81">
        <v>6104</v>
      </c>
      <c r="C281" t="s">
        <v>714</v>
      </c>
      <c r="D281" s="46"/>
      <c r="E281" t="s">
        <v>3494</v>
      </c>
      <c r="F281" s="50"/>
      <c r="G281" t="s">
        <v>3493</v>
      </c>
      <c r="H281" t="s">
        <v>3496</v>
      </c>
      <c r="I281" t="s">
        <v>3497</v>
      </c>
      <c r="J281" s="50" t="str">
        <f>IF(I281="","",_xlfn.XLOOKUP(TRIM(I281),'SkillMasterSkill ID'!$C:$C,'SkillMasterSkill ID'!$F:$F,"NOT FOUND",0))</f>
        <v>NOT FOUND</v>
      </c>
      <c r="K281" s="50"/>
      <c r="L281" s="50"/>
    </row>
    <row r="282" spans="1:12" x14ac:dyDescent="0.25">
      <c r="A28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82">
        <v>6104</v>
      </c>
      <c r="C282" t="s">
        <v>714</v>
      </c>
      <c r="D282" s="46"/>
      <c r="E282" t="s">
        <v>1454</v>
      </c>
      <c r="F282" s="50"/>
      <c r="G282" t="s">
        <v>2980</v>
      </c>
      <c r="H282" t="s">
        <v>3477</v>
      </c>
      <c r="I282" t="s">
        <v>3272</v>
      </c>
      <c r="J282" s="50" t="str">
        <f>IF(I282="","",_xlfn.XLOOKUP(TRIM(I282),'SkillMasterSkill ID'!$C:$C,'SkillMasterSkill ID'!$F:$F,"NOT FOUND",0))</f>
        <v>NOT FOUND</v>
      </c>
      <c r="K282" s="50"/>
      <c r="L282" s="50"/>
    </row>
    <row r="283" spans="1:12" x14ac:dyDescent="0.25">
      <c r="A28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83">
        <v>6104</v>
      </c>
      <c r="C283" t="s">
        <v>714</v>
      </c>
      <c r="D283" s="46"/>
      <c r="E283" t="s">
        <v>1454</v>
      </c>
      <c r="F283" s="50"/>
      <c r="G283" t="s">
        <v>2980</v>
      </c>
      <c r="H283" t="s">
        <v>3475</v>
      </c>
      <c r="I283" t="s">
        <v>3476</v>
      </c>
      <c r="J283" s="50" t="str">
        <f>IF(I283="","",_xlfn.XLOOKUP(TRIM(I283),'SkillMasterSkill ID'!$C:$C,'SkillMasterSkill ID'!$F:$F,"NOT FOUND",0))</f>
        <v>NOT FOUND</v>
      </c>
      <c r="K283" s="50"/>
      <c r="L283" s="50"/>
    </row>
    <row r="284" spans="1:12" x14ac:dyDescent="0.25">
      <c r="A28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84">
        <v>6104</v>
      </c>
      <c r="C284" t="s">
        <v>714</v>
      </c>
      <c r="D284" s="46"/>
      <c r="E284" t="s">
        <v>3001</v>
      </c>
      <c r="F284" s="50"/>
      <c r="G284" t="s">
        <v>3483</v>
      </c>
      <c r="H284" t="s">
        <v>3488</v>
      </c>
      <c r="I284" t="s">
        <v>1451</v>
      </c>
      <c r="J284" s="50" t="str">
        <f>IF(I284="","",_xlfn.XLOOKUP(TRIM(I284),'SkillMasterSkill ID'!$C:$C,'SkillMasterSkill ID'!$F:$F,"NOT FOUND",0))</f>
        <v>NOT FOUND</v>
      </c>
      <c r="K284" s="50"/>
      <c r="L284" s="50"/>
    </row>
    <row r="285" spans="1:12" x14ac:dyDescent="0.25">
      <c r="A28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85">
        <v>6104</v>
      </c>
      <c r="C285" t="s">
        <v>714</v>
      </c>
      <c r="D285" s="46"/>
      <c r="E285" t="s">
        <v>2992</v>
      </c>
      <c r="F285" s="50"/>
      <c r="G285" t="s">
        <v>2991</v>
      </c>
      <c r="H285" t="s">
        <v>3478</v>
      </c>
      <c r="I285" t="s">
        <v>3479</v>
      </c>
      <c r="J285" s="50" t="str">
        <f>IF(I285="","",_xlfn.XLOOKUP(TRIM(I285),'SkillMasterSkill ID'!$C:$C,'SkillMasterSkill ID'!$F:$F,"NOT FOUND",0))</f>
        <v>NOT FOUND</v>
      </c>
      <c r="K285" s="50"/>
      <c r="L285" s="50"/>
    </row>
    <row r="286" spans="1:12" x14ac:dyDescent="0.25">
      <c r="A28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86">
        <v>6104</v>
      </c>
      <c r="C286" t="s">
        <v>714</v>
      </c>
      <c r="D286" s="46"/>
      <c r="E286" t="s">
        <v>947</v>
      </c>
      <c r="F286" s="50"/>
      <c r="G286" t="s">
        <v>2639</v>
      </c>
      <c r="H286" t="s">
        <v>3499</v>
      </c>
      <c r="I286" t="s">
        <v>3500</v>
      </c>
      <c r="J286" s="50" t="str">
        <f>IF(I286="","",_xlfn.XLOOKUP(TRIM(I286),'SkillMasterSkill ID'!$C:$C,'SkillMasterSkill ID'!$F:$F,"NOT FOUND",0))</f>
        <v>NOT FOUND</v>
      </c>
      <c r="K286" s="50"/>
      <c r="L286" s="50"/>
    </row>
    <row r="287" spans="1:12" x14ac:dyDescent="0.25">
      <c r="A28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87">
        <v>6104</v>
      </c>
      <c r="C287" t="s">
        <v>714</v>
      </c>
      <c r="D287" s="46"/>
      <c r="E287" t="s">
        <v>1448</v>
      </c>
      <c r="F287" s="50"/>
      <c r="G287" t="s">
        <v>3468</v>
      </c>
      <c r="H287" t="s">
        <v>3473</v>
      </c>
      <c r="I287" t="s">
        <v>3474</v>
      </c>
      <c r="J287" s="50" t="str">
        <f>IF(I287="","",_xlfn.XLOOKUP(TRIM(I287),'SkillMasterSkill ID'!$C:$C,'SkillMasterSkill ID'!$F:$F,"NOT FOUND",0))</f>
        <v>NOT FOUND</v>
      </c>
      <c r="K287" s="50"/>
      <c r="L287" s="50"/>
    </row>
    <row r="288" spans="1:12" x14ac:dyDescent="0.25">
      <c r="A28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88">
        <v>6104</v>
      </c>
      <c r="C288" t="s">
        <v>714</v>
      </c>
      <c r="D288" s="46"/>
      <c r="E288" t="s">
        <v>1448</v>
      </c>
      <c r="F288" s="50"/>
      <c r="G288" t="s">
        <v>3468</v>
      </c>
      <c r="H288" t="s">
        <v>3471</v>
      </c>
      <c r="I288" t="s">
        <v>3472</v>
      </c>
      <c r="J288" s="50" t="str">
        <f>IF(I288="","",_xlfn.XLOOKUP(TRIM(I288),'SkillMasterSkill ID'!$C:$C,'SkillMasterSkill ID'!$F:$F,"NOT FOUND",0))</f>
        <v>NOT FOUND</v>
      </c>
      <c r="K288" s="50"/>
      <c r="L288" s="50"/>
    </row>
    <row r="289" spans="1:12" x14ac:dyDescent="0.25">
      <c r="A28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89">
        <v>6104</v>
      </c>
      <c r="C289" t="s">
        <v>714</v>
      </c>
      <c r="D289" s="46"/>
      <c r="E289" t="s">
        <v>1448</v>
      </c>
      <c r="F289" s="50"/>
      <c r="G289" t="s">
        <v>3468</v>
      </c>
      <c r="H289" t="s">
        <v>3469</v>
      </c>
      <c r="I289" t="s">
        <v>3470</v>
      </c>
      <c r="J289" s="50" t="str">
        <f>IF(I289="","",_xlfn.XLOOKUP(TRIM(I289),'SkillMasterSkill ID'!$C:$C,'SkillMasterSkill ID'!$F:$F,"NOT FOUND",0))</f>
        <v>NOT FOUND</v>
      </c>
      <c r="K289" s="50"/>
      <c r="L289" s="50"/>
    </row>
    <row r="290" spans="1:12" x14ac:dyDescent="0.25">
      <c r="A29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90">
        <v>6104</v>
      </c>
      <c r="C290" t="s">
        <v>714</v>
      </c>
      <c r="D290" s="46"/>
      <c r="E290" t="s">
        <v>3162</v>
      </c>
      <c r="F290" s="50"/>
      <c r="G290" t="s">
        <v>2639</v>
      </c>
      <c r="H290" t="s">
        <v>3501</v>
      </c>
      <c r="I290" t="s">
        <v>3502</v>
      </c>
      <c r="J290" s="50" t="str">
        <f>IF(I290="","",_xlfn.XLOOKUP(TRIM(I290),'SkillMasterSkill ID'!$C:$C,'SkillMasterSkill ID'!$F:$F,"NOT FOUND",0))</f>
        <v>NOT FOUND</v>
      </c>
      <c r="K290" s="50"/>
      <c r="L290" s="50"/>
    </row>
    <row r="291" spans="1:12" x14ac:dyDescent="0.25">
      <c r="A29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91">
        <v>6104</v>
      </c>
      <c r="C291" t="s">
        <v>714</v>
      </c>
      <c r="D291" s="46"/>
      <c r="E291" t="s">
        <v>1476</v>
      </c>
      <c r="F291" s="50"/>
      <c r="G291" t="s">
        <v>3489</v>
      </c>
      <c r="H291" t="s">
        <v>3491</v>
      </c>
      <c r="I291" t="s">
        <v>2743</v>
      </c>
      <c r="J291" s="50" t="str">
        <f>IF(I291="","",_xlfn.XLOOKUP(TRIM(I291),'SkillMasterSkill ID'!$C:$C,'SkillMasterSkill ID'!$F:$F,"NOT FOUND",0))</f>
        <v>NOT FOUND</v>
      </c>
      <c r="K291" s="50"/>
      <c r="L291" s="50"/>
    </row>
    <row r="292" spans="1:12" x14ac:dyDescent="0.25">
      <c r="A29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92">
        <v>1110</v>
      </c>
      <c r="C292" t="s">
        <v>409</v>
      </c>
      <c r="D292" s="46"/>
      <c r="E292" t="s">
        <v>4036</v>
      </c>
      <c r="F292" s="50"/>
      <c r="G292" t="s">
        <v>3805</v>
      </c>
      <c r="H292" t="s">
        <v>4038</v>
      </c>
      <c r="I292" t="s">
        <v>4039</v>
      </c>
      <c r="J292" s="50" t="str">
        <f>IF(I292="","",_xlfn.XLOOKUP(TRIM(I292),'SkillMasterSkill ID'!$C:$C,'SkillMasterSkill ID'!$F:$F,"NOT FOUND",0))</f>
        <v>NOT FOUND</v>
      </c>
      <c r="K292" s="50"/>
      <c r="L292" s="50"/>
    </row>
    <row r="293" spans="1:12" x14ac:dyDescent="0.25">
      <c r="A29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93">
        <v>1110</v>
      </c>
      <c r="C293" t="s">
        <v>409</v>
      </c>
      <c r="D293" s="46"/>
      <c r="E293" t="s">
        <v>3203</v>
      </c>
      <c r="F293" s="50"/>
      <c r="G293" t="s">
        <v>3805</v>
      </c>
      <c r="H293" t="s">
        <v>4025</v>
      </c>
      <c r="I293" t="s">
        <v>4026</v>
      </c>
      <c r="J293" s="50" t="str">
        <f>IF(I293="","",_xlfn.XLOOKUP(TRIM(I293),'SkillMasterSkill ID'!$C:$C,'SkillMasterSkill ID'!$F:$F,"NOT FOUND",0))</f>
        <v>NOT FOUND</v>
      </c>
      <c r="K293" s="50"/>
      <c r="L293" s="50"/>
    </row>
    <row r="294" spans="1:12" x14ac:dyDescent="0.25">
      <c r="A29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94">
        <v>1110</v>
      </c>
      <c r="C294" t="s">
        <v>409</v>
      </c>
      <c r="D294" s="46"/>
      <c r="E294" t="s">
        <v>3401</v>
      </c>
      <c r="F294" s="50"/>
      <c r="G294" t="s">
        <v>3805</v>
      </c>
      <c r="H294" t="s">
        <v>3997</v>
      </c>
      <c r="I294" t="s">
        <v>4001</v>
      </c>
      <c r="J294" s="50" t="str">
        <f>IF(I294="","",_xlfn.XLOOKUP(TRIM(I294),'SkillMasterSkill ID'!$C:$C,'SkillMasterSkill ID'!$F:$F,"NOT FOUND",0))</f>
        <v>NOT FOUND</v>
      </c>
      <c r="K294" s="50"/>
      <c r="L294" s="50"/>
    </row>
    <row r="295" spans="1:12" x14ac:dyDescent="0.25">
      <c r="A29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95">
        <v>1110</v>
      </c>
      <c r="C295" t="s">
        <v>409</v>
      </c>
      <c r="D295" s="46"/>
      <c r="E295" t="s">
        <v>2975</v>
      </c>
      <c r="F295" s="50"/>
      <c r="G295" t="s">
        <v>3805</v>
      </c>
      <c r="H295" t="s">
        <v>3969</v>
      </c>
      <c r="I295" t="s">
        <v>3970</v>
      </c>
      <c r="J295" s="50" t="str">
        <f>IF(I295="","",_xlfn.XLOOKUP(TRIM(I295),'SkillMasterSkill ID'!$C:$C,'SkillMasterSkill ID'!$F:$F,"NOT FOUND",0))</f>
        <v>NOT FOUND</v>
      </c>
      <c r="K295" s="50"/>
      <c r="L295" s="50"/>
    </row>
    <row r="296" spans="1:12" x14ac:dyDescent="0.25">
      <c r="A29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96">
        <v>1110</v>
      </c>
      <c r="C296" t="s">
        <v>409</v>
      </c>
      <c r="D296" s="46"/>
      <c r="E296" t="s">
        <v>4041</v>
      </c>
      <c r="F296" s="50"/>
      <c r="G296" t="s">
        <v>3805</v>
      </c>
      <c r="H296" t="s">
        <v>4042</v>
      </c>
      <c r="I296" t="s">
        <v>4043</v>
      </c>
      <c r="J296" s="50" t="str">
        <f>IF(I296="","",_xlfn.XLOOKUP(TRIM(I296),'SkillMasterSkill ID'!$C:$C,'SkillMasterSkill ID'!$F:$F,"NOT FOUND",0))</f>
        <v>NOT FOUND</v>
      </c>
      <c r="K296" s="50"/>
      <c r="L296" s="50"/>
    </row>
    <row r="297" spans="1:12" x14ac:dyDescent="0.25">
      <c r="A29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97">
        <v>1110</v>
      </c>
      <c r="C297" t="s">
        <v>409</v>
      </c>
      <c r="D297" s="46"/>
      <c r="E297" t="s">
        <v>3993</v>
      </c>
      <c r="F297" s="50"/>
      <c r="G297" t="s">
        <v>3805</v>
      </c>
      <c r="H297" t="s">
        <v>3994</v>
      </c>
      <c r="I297" t="s">
        <v>3995</v>
      </c>
      <c r="J297" s="50" t="str">
        <f>IF(I297="","",_xlfn.XLOOKUP(TRIM(I297),'SkillMasterSkill ID'!$C:$C,'SkillMasterSkill ID'!$F:$F,"NOT FOUND",0))</f>
        <v>NOT FOUND</v>
      </c>
      <c r="K297" s="50"/>
      <c r="L297" s="50"/>
    </row>
    <row r="298" spans="1:12" x14ac:dyDescent="0.25">
      <c r="A29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98">
        <v>1110</v>
      </c>
      <c r="C298" t="s">
        <v>409</v>
      </c>
      <c r="D298" s="46"/>
      <c r="E298" t="s">
        <v>2519</v>
      </c>
      <c r="F298" s="50"/>
      <c r="G298" t="s">
        <v>3805</v>
      </c>
      <c r="H298" t="s">
        <v>3981</v>
      </c>
      <c r="I298" t="s">
        <v>3982</v>
      </c>
      <c r="J298" s="50" t="str">
        <f>IF(I298="","",_xlfn.XLOOKUP(TRIM(I298),'SkillMasterSkill ID'!$C:$C,'SkillMasterSkill ID'!$F:$F,"NOT FOUND",0))</f>
        <v>NOT FOUND</v>
      </c>
      <c r="K298" s="50"/>
      <c r="L298" s="50"/>
    </row>
    <row r="299" spans="1:12" x14ac:dyDescent="0.25">
      <c r="A29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299">
        <v>1110</v>
      </c>
      <c r="C299" t="s">
        <v>409</v>
      </c>
      <c r="D299" s="46"/>
      <c r="E299" t="s">
        <v>3983</v>
      </c>
      <c r="F299" s="50"/>
      <c r="G299" t="s">
        <v>3805</v>
      </c>
      <c r="H299" t="s">
        <v>3985</v>
      </c>
      <c r="I299" t="s">
        <v>3986</v>
      </c>
      <c r="J299" s="50" t="str">
        <f>IF(I299="","",_xlfn.XLOOKUP(TRIM(I299),'SkillMasterSkill ID'!$C:$C,'SkillMasterSkill ID'!$F:$F,"NOT FOUND",0))</f>
        <v>NOT FOUND</v>
      </c>
      <c r="K299" s="50"/>
      <c r="L299" s="50"/>
    </row>
    <row r="300" spans="1:12" x14ac:dyDescent="0.25">
      <c r="A30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00">
        <v>1110</v>
      </c>
      <c r="C300" t="s">
        <v>409</v>
      </c>
      <c r="D300" s="46"/>
      <c r="E300" t="s">
        <v>1392</v>
      </c>
      <c r="F300" s="50"/>
      <c r="G300" t="s">
        <v>3805</v>
      </c>
      <c r="H300" t="s">
        <v>3997</v>
      </c>
      <c r="I300" t="s">
        <v>3998</v>
      </c>
      <c r="J300" s="50" t="str">
        <f>IF(I300="","",_xlfn.XLOOKUP(TRIM(I300),'SkillMasterSkill ID'!$C:$C,'SkillMasterSkill ID'!$F:$F,"NOT FOUND",0))</f>
        <v>NOT FOUND</v>
      </c>
      <c r="K300" s="50"/>
      <c r="L300" s="50"/>
    </row>
    <row r="301" spans="1:12" x14ac:dyDescent="0.25">
      <c r="A30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01">
        <v>1110</v>
      </c>
      <c r="C301" t="s">
        <v>409</v>
      </c>
      <c r="D301" s="46"/>
      <c r="E301" t="s">
        <v>3562</v>
      </c>
      <c r="F301" s="50"/>
      <c r="G301" t="s">
        <v>3805</v>
      </c>
      <c r="H301" t="s">
        <v>4029</v>
      </c>
      <c r="I301" t="s">
        <v>4030</v>
      </c>
      <c r="J301" s="50" t="str">
        <f>IF(I301="","",_xlfn.XLOOKUP(TRIM(I301),'SkillMasterSkill ID'!$C:$C,'SkillMasterSkill ID'!$F:$F,"NOT FOUND",0))</f>
        <v>NOT FOUND</v>
      </c>
      <c r="K301" s="50"/>
      <c r="L301" s="50"/>
    </row>
    <row r="302" spans="1:12" x14ac:dyDescent="0.25">
      <c r="A30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02">
        <v>1110</v>
      </c>
      <c r="C302" t="s">
        <v>409</v>
      </c>
      <c r="D302" s="46"/>
      <c r="E302" t="s">
        <v>3214</v>
      </c>
      <c r="F302" s="50"/>
      <c r="G302" t="s">
        <v>3805</v>
      </c>
      <c r="H302" t="s">
        <v>3973</v>
      </c>
      <c r="I302" t="s">
        <v>3974</v>
      </c>
      <c r="J302" s="50" t="str">
        <f>IF(I302="","",_xlfn.XLOOKUP(TRIM(I302),'SkillMasterSkill ID'!$C:$C,'SkillMasterSkill ID'!$F:$F,"NOT FOUND",0))</f>
        <v>NOT FOUND</v>
      </c>
      <c r="K302" s="50"/>
      <c r="L302" s="50"/>
    </row>
    <row r="303" spans="1:12" x14ac:dyDescent="0.25">
      <c r="A30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03">
        <v>1110</v>
      </c>
      <c r="C303" t="s">
        <v>409</v>
      </c>
      <c r="D303" s="46"/>
      <c r="E303" t="s">
        <v>4003</v>
      </c>
      <c r="F303" s="50"/>
      <c r="G303" t="s">
        <v>3805</v>
      </c>
      <c r="H303" t="s">
        <v>4005</v>
      </c>
      <c r="I303" t="s">
        <v>4006</v>
      </c>
      <c r="J303" s="50" t="str">
        <f>IF(I303="","",_xlfn.XLOOKUP(TRIM(I303),'SkillMasterSkill ID'!$C:$C,'SkillMasterSkill ID'!$F:$F,"NOT FOUND",0))</f>
        <v>NOT FOUND</v>
      </c>
      <c r="K303" s="50"/>
      <c r="L303" s="50"/>
    </row>
    <row r="304" spans="1:12" x14ac:dyDescent="0.25">
      <c r="A30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04">
        <v>1110</v>
      </c>
      <c r="C304" t="s">
        <v>409</v>
      </c>
      <c r="D304" s="46"/>
      <c r="E304" t="s">
        <v>3962</v>
      </c>
      <c r="F304" s="50"/>
      <c r="G304" t="s">
        <v>3805</v>
      </c>
      <c r="H304" t="s">
        <v>3958</v>
      </c>
      <c r="I304" t="s">
        <v>3964</v>
      </c>
      <c r="J304" s="50" t="str">
        <f>IF(I304="","",_xlfn.XLOOKUP(TRIM(I304),'SkillMasterSkill ID'!$C:$C,'SkillMasterSkill ID'!$F:$F,"NOT FOUND",0))</f>
        <v>NOT FOUND</v>
      </c>
      <c r="K304" s="50"/>
      <c r="L304" s="50"/>
    </row>
    <row r="305" spans="1:12" x14ac:dyDescent="0.25">
      <c r="A30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05">
        <v>1110</v>
      </c>
      <c r="C305" t="s">
        <v>409</v>
      </c>
      <c r="D305" s="46"/>
      <c r="E305" t="s">
        <v>3962</v>
      </c>
      <c r="F305" s="50"/>
      <c r="G305" t="s">
        <v>3805</v>
      </c>
      <c r="H305" t="s">
        <v>3958</v>
      </c>
      <c r="I305" t="s">
        <v>3966</v>
      </c>
      <c r="J305" s="50" t="str">
        <f>IF(I305="","",_xlfn.XLOOKUP(TRIM(I305),'SkillMasterSkill ID'!$C:$C,'SkillMasterSkill ID'!$F:$F,"NOT FOUND",0))</f>
        <v>NOT FOUND</v>
      </c>
      <c r="K305" s="50"/>
      <c r="L305" s="50"/>
    </row>
    <row r="306" spans="1:12" x14ac:dyDescent="0.25">
      <c r="A30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06">
        <v>1110</v>
      </c>
      <c r="C306" t="s">
        <v>409</v>
      </c>
      <c r="D306" s="46"/>
      <c r="E306" t="s">
        <v>3956</v>
      </c>
      <c r="F306" s="50"/>
      <c r="G306" t="s">
        <v>3805</v>
      </c>
      <c r="H306" t="s">
        <v>3958</v>
      </c>
      <c r="I306" t="s">
        <v>3959</v>
      </c>
      <c r="J306" s="50" t="str">
        <f>IF(I306="","",_xlfn.XLOOKUP(TRIM(I306),'SkillMasterSkill ID'!$C:$C,'SkillMasterSkill ID'!$F:$F,"NOT FOUND",0))</f>
        <v>NOT FOUND</v>
      </c>
      <c r="K306" s="50"/>
      <c r="L306" s="50"/>
    </row>
    <row r="307" spans="1:12" x14ac:dyDescent="0.25">
      <c r="A30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07">
        <v>1110</v>
      </c>
      <c r="C307" t="s">
        <v>409</v>
      </c>
      <c r="D307" s="46"/>
      <c r="E307" t="s">
        <v>3956</v>
      </c>
      <c r="F307" s="50"/>
      <c r="G307" t="s">
        <v>3805</v>
      </c>
      <c r="H307" t="s">
        <v>3958</v>
      </c>
      <c r="I307" t="s">
        <v>3959</v>
      </c>
      <c r="J307" s="50" t="str">
        <f>IF(I307="","",_xlfn.XLOOKUP(TRIM(I307),'SkillMasterSkill ID'!$C:$C,'SkillMasterSkill ID'!$F:$F,"NOT FOUND",0))</f>
        <v>NOT FOUND</v>
      </c>
      <c r="K307" s="50"/>
      <c r="L307" s="50"/>
    </row>
    <row r="308" spans="1:12" x14ac:dyDescent="0.25">
      <c r="A30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08">
        <v>1110</v>
      </c>
      <c r="C308" t="s">
        <v>409</v>
      </c>
      <c r="D308" s="46"/>
      <c r="E308" t="s">
        <v>1417</v>
      </c>
      <c r="F308" s="50"/>
      <c r="G308" t="s">
        <v>3805</v>
      </c>
      <c r="H308" t="s">
        <v>4009</v>
      </c>
      <c r="I308" t="s">
        <v>4010</v>
      </c>
      <c r="J308" s="50" t="str">
        <f>IF(I308="","",_xlfn.XLOOKUP(TRIM(I308),'SkillMasterSkill ID'!$C:$C,'SkillMasterSkill ID'!$F:$F,"NOT FOUND",0))</f>
        <v>NOT FOUND</v>
      </c>
      <c r="K308" s="50"/>
      <c r="L308" s="50"/>
    </row>
    <row r="309" spans="1:12" x14ac:dyDescent="0.25">
      <c r="A30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09">
        <v>1110</v>
      </c>
      <c r="C309" t="s">
        <v>409</v>
      </c>
      <c r="D309" s="46"/>
      <c r="E309" t="s">
        <v>3719</v>
      </c>
      <c r="F309" s="50"/>
      <c r="G309" t="s">
        <v>3805</v>
      </c>
      <c r="H309" t="s">
        <v>4021</v>
      </c>
      <c r="I309" t="s">
        <v>4022</v>
      </c>
      <c r="J309" s="50" t="str">
        <f>IF(I309="","",_xlfn.XLOOKUP(TRIM(I309),'SkillMasterSkill ID'!$C:$C,'SkillMasterSkill ID'!$F:$F,"NOT FOUND",0))</f>
        <v>NOT FOUND</v>
      </c>
      <c r="K309" s="50"/>
      <c r="L309" s="50"/>
    </row>
    <row r="310" spans="1:12" x14ac:dyDescent="0.25">
      <c r="A31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10">
        <v>1110</v>
      </c>
      <c r="C310" t="s">
        <v>409</v>
      </c>
      <c r="D310" s="46"/>
      <c r="E310" t="s">
        <v>2442</v>
      </c>
      <c r="F310" s="50"/>
      <c r="G310" t="s">
        <v>3805</v>
      </c>
      <c r="H310" t="s">
        <v>4012</v>
      </c>
      <c r="I310" t="s">
        <v>4013</v>
      </c>
      <c r="J310" s="50" t="str">
        <f>IF(I310="","",_xlfn.XLOOKUP(TRIM(I310),'SkillMasterSkill ID'!$C:$C,'SkillMasterSkill ID'!$F:$F,"NOT FOUND",0))</f>
        <v>NOT FOUND</v>
      </c>
      <c r="K310" s="50"/>
      <c r="L310" s="50"/>
    </row>
    <row r="311" spans="1:12" x14ac:dyDescent="0.25">
      <c r="A31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11">
        <v>1110</v>
      </c>
      <c r="C311" t="s">
        <v>409</v>
      </c>
      <c r="D311" s="46"/>
      <c r="E311" t="s">
        <v>3988</v>
      </c>
      <c r="F311" s="50"/>
      <c r="G311" t="s">
        <v>3805</v>
      </c>
      <c r="H311" t="s">
        <v>3990</v>
      </c>
      <c r="I311" t="s">
        <v>3991</v>
      </c>
      <c r="J311" s="50" t="str">
        <f>IF(I311="","",_xlfn.XLOOKUP(TRIM(I311),'SkillMasterSkill ID'!$C:$C,'SkillMasterSkill ID'!$F:$F,"NOT FOUND",0))</f>
        <v>NOT FOUND</v>
      </c>
      <c r="K311" s="50"/>
      <c r="L311" s="50"/>
    </row>
    <row r="312" spans="1:12" x14ac:dyDescent="0.25">
      <c r="A31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12">
        <v>1110</v>
      </c>
      <c r="C312" t="s">
        <v>409</v>
      </c>
      <c r="D312" s="46"/>
      <c r="E312" t="s">
        <v>4015</v>
      </c>
      <c r="F312" s="50"/>
      <c r="G312" t="s">
        <v>3805</v>
      </c>
      <c r="H312" t="s">
        <v>4017</v>
      </c>
      <c r="I312" t="s">
        <v>4018</v>
      </c>
      <c r="J312" s="50" t="str">
        <f>IF(I312="","",_xlfn.XLOOKUP(TRIM(I312),'SkillMasterSkill ID'!$C:$C,'SkillMasterSkill ID'!$F:$F,"NOT FOUND",0))</f>
        <v>NOT FOUND</v>
      </c>
      <c r="K312" s="50"/>
      <c r="L312" s="50"/>
    </row>
    <row r="313" spans="1:12" x14ac:dyDescent="0.25">
      <c r="A31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13">
        <v>1110</v>
      </c>
      <c r="C313" t="s">
        <v>409</v>
      </c>
      <c r="D313" s="46"/>
      <c r="E313" t="s">
        <v>953</v>
      </c>
      <c r="F313" s="50"/>
      <c r="G313" t="s">
        <v>3805</v>
      </c>
      <c r="H313" t="s">
        <v>4033</v>
      </c>
      <c r="I313" t="s">
        <v>4034</v>
      </c>
      <c r="J313" s="50" t="str">
        <f>IF(I313="","",_xlfn.XLOOKUP(TRIM(I313),'SkillMasterSkill ID'!$C:$C,'SkillMasterSkill ID'!$F:$F,"NOT FOUND",0))</f>
        <v>NOT FOUND</v>
      </c>
      <c r="K313" s="50"/>
      <c r="L313" s="50"/>
    </row>
    <row r="314" spans="1:12" x14ac:dyDescent="0.25">
      <c r="A31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14">
        <v>1110</v>
      </c>
      <c r="C314" t="s">
        <v>409</v>
      </c>
      <c r="D314" s="46"/>
      <c r="E314" t="s">
        <v>3976</v>
      </c>
      <c r="F314" s="50"/>
      <c r="G314" t="s">
        <v>3805</v>
      </c>
      <c r="H314" t="s">
        <v>3978</v>
      </c>
      <c r="I314" t="s">
        <v>3979</v>
      </c>
      <c r="J314" s="50" t="str">
        <f>IF(I314="","",_xlfn.XLOOKUP(TRIM(I314),'SkillMasterSkill ID'!$C:$C,'SkillMasterSkill ID'!$F:$F,"NOT FOUND",0))</f>
        <v>NOT FOUND</v>
      </c>
      <c r="K314" s="50"/>
      <c r="L314" s="50"/>
    </row>
    <row r="315" spans="1:12" x14ac:dyDescent="0.25">
      <c r="A31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15" t="s">
        <v>3810</v>
      </c>
      <c r="C315" t="s">
        <v>3811</v>
      </c>
      <c r="D315" s="46"/>
      <c r="E315" t="s">
        <v>3087</v>
      </c>
      <c r="F315" s="50"/>
      <c r="G315" t="s">
        <v>3805</v>
      </c>
      <c r="H315" t="s">
        <v>3819</v>
      </c>
      <c r="I315" t="s">
        <v>3820</v>
      </c>
      <c r="J315" s="50" t="str">
        <f>IF(I315="","",_xlfn.XLOOKUP(TRIM(I315),'SkillMasterSkill ID'!$C:$C,'SkillMasterSkill ID'!$F:$F,"NOT FOUND",0))</f>
        <v>NOT FOUND</v>
      </c>
      <c r="K315" s="50"/>
      <c r="L315" s="50"/>
    </row>
    <row r="316" spans="1:12" x14ac:dyDescent="0.25">
      <c r="A31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16" t="s">
        <v>3810</v>
      </c>
      <c r="C316" t="s">
        <v>3811</v>
      </c>
      <c r="D316" s="46"/>
      <c r="E316" t="s">
        <v>3821</v>
      </c>
      <c r="F316" s="50"/>
      <c r="G316" t="s">
        <v>3805</v>
      </c>
      <c r="H316" t="s">
        <v>3823</v>
      </c>
      <c r="I316" t="s">
        <v>3824</v>
      </c>
      <c r="J316" s="50" t="str">
        <f>IF(I316="","",_xlfn.XLOOKUP(TRIM(I316),'SkillMasterSkill ID'!$C:$C,'SkillMasterSkill ID'!$F:$F,"NOT FOUND",0))</f>
        <v>NOT FOUND</v>
      </c>
      <c r="K316" s="50"/>
      <c r="L316" s="50"/>
    </row>
    <row r="317" spans="1:12" x14ac:dyDescent="0.25">
      <c r="A31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17" t="s">
        <v>3810</v>
      </c>
      <c r="C317" t="s">
        <v>3811</v>
      </c>
      <c r="D317" s="46"/>
      <c r="E317" t="s">
        <v>3812</v>
      </c>
      <c r="F317" s="50"/>
      <c r="G317" t="s">
        <v>3805</v>
      </c>
      <c r="H317" t="s">
        <v>3814</v>
      </c>
      <c r="I317" t="s">
        <v>3815</v>
      </c>
      <c r="J317" s="50" t="str">
        <f>IF(I317="","",_xlfn.XLOOKUP(TRIM(I317),'SkillMasterSkill ID'!$C:$C,'SkillMasterSkill ID'!$F:$F,"NOT FOUND",0))</f>
        <v>NOT FOUND</v>
      </c>
      <c r="K317" s="50"/>
      <c r="L317" s="50"/>
    </row>
    <row r="318" spans="1:12" x14ac:dyDescent="0.25">
      <c r="A31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18" t="s">
        <v>3810</v>
      </c>
      <c r="C318" t="s">
        <v>3811</v>
      </c>
      <c r="D318" s="46"/>
      <c r="E318" t="s">
        <v>2207</v>
      </c>
      <c r="F318" s="50"/>
      <c r="G318" t="s">
        <v>3805</v>
      </c>
      <c r="H318" t="s">
        <v>3816</v>
      </c>
      <c r="I318" t="s">
        <v>3817</v>
      </c>
      <c r="J318" s="50" t="str">
        <f>IF(I318="","",_xlfn.XLOOKUP(TRIM(I318),'SkillMasterSkill ID'!$C:$C,'SkillMasterSkill ID'!$F:$F,"NOT FOUND",0))</f>
        <v>NOT FOUND</v>
      </c>
      <c r="K318" s="50"/>
      <c r="L318" s="50"/>
    </row>
    <row r="319" spans="1:12" x14ac:dyDescent="0.25">
      <c r="A31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19" t="s">
        <v>3810</v>
      </c>
      <c r="C319" t="s">
        <v>3811</v>
      </c>
      <c r="D319" s="46"/>
      <c r="E319" t="s">
        <v>961</v>
      </c>
      <c r="F319" s="50"/>
      <c r="G319" t="s">
        <v>3805</v>
      </c>
      <c r="H319" t="s">
        <v>3829</v>
      </c>
      <c r="I319" t="s">
        <v>3830</v>
      </c>
      <c r="J319" s="50" t="str">
        <f>IF(I319="","",_xlfn.XLOOKUP(TRIM(I319),'SkillMasterSkill ID'!$C:$C,'SkillMasterSkill ID'!$F:$F,"NOT FOUND",0))</f>
        <v>NOT FOUND</v>
      </c>
      <c r="K319" s="50"/>
      <c r="L319" s="50"/>
    </row>
    <row r="320" spans="1:12" x14ac:dyDescent="0.25">
      <c r="A32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20" t="s">
        <v>3810</v>
      </c>
      <c r="C320" t="s">
        <v>3811</v>
      </c>
      <c r="D320" s="46"/>
      <c r="E320" t="s">
        <v>3825</v>
      </c>
      <c r="F320" s="50"/>
      <c r="G320" t="s">
        <v>3805</v>
      </c>
      <c r="H320" t="s">
        <v>3827</v>
      </c>
      <c r="I320" t="s">
        <v>3828</v>
      </c>
      <c r="J320" s="50" t="str">
        <f>IF(I320="","",_xlfn.XLOOKUP(TRIM(I320),'SkillMasterSkill ID'!$C:$C,'SkillMasterSkill ID'!$F:$F,"NOT FOUND",0))</f>
        <v>NOT FOUND</v>
      </c>
      <c r="K320" s="50"/>
      <c r="L320" s="50"/>
    </row>
    <row r="321" spans="1:12" x14ac:dyDescent="0.25">
      <c r="A32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21" t="s">
        <v>3810</v>
      </c>
      <c r="C321" t="s">
        <v>3811</v>
      </c>
      <c r="D321" s="46"/>
      <c r="E321" t="s">
        <v>873</v>
      </c>
      <c r="F321" s="50"/>
      <c r="G321" t="s">
        <v>3805</v>
      </c>
      <c r="H321" t="s">
        <v>3831</v>
      </c>
      <c r="I321" t="s">
        <v>2227</v>
      </c>
      <c r="J321" s="50" t="str">
        <f>IF(I321="","",_xlfn.XLOOKUP(TRIM(I321),'SkillMasterSkill ID'!$C:$C,'SkillMasterSkill ID'!$F:$F,"NOT FOUND",0))</f>
        <v>NOT FOUND</v>
      </c>
      <c r="K321" s="50"/>
      <c r="L321" s="50"/>
    </row>
    <row r="322" spans="1:12" x14ac:dyDescent="0.25">
      <c r="A32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22" t="s">
        <v>3350</v>
      </c>
      <c r="C322" t="s">
        <v>3351</v>
      </c>
      <c r="D322" s="46"/>
      <c r="E322" t="s">
        <v>872</v>
      </c>
      <c r="F322" s="50"/>
      <c r="G322" t="s">
        <v>3349</v>
      </c>
      <c r="H322" t="s">
        <v>3353</v>
      </c>
      <c r="I322" t="s">
        <v>3354</v>
      </c>
      <c r="J322" s="50" t="str">
        <f>IF(I322="","",_xlfn.XLOOKUP(TRIM(I322),'SkillMasterSkill ID'!$C:$C,'SkillMasterSkill ID'!$F:$F,"NOT FOUND",0))</f>
        <v>NOT FOUND</v>
      </c>
      <c r="K322" s="50"/>
      <c r="L322" s="50"/>
    </row>
    <row r="323" spans="1:12" x14ac:dyDescent="0.25">
      <c r="A32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23" t="s">
        <v>3350</v>
      </c>
      <c r="C323" t="s">
        <v>3351</v>
      </c>
      <c r="D323" s="46"/>
      <c r="E323" t="s">
        <v>872</v>
      </c>
      <c r="F323" s="50"/>
      <c r="G323" t="s">
        <v>3349</v>
      </c>
      <c r="H323" t="s">
        <v>3355</v>
      </c>
      <c r="I323" t="s">
        <v>1416</v>
      </c>
      <c r="J323" s="50" t="str">
        <f>IF(I323="","",_xlfn.XLOOKUP(TRIM(I323),'SkillMasterSkill ID'!$C:$C,'SkillMasterSkill ID'!$F:$F,"NOT FOUND",0))</f>
        <v>NOT FOUND</v>
      </c>
      <c r="K323" s="50"/>
      <c r="L323" s="50"/>
    </row>
    <row r="324" spans="1:12" x14ac:dyDescent="0.25">
      <c r="A32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24" t="s">
        <v>3350</v>
      </c>
      <c r="C324" t="s">
        <v>3351</v>
      </c>
      <c r="D324" s="46"/>
      <c r="E324" t="s">
        <v>3356</v>
      </c>
      <c r="F324" s="50"/>
      <c r="G324" t="s">
        <v>3349</v>
      </c>
      <c r="H324" t="s">
        <v>3358</v>
      </c>
      <c r="I324" t="s">
        <v>3359</v>
      </c>
      <c r="J324" s="50" t="str">
        <f>IF(I324="","",_xlfn.XLOOKUP(TRIM(I324),'SkillMasterSkill ID'!$C:$C,'SkillMasterSkill ID'!$F:$F,"NOT FOUND",0))</f>
        <v>NOT FOUND</v>
      </c>
      <c r="K324" s="50"/>
      <c r="L324" s="50"/>
    </row>
    <row r="325" spans="1:12" x14ac:dyDescent="0.25">
      <c r="A32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25">
        <v>40100</v>
      </c>
      <c r="C325" t="s">
        <v>739</v>
      </c>
      <c r="D325" s="46"/>
      <c r="E325" t="s">
        <v>3698</v>
      </c>
      <c r="F325" s="50"/>
      <c r="G325" t="s">
        <v>3805</v>
      </c>
      <c r="H325" t="s">
        <v>3881</v>
      </c>
      <c r="I325" t="s">
        <v>3701</v>
      </c>
      <c r="J325" s="50" t="str">
        <f>IF(I325="","",_xlfn.XLOOKUP(TRIM(I325),'SkillMasterSkill ID'!$C:$C,'SkillMasterSkill ID'!$F:$F,"NOT FOUND",0))</f>
        <v>NOT FOUND</v>
      </c>
      <c r="K325" s="50"/>
      <c r="L325" s="50"/>
    </row>
    <row r="326" spans="1:12" x14ac:dyDescent="0.25">
      <c r="A32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26">
        <v>40100</v>
      </c>
      <c r="C326" t="s">
        <v>739</v>
      </c>
      <c r="D326" s="46"/>
      <c r="E326" t="s">
        <v>3843</v>
      </c>
      <c r="F326" s="50"/>
      <c r="G326" t="s">
        <v>3805</v>
      </c>
      <c r="H326" t="s">
        <v>3886</v>
      </c>
      <c r="I326" t="s">
        <v>3887</v>
      </c>
      <c r="J326" s="50" t="str">
        <f>IF(I326="","",_xlfn.XLOOKUP(TRIM(I326),'SkillMasterSkill ID'!$C:$C,'SkillMasterSkill ID'!$F:$F,"NOT FOUND",0))</f>
        <v>NOT FOUND</v>
      </c>
      <c r="K326" s="50"/>
      <c r="L326" s="50"/>
    </row>
    <row r="327" spans="1:12" x14ac:dyDescent="0.25">
      <c r="A32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27">
        <v>40100</v>
      </c>
      <c r="C327" t="s">
        <v>739</v>
      </c>
      <c r="D327" s="46"/>
      <c r="E327" t="s">
        <v>3837</v>
      </c>
      <c r="F327" s="50"/>
      <c r="G327" t="s">
        <v>3805</v>
      </c>
      <c r="H327" t="s">
        <v>3884</v>
      </c>
      <c r="I327" t="s">
        <v>3885</v>
      </c>
      <c r="J327" s="50" t="str">
        <f>IF(I327="","",_xlfn.XLOOKUP(TRIM(I327),'SkillMasterSkill ID'!$C:$C,'SkillMasterSkill ID'!$F:$F,"NOT FOUND",0))</f>
        <v>NOT FOUND</v>
      </c>
      <c r="K327" s="50"/>
      <c r="L327" s="50"/>
    </row>
    <row r="328" spans="1:12" x14ac:dyDescent="0.25">
      <c r="A32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28">
        <v>40100</v>
      </c>
      <c r="C328" t="s">
        <v>739</v>
      </c>
      <c r="D328" s="46"/>
      <c r="E328" t="s">
        <v>2207</v>
      </c>
      <c r="F328" s="50"/>
      <c r="G328" t="s">
        <v>3805</v>
      </c>
      <c r="H328" t="s">
        <v>3882</v>
      </c>
      <c r="I328" t="s">
        <v>3883</v>
      </c>
      <c r="J328" s="50" t="str">
        <f>IF(I328="","",_xlfn.XLOOKUP(TRIM(I328),'SkillMasterSkill ID'!$C:$C,'SkillMasterSkill ID'!$F:$F,"NOT FOUND",0))</f>
        <v>NOT FOUND</v>
      </c>
      <c r="K328" s="50"/>
      <c r="L328" s="50"/>
    </row>
    <row r="329" spans="1:12" x14ac:dyDescent="0.25">
      <c r="A32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29" t="s">
        <v>403</v>
      </c>
      <c r="C329" t="s">
        <v>3567</v>
      </c>
      <c r="D329" s="46"/>
      <c r="E329" t="s">
        <v>2937</v>
      </c>
      <c r="F329" s="50"/>
      <c r="G329" t="s">
        <v>3566</v>
      </c>
      <c r="H329" t="s">
        <v>3568</v>
      </c>
      <c r="I329" t="s">
        <v>3569</v>
      </c>
      <c r="J329" s="50" t="str">
        <f>IF(I329="","",_xlfn.XLOOKUP(TRIM(I329),'SkillMasterSkill ID'!$C:$C,'SkillMasterSkill ID'!$F:$F,"NOT FOUND",0))</f>
        <v>NOT FOUND</v>
      </c>
      <c r="K329" s="50"/>
      <c r="L329" s="50"/>
    </row>
    <row r="330" spans="1:12" x14ac:dyDescent="0.25">
      <c r="A33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30" t="s">
        <v>403</v>
      </c>
      <c r="C330" t="s">
        <v>3567</v>
      </c>
      <c r="D330" s="46"/>
      <c r="E330" t="s">
        <v>1470</v>
      </c>
      <c r="F330" s="50"/>
      <c r="G330" t="s">
        <v>3588</v>
      </c>
      <c r="H330" t="s">
        <v>3590</v>
      </c>
      <c r="I330" t="s">
        <v>3591</v>
      </c>
      <c r="J330" s="50" t="str">
        <f>IF(I330="","",_xlfn.XLOOKUP(TRIM(I330),'SkillMasterSkill ID'!$C:$C,'SkillMasterSkill ID'!$F:$F,"NOT FOUND",0))</f>
        <v>NOT FOUND</v>
      </c>
      <c r="K330" s="50"/>
      <c r="L330" s="50"/>
    </row>
    <row r="331" spans="1:12" x14ac:dyDescent="0.25">
      <c r="A33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31" t="s">
        <v>403</v>
      </c>
      <c r="C331" t="s">
        <v>3567</v>
      </c>
      <c r="D331" s="46"/>
      <c r="E331" t="s">
        <v>3580</v>
      </c>
      <c r="F331" s="50"/>
      <c r="G331" t="s">
        <v>3574</v>
      </c>
      <c r="H331" t="s">
        <v>3581</v>
      </c>
      <c r="I331" t="s">
        <v>3582</v>
      </c>
      <c r="J331" s="50" t="str">
        <f>IF(I331="","",_xlfn.XLOOKUP(TRIM(I331),'SkillMasterSkill ID'!$C:$C,'SkillMasterSkill ID'!$F:$F,"NOT FOUND",0))</f>
        <v>NOT FOUND</v>
      </c>
      <c r="K331" s="50"/>
      <c r="L331" s="50"/>
    </row>
    <row r="332" spans="1:12" x14ac:dyDescent="0.25">
      <c r="A33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32" t="s">
        <v>403</v>
      </c>
      <c r="C332" t="s">
        <v>3567</v>
      </c>
      <c r="D332" s="46"/>
      <c r="E332" t="s">
        <v>3592</v>
      </c>
      <c r="F332" s="50"/>
      <c r="G332" t="s">
        <v>3588</v>
      </c>
      <c r="H332" t="s">
        <v>3594</v>
      </c>
      <c r="I332" t="s">
        <v>3595</v>
      </c>
      <c r="J332" s="50" t="str">
        <f>IF(I332="","",_xlfn.XLOOKUP(TRIM(I332),'SkillMasterSkill ID'!$C:$C,'SkillMasterSkill ID'!$F:$F,"NOT FOUND",0))</f>
        <v>NOT FOUND</v>
      </c>
      <c r="K332" s="50"/>
      <c r="L332" s="50"/>
    </row>
    <row r="333" spans="1:12" x14ac:dyDescent="0.25">
      <c r="A33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33" t="s">
        <v>403</v>
      </c>
      <c r="C333" t="s">
        <v>3567</v>
      </c>
      <c r="D333" s="46"/>
      <c r="E333" t="s">
        <v>873</v>
      </c>
      <c r="F333" s="50"/>
      <c r="G333" t="s">
        <v>3598</v>
      </c>
      <c r="H333" t="s">
        <v>3599</v>
      </c>
      <c r="I333" t="s">
        <v>3040</v>
      </c>
      <c r="J333" s="50" t="str">
        <f>IF(I333="","",_xlfn.XLOOKUP(TRIM(I333),'SkillMasterSkill ID'!$C:$C,'SkillMasterSkill ID'!$F:$F,"NOT FOUND",0))</f>
        <v>NOT FOUND</v>
      </c>
      <c r="K333" s="50"/>
      <c r="L333" s="50"/>
    </row>
    <row r="334" spans="1:12" x14ac:dyDescent="0.25">
      <c r="A33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34" t="s">
        <v>403</v>
      </c>
      <c r="C334" t="s">
        <v>3567</v>
      </c>
      <c r="D334" s="46"/>
      <c r="E334" t="s">
        <v>3304</v>
      </c>
      <c r="F334" s="50"/>
      <c r="G334" t="s">
        <v>3583</v>
      </c>
      <c r="H334" t="s">
        <v>3584</v>
      </c>
      <c r="I334" t="s">
        <v>3268</v>
      </c>
      <c r="J334" s="50" t="str">
        <f>IF(I334="","",_xlfn.XLOOKUP(TRIM(I334),'SkillMasterSkill ID'!$C:$C,'SkillMasterSkill ID'!$F:$F,"NOT FOUND",0))</f>
        <v>NOT FOUND</v>
      </c>
      <c r="K334" s="50"/>
      <c r="L334" s="50"/>
    </row>
    <row r="335" spans="1:12" x14ac:dyDescent="0.25">
      <c r="A33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35" t="s">
        <v>403</v>
      </c>
      <c r="C335" t="s">
        <v>3567</v>
      </c>
      <c r="D335" s="46"/>
      <c r="E335" t="s">
        <v>2937</v>
      </c>
      <c r="F335" s="50"/>
      <c r="G335" t="s">
        <v>3566</v>
      </c>
      <c r="H335" t="s">
        <v>3570</v>
      </c>
      <c r="I335" t="s">
        <v>3571</v>
      </c>
      <c r="J335" s="50" t="str">
        <f>IF(I335="","",_xlfn.XLOOKUP(TRIM(I335),'SkillMasterSkill ID'!$C:$C,'SkillMasterSkill ID'!$F:$F,"NOT FOUND",0))</f>
        <v>NOT FOUND</v>
      </c>
      <c r="K335" s="50"/>
      <c r="L335" s="50"/>
    </row>
    <row r="336" spans="1:12" x14ac:dyDescent="0.25">
      <c r="A33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36" t="s">
        <v>403</v>
      </c>
      <c r="C336" t="s">
        <v>3567</v>
      </c>
      <c r="D336" s="46"/>
      <c r="E336" t="s">
        <v>2937</v>
      </c>
      <c r="F336" s="50"/>
      <c r="G336" t="s">
        <v>3566</v>
      </c>
      <c r="H336" t="s">
        <v>3572</v>
      </c>
      <c r="I336" t="s">
        <v>3573</v>
      </c>
      <c r="J336" s="50" t="str">
        <f>IF(I336="","",_xlfn.XLOOKUP(TRIM(I336),'SkillMasterSkill ID'!$C:$C,'SkillMasterSkill ID'!$F:$F,"NOT FOUND",0))</f>
        <v>NOT FOUND</v>
      </c>
      <c r="K336" s="50"/>
      <c r="L336" s="50"/>
    </row>
    <row r="337" spans="1:12" x14ac:dyDescent="0.25">
      <c r="A33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37" t="s">
        <v>403</v>
      </c>
      <c r="C337" t="s">
        <v>3567</v>
      </c>
      <c r="D337" s="46"/>
      <c r="E337" t="s">
        <v>1371</v>
      </c>
      <c r="F337" s="50"/>
      <c r="G337" t="s">
        <v>3583</v>
      </c>
      <c r="H337" t="s">
        <v>3586</v>
      </c>
      <c r="I337" t="s">
        <v>3587</v>
      </c>
      <c r="J337" s="50" t="str">
        <f>IF(I337="","",_xlfn.XLOOKUP(TRIM(I337),'SkillMasterSkill ID'!$C:$C,'SkillMasterSkill ID'!$F:$F,"NOT FOUND",0))</f>
        <v>NOT FOUND</v>
      </c>
      <c r="K337" s="50"/>
      <c r="L337" s="50"/>
    </row>
    <row r="338" spans="1:12" x14ac:dyDescent="0.25">
      <c r="A33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38" t="s">
        <v>403</v>
      </c>
      <c r="C338" t="s">
        <v>3567</v>
      </c>
      <c r="D338" s="46"/>
      <c r="E338" t="s">
        <v>3240</v>
      </c>
      <c r="F338" s="50"/>
      <c r="G338" t="s">
        <v>3598</v>
      </c>
      <c r="H338" t="s">
        <v>3602</v>
      </c>
      <c r="I338" t="s">
        <v>3603</v>
      </c>
      <c r="J338" s="50" t="str">
        <f>IF(I338="","",_xlfn.XLOOKUP(TRIM(I338),'SkillMasterSkill ID'!$C:$C,'SkillMasterSkill ID'!$F:$F,"NOT FOUND",0))</f>
        <v>NOT FOUND</v>
      </c>
      <c r="K338" s="50"/>
      <c r="L338" s="50"/>
    </row>
    <row r="339" spans="1:12" x14ac:dyDescent="0.25">
      <c r="A33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39" t="s">
        <v>403</v>
      </c>
      <c r="C339" t="s">
        <v>3567</v>
      </c>
      <c r="D339" s="46"/>
      <c r="E339" t="s">
        <v>3295</v>
      </c>
      <c r="F339" s="50"/>
      <c r="G339" t="s">
        <v>3574</v>
      </c>
      <c r="H339" t="s">
        <v>3578</v>
      </c>
      <c r="I339" t="s">
        <v>3579</v>
      </c>
      <c r="J339" s="50" t="str">
        <f>IF(I339="","",_xlfn.XLOOKUP(TRIM(I339),'SkillMasterSkill ID'!$C:$C,'SkillMasterSkill ID'!$F:$F,"NOT FOUND",0))</f>
        <v>NOT FOUND</v>
      </c>
      <c r="K339" s="50"/>
      <c r="L339" s="50"/>
    </row>
    <row r="340" spans="1:12" x14ac:dyDescent="0.25">
      <c r="A34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40" t="s">
        <v>403</v>
      </c>
      <c r="C340" t="s">
        <v>3567</v>
      </c>
      <c r="D340" s="46"/>
      <c r="E340" t="s">
        <v>873</v>
      </c>
      <c r="F340" s="50"/>
      <c r="G340" t="s">
        <v>3598</v>
      </c>
      <c r="H340" t="s">
        <v>3600</v>
      </c>
      <c r="I340" t="s">
        <v>3601</v>
      </c>
      <c r="J340" s="50" t="str">
        <f>IF(I340="","",_xlfn.XLOOKUP(TRIM(I340),'SkillMasterSkill ID'!$C:$C,'SkillMasterSkill ID'!$F:$F,"NOT FOUND",0))</f>
        <v>NOT FOUND</v>
      </c>
      <c r="K340" s="50"/>
      <c r="L340" s="50"/>
    </row>
    <row r="341" spans="1:12" x14ac:dyDescent="0.25">
      <c r="A34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41" t="s">
        <v>403</v>
      </c>
      <c r="C341" t="s">
        <v>3567</v>
      </c>
      <c r="D341" s="46"/>
      <c r="E341" t="s">
        <v>1371</v>
      </c>
      <c r="F341" s="50"/>
      <c r="G341" t="s">
        <v>3583</v>
      </c>
      <c r="H341" t="s">
        <v>3585</v>
      </c>
      <c r="I341" t="s">
        <v>2943</v>
      </c>
      <c r="J341" s="50" t="str">
        <f>IF(I341="","",_xlfn.XLOOKUP(TRIM(I341),'SkillMasterSkill ID'!$C:$C,'SkillMasterSkill ID'!$F:$F,"NOT FOUND",0))</f>
        <v>NOT FOUND</v>
      </c>
      <c r="K341" s="50"/>
      <c r="L341" s="50"/>
    </row>
    <row r="342" spans="1:12" x14ac:dyDescent="0.25">
      <c r="A34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42" t="s">
        <v>403</v>
      </c>
      <c r="C342" t="s">
        <v>3567</v>
      </c>
      <c r="D342" s="46"/>
      <c r="E342" t="s">
        <v>3295</v>
      </c>
      <c r="F342" s="50"/>
      <c r="G342" t="s">
        <v>3574</v>
      </c>
      <c r="H342" t="s">
        <v>3576</v>
      </c>
      <c r="I342" t="s">
        <v>3577</v>
      </c>
      <c r="J342" s="50" t="str">
        <f>IF(I342="","",_xlfn.XLOOKUP(TRIM(I342),'SkillMasterSkill ID'!$C:$C,'SkillMasterSkill ID'!$F:$F,"NOT FOUND",0))</f>
        <v>NOT FOUND</v>
      </c>
      <c r="K342" s="50"/>
      <c r="L342" s="50"/>
    </row>
    <row r="343" spans="1:12" x14ac:dyDescent="0.25">
      <c r="A34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43" t="s">
        <v>403</v>
      </c>
      <c r="C343" t="s">
        <v>3567</v>
      </c>
      <c r="D343" s="46"/>
      <c r="E343" t="s">
        <v>3592</v>
      </c>
      <c r="F343" s="50"/>
      <c r="G343" t="s">
        <v>3588</v>
      </c>
      <c r="H343" t="s">
        <v>3596</v>
      </c>
      <c r="I343" t="s">
        <v>3597</v>
      </c>
      <c r="J343" s="50" t="str">
        <f>IF(I343="","",_xlfn.XLOOKUP(TRIM(I343),'SkillMasterSkill ID'!$C:$C,'SkillMasterSkill ID'!$F:$F,"NOT FOUND",0))</f>
        <v>NOT FOUND</v>
      </c>
      <c r="K343" s="50"/>
      <c r="L343" s="50"/>
    </row>
    <row r="344" spans="1:12" x14ac:dyDescent="0.25">
      <c r="A34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44">
        <v>1101</v>
      </c>
      <c r="C344" t="s">
        <v>3640</v>
      </c>
      <c r="D344" s="46"/>
      <c r="E344" t="s">
        <v>3372</v>
      </c>
      <c r="F344" s="50"/>
      <c r="G344" t="s">
        <v>3657</v>
      </c>
      <c r="H344" t="s">
        <v>3659</v>
      </c>
      <c r="I344" t="s">
        <v>3660</v>
      </c>
      <c r="J344" s="50" t="str">
        <f>IF(I344="","",_xlfn.XLOOKUP(TRIM(I344),'SkillMasterSkill ID'!$C:$C,'SkillMasterSkill ID'!$F:$F,"NOT FOUND",0))</f>
        <v>NOT FOUND</v>
      </c>
      <c r="K344" s="50"/>
      <c r="L344" s="50"/>
    </row>
    <row r="345" spans="1:12" x14ac:dyDescent="0.25">
      <c r="A34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45">
        <v>1101</v>
      </c>
      <c r="C345" t="s">
        <v>3640</v>
      </c>
      <c r="D345" s="46"/>
      <c r="E345" t="s">
        <v>3670</v>
      </c>
      <c r="F345" s="50"/>
      <c r="G345" t="s">
        <v>3669</v>
      </c>
      <c r="H345" t="s">
        <v>3672</v>
      </c>
      <c r="I345" t="s">
        <v>3538</v>
      </c>
      <c r="J345" s="50" t="str">
        <f>IF(I345="","",_xlfn.XLOOKUP(TRIM(I345),'SkillMasterSkill ID'!$C:$C,'SkillMasterSkill ID'!$F:$F,"NOT FOUND",0))</f>
        <v>NOT FOUND</v>
      </c>
      <c r="K345" s="50"/>
      <c r="L345" s="50"/>
    </row>
    <row r="346" spans="1:12" x14ac:dyDescent="0.25">
      <c r="A34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46">
        <v>1101</v>
      </c>
      <c r="C346" t="s">
        <v>3640</v>
      </c>
      <c r="D346" s="46"/>
      <c r="E346" t="s">
        <v>2451</v>
      </c>
      <c r="F346" s="50"/>
      <c r="G346" t="s">
        <v>3647</v>
      </c>
      <c r="H346" t="s">
        <v>3649</v>
      </c>
      <c r="I346" t="s">
        <v>3650</v>
      </c>
      <c r="J346" s="50" t="str">
        <f>IF(I346="","",_xlfn.XLOOKUP(TRIM(I346),'SkillMasterSkill ID'!$C:$C,'SkillMasterSkill ID'!$F:$F,"NOT FOUND",0))</f>
        <v>NOT FOUND</v>
      </c>
      <c r="K346" s="50"/>
      <c r="L346" s="50"/>
    </row>
    <row r="347" spans="1:12" x14ac:dyDescent="0.25">
      <c r="A34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47">
        <v>1101</v>
      </c>
      <c r="C347" t="s">
        <v>3640</v>
      </c>
      <c r="D347" s="46"/>
      <c r="E347" t="s">
        <v>2436</v>
      </c>
      <c r="F347" s="50"/>
      <c r="G347" t="s">
        <v>3677</v>
      </c>
      <c r="H347" t="s">
        <v>3679</v>
      </c>
      <c r="I347" t="s">
        <v>3680</v>
      </c>
      <c r="J347" s="50" t="str">
        <f>IF(I347="","",_xlfn.XLOOKUP(TRIM(I347),'SkillMasterSkill ID'!$C:$C,'SkillMasterSkill ID'!$F:$F,"NOT FOUND",0))</f>
        <v>NOT FOUND</v>
      </c>
      <c r="K347" s="50"/>
      <c r="L347" s="50"/>
    </row>
    <row r="348" spans="1:12" x14ac:dyDescent="0.25">
      <c r="A34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48">
        <v>1101</v>
      </c>
      <c r="C348" t="s">
        <v>3640</v>
      </c>
      <c r="D348" s="46"/>
      <c r="E348" t="s">
        <v>2436</v>
      </c>
      <c r="F348" s="50"/>
      <c r="G348" t="s">
        <v>3677</v>
      </c>
      <c r="H348" t="s">
        <v>3681</v>
      </c>
      <c r="I348" t="s">
        <v>3682</v>
      </c>
      <c r="J348" s="50" t="str">
        <f>IF(I348="","",_xlfn.XLOOKUP(TRIM(I348),'SkillMasterSkill ID'!$C:$C,'SkillMasterSkill ID'!$F:$F,"NOT FOUND",0))</f>
        <v>NOT FOUND</v>
      </c>
      <c r="K348" s="50"/>
      <c r="L348" s="50"/>
    </row>
    <row r="349" spans="1:12" x14ac:dyDescent="0.25">
      <c r="A34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49">
        <v>1101</v>
      </c>
      <c r="C349" t="s">
        <v>3640</v>
      </c>
      <c r="D349" s="46"/>
      <c r="E349" t="s">
        <v>3651</v>
      </c>
      <c r="F349" s="50"/>
      <c r="G349" t="s">
        <v>3647</v>
      </c>
      <c r="H349" t="s">
        <v>3653</v>
      </c>
      <c r="I349" t="s">
        <v>3654</v>
      </c>
      <c r="J349" s="50" t="str">
        <f>IF(I349="","",_xlfn.XLOOKUP(TRIM(I349),'SkillMasterSkill ID'!$C:$C,'SkillMasterSkill ID'!$F:$F,"NOT FOUND",0))</f>
        <v>NOT FOUND</v>
      </c>
      <c r="K349" s="50"/>
      <c r="L349" s="50"/>
    </row>
    <row r="350" spans="1:12" x14ac:dyDescent="0.25">
      <c r="A35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50">
        <v>1101</v>
      </c>
      <c r="C350" t="s">
        <v>3640</v>
      </c>
      <c r="D350" s="46"/>
      <c r="E350" t="s">
        <v>3401</v>
      </c>
      <c r="F350" s="50"/>
      <c r="G350" t="s">
        <v>3663</v>
      </c>
      <c r="H350" t="s">
        <v>3667</v>
      </c>
      <c r="I350" t="s">
        <v>3668</v>
      </c>
      <c r="J350" s="50" t="str">
        <f>IF(I350="","",_xlfn.XLOOKUP(TRIM(I350),'SkillMasterSkill ID'!$C:$C,'SkillMasterSkill ID'!$F:$F,"NOT FOUND",0))</f>
        <v>NOT FOUND</v>
      </c>
      <c r="K350" s="50"/>
      <c r="L350" s="50"/>
    </row>
    <row r="351" spans="1:12" x14ac:dyDescent="0.25">
      <c r="A35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51">
        <v>1101</v>
      </c>
      <c r="C351" t="s">
        <v>3640</v>
      </c>
      <c r="D351" s="46"/>
      <c r="E351" t="s">
        <v>3401</v>
      </c>
      <c r="F351" s="50"/>
      <c r="G351" t="s">
        <v>3663</v>
      </c>
      <c r="H351" t="s">
        <v>3665</v>
      </c>
      <c r="I351" t="s">
        <v>3666</v>
      </c>
      <c r="J351" s="50" t="str">
        <f>IF(I351="","",_xlfn.XLOOKUP(TRIM(I351),'SkillMasterSkill ID'!$C:$C,'SkillMasterSkill ID'!$F:$F,"NOT FOUND",0))</f>
        <v>NOT FOUND</v>
      </c>
      <c r="K351" s="50"/>
      <c r="L351" s="50"/>
    </row>
    <row r="352" spans="1:12" x14ac:dyDescent="0.25">
      <c r="A35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52">
        <v>1101</v>
      </c>
      <c r="C352" t="s">
        <v>3640</v>
      </c>
      <c r="D352" s="46"/>
      <c r="E352" t="s">
        <v>963</v>
      </c>
      <c r="F352" s="50"/>
      <c r="G352" t="s">
        <v>3639</v>
      </c>
      <c r="H352" t="s">
        <v>3646</v>
      </c>
      <c r="I352" t="s">
        <v>897</v>
      </c>
      <c r="J352" s="50" t="str">
        <f>IF(I352="","",_xlfn.XLOOKUP(TRIM(I352),'SkillMasterSkill ID'!$C:$C,'SkillMasterSkill ID'!$F:$F,"NOT FOUND",0))</f>
        <v>Ability to communicate clearly and consistently about financial.</v>
      </c>
      <c r="K352" s="50"/>
      <c r="L352" s="50"/>
    </row>
    <row r="353" spans="1:12" x14ac:dyDescent="0.25">
      <c r="A35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53">
        <v>1101</v>
      </c>
      <c r="C353" t="s">
        <v>3640</v>
      </c>
      <c r="D353" s="46"/>
      <c r="E353" t="s">
        <v>963</v>
      </c>
      <c r="F353" s="50"/>
      <c r="G353" t="s">
        <v>3639</v>
      </c>
      <c r="H353" t="s">
        <v>3644</v>
      </c>
      <c r="I353" t="s">
        <v>3645</v>
      </c>
      <c r="J353" s="50" t="str">
        <f>IF(I353="","",_xlfn.XLOOKUP(TRIM(I353),'SkillMasterSkill ID'!$C:$C,'SkillMasterSkill ID'!$F:$F,"NOT FOUND",0))</f>
        <v>NOT FOUND</v>
      </c>
      <c r="K353" s="50"/>
      <c r="L353" s="50"/>
    </row>
    <row r="354" spans="1:12" x14ac:dyDescent="0.25">
      <c r="A35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54">
        <v>1101</v>
      </c>
      <c r="C354" t="s">
        <v>3640</v>
      </c>
      <c r="D354" s="46"/>
      <c r="E354" t="s">
        <v>3655</v>
      </c>
      <c r="F354" s="50"/>
      <c r="G354" t="s">
        <v>3647</v>
      </c>
      <c r="H354" t="s">
        <v>3586</v>
      </c>
      <c r="I354" t="s">
        <v>3547</v>
      </c>
      <c r="J354" s="50" t="str">
        <f>IF(I354="","",_xlfn.XLOOKUP(TRIM(I354),'SkillMasterSkill ID'!$C:$C,'SkillMasterSkill ID'!$F:$F,"NOT FOUND",0))</f>
        <v>NOT FOUND</v>
      </c>
      <c r="K354" s="50"/>
      <c r="L354" s="50"/>
    </row>
    <row r="355" spans="1:12" x14ac:dyDescent="0.25">
      <c r="A35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55">
        <v>1101</v>
      </c>
      <c r="C355" t="s">
        <v>3640</v>
      </c>
      <c r="D355" s="46"/>
      <c r="E355" t="s">
        <v>1441</v>
      </c>
      <c r="F355" s="50"/>
      <c r="G355" t="s">
        <v>3657</v>
      </c>
      <c r="H355" t="s">
        <v>3661</v>
      </c>
      <c r="I355" t="s">
        <v>3662</v>
      </c>
      <c r="J355" s="50" t="str">
        <f>IF(I355="","",_xlfn.XLOOKUP(TRIM(I355),'SkillMasterSkill ID'!$C:$C,'SkillMasterSkill ID'!$F:$F,"NOT FOUND",0))</f>
        <v>NOT FOUND</v>
      </c>
      <c r="K355" s="50"/>
      <c r="L355" s="50"/>
    </row>
    <row r="356" spans="1:12" x14ac:dyDescent="0.25">
      <c r="A35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56">
        <v>1101</v>
      </c>
      <c r="C356" t="s">
        <v>3640</v>
      </c>
      <c r="D356" s="46"/>
      <c r="E356" t="s">
        <v>3673</v>
      </c>
      <c r="F356" s="50"/>
      <c r="G356" t="s">
        <v>3669</v>
      </c>
      <c r="H356" t="s">
        <v>3675</v>
      </c>
      <c r="I356" t="s">
        <v>3676</v>
      </c>
      <c r="J356" s="50" t="str">
        <f>IF(I356="","",_xlfn.XLOOKUP(TRIM(I356),'SkillMasterSkill ID'!$C:$C,'SkillMasterSkill ID'!$F:$F,"NOT FOUND",0))</f>
        <v>NOT FOUND</v>
      </c>
      <c r="K356" s="50"/>
      <c r="L356" s="50"/>
    </row>
    <row r="357" spans="1:12" x14ac:dyDescent="0.25">
      <c r="A35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57">
        <v>1101</v>
      </c>
      <c r="C357" t="s">
        <v>3640</v>
      </c>
      <c r="D357" s="46"/>
      <c r="E357" t="s">
        <v>963</v>
      </c>
      <c r="F357" s="50"/>
      <c r="G357" t="s">
        <v>3639</v>
      </c>
      <c r="H357" t="s">
        <v>3642</v>
      </c>
      <c r="I357" t="s">
        <v>3643</v>
      </c>
      <c r="J357" s="50" t="str">
        <f>IF(I357="","",_xlfn.XLOOKUP(TRIM(I357),'SkillMasterSkill ID'!$C:$C,'SkillMasterSkill ID'!$F:$F,"NOT FOUND",0))</f>
        <v>NOT FOUND</v>
      </c>
      <c r="K357" s="50"/>
      <c r="L357" s="50"/>
    </row>
    <row r="358" spans="1:12" x14ac:dyDescent="0.25">
      <c r="A35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58">
        <v>2101</v>
      </c>
      <c r="C358" t="s">
        <v>3366</v>
      </c>
      <c r="D358" s="46"/>
      <c r="E358" t="s">
        <v>963</v>
      </c>
      <c r="F358" s="50"/>
      <c r="G358" t="s">
        <v>3757</v>
      </c>
      <c r="H358" t="s">
        <v>3759</v>
      </c>
      <c r="I358" t="s">
        <v>3760</v>
      </c>
      <c r="J358" s="50" t="str">
        <f>IF(I358="","",_xlfn.XLOOKUP(TRIM(I358),'SkillMasterSkill ID'!$C:$C,'SkillMasterSkill ID'!$F:$F,"NOT FOUND",0))</f>
        <v>NOT FOUND</v>
      </c>
      <c r="K358" s="50"/>
      <c r="L358" s="50"/>
    </row>
    <row r="359" spans="1:12" x14ac:dyDescent="0.25">
      <c r="A35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59">
        <v>2101</v>
      </c>
      <c r="C359" t="s">
        <v>3366</v>
      </c>
      <c r="D359" s="46"/>
      <c r="E359" t="s">
        <v>3240</v>
      </c>
      <c r="F359" s="50"/>
      <c r="G359" t="s">
        <v>3763</v>
      </c>
      <c r="H359" t="s">
        <v>3769</v>
      </c>
      <c r="I359" t="s">
        <v>3770</v>
      </c>
      <c r="J359" s="50" t="str">
        <f>IF(I359="","",_xlfn.XLOOKUP(TRIM(I359),'SkillMasterSkill ID'!$C:$C,'SkillMasterSkill ID'!$F:$F,"NOT FOUND",0))</f>
        <v>NOT FOUND</v>
      </c>
      <c r="K359" s="50"/>
      <c r="L359" s="50"/>
    </row>
    <row r="360" spans="1:12" x14ac:dyDescent="0.25">
      <c r="A36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60">
        <v>2101</v>
      </c>
      <c r="C360" t="s">
        <v>3366</v>
      </c>
      <c r="D360" s="46"/>
      <c r="E360" t="s">
        <v>951</v>
      </c>
      <c r="F360" s="50"/>
      <c r="G360" t="s">
        <v>3805</v>
      </c>
      <c r="H360" t="s">
        <v>3806</v>
      </c>
      <c r="I360" t="s">
        <v>3807</v>
      </c>
      <c r="J360" s="50" t="str">
        <f>IF(I360="","",_xlfn.XLOOKUP(TRIM(I360),'SkillMasterSkill ID'!$C:$C,'SkillMasterSkill ID'!$F:$F,"NOT FOUND",0))</f>
        <v>NOT FOUND</v>
      </c>
      <c r="K360" s="50"/>
      <c r="L360" s="50"/>
    </row>
    <row r="361" spans="1:12" x14ac:dyDescent="0.25">
      <c r="A36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61">
        <v>2101</v>
      </c>
      <c r="C361" t="s">
        <v>3366</v>
      </c>
      <c r="D361" s="46"/>
      <c r="E361" t="s">
        <v>3304</v>
      </c>
      <c r="F361" s="50"/>
      <c r="G361" t="s">
        <v>3792</v>
      </c>
      <c r="H361" t="s">
        <v>3795</v>
      </c>
      <c r="I361" t="s">
        <v>3796</v>
      </c>
      <c r="J361" s="50" t="str">
        <f>IF(I361="","",_xlfn.XLOOKUP(TRIM(I361),'SkillMasterSkill ID'!$C:$C,'SkillMasterSkill ID'!$F:$F,"NOT FOUND",0))</f>
        <v>NOT FOUND</v>
      </c>
      <c r="K361" s="50"/>
      <c r="L361" s="50"/>
    </row>
    <row r="362" spans="1:12" x14ac:dyDescent="0.25">
      <c r="A36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62">
        <v>2101</v>
      </c>
      <c r="C362" t="s">
        <v>3366</v>
      </c>
      <c r="D362" s="46"/>
      <c r="E362" t="s">
        <v>953</v>
      </c>
      <c r="F362" s="50"/>
      <c r="G362" t="s">
        <v>3805</v>
      </c>
      <c r="H362" t="s">
        <v>3808</v>
      </c>
      <c r="I362" t="s">
        <v>3809</v>
      </c>
      <c r="J362" s="50" t="str">
        <f>IF(I362="","",_xlfn.XLOOKUP(TRIM(I362),'SkillMasterSkill ID'!$C:$C,'SkillMasterSkill ID'!$F:$F,"NOT FOUND",0))</f>
        <v>NOT FOUND</v>
      </c>
      <c r="K362" s="50"/>
      <c r="L362" s="50"/>
    </row>
    <row r="363" spans="1:12" x14ac:dyDescent="0.25">
      <c r="A36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63">
        <v>2101</v>
      </c>
      <c r="C363" t="s">
        <v>3366</v>
      </c>
      <c r="D363" s="46"/>
      <c r="E363" t="s">
        <v>3405</v>
      </c>
      <c r="F363" s="50"/>
      <c r="G363" t="s">
        <v>3771</v>
      </c>
      <c r="H363" t="s">
        <v>3774</v>
      </c>
      <c r="I363" t="s">
        <v>3775</v>
      </c>
      <c r="J363" s="50" t="str">
        <f>IF(I363="","",_xlfn.XLOOKUP(TRIM(I363),'SkillMasterSkill ID'!$C:$C,'SkillMasterSkill ID'!$F:$F,"NOT FOUND",0))</f>
        <v>NOT FOUND</v>
      </c>
      <c r="K363" s="50"/>
      <c r="L363" s="50"/>
    </row>
    <row r="364" spans="1:12" x14ac:dyDescent="0.25">
      <c r="A36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64">
        <v>2101</v>
      </c>
      <c r="C364" t="s">
        <v>3366</v>
      </c>
      <c r="D364" s="46"/>
      <c r="E364" t="s">
        <v>3356</v>
      </c>
      <c r="F364" s="50"/>
      <c r="G364" t="s">
        <v>3750</v>
      </c>
      <c r="H364" t="s">
        <v>3752</v>
      </c>
      <c r="I364" t="s">
        <v>3369</v>
      </c>
      <c r="J364" s="50" t="str">
        <f>IF(I364="","",_xlfn.XLOOKUP(TRIM(I364),'SkillMasterSkill ID'!$C:$C,'SkillMasterSkill ID'!$F:$F,"NOT FOUND",0))</f>
        <v>NOT FOUND</v>
      </c>
      <c r="K364" s="50"/>
      <c r="L364" s="50"/>
    </row>
    <row r="365" spans="1:12" x14ac:dyDescent="0.25">
      <c r="A36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65">
        <v>2101</v>
      </c>
      <c r="C365" t="s">
        <v>3366</v>
      </c>
      <c r="D365" s="46"/>
      <c r="E365" t="s">
        <v>873</v>
      </c>
      <c r="F365" s="50"/>
      <c r="G365" t="s">
        <v>3598</v>
      </c>
      <c r="H365" t="s">
        <v>3804</v>
      </c>
      <c r="I365" t="s">
        <v>3040</v>
      </c>
      <c r="J365" s="50" t="str">
        <f>IF(I365="","",_xlfn.XLOOKUP(TRIM(I365),'SkillMasterSkill ID'!$C:$C,'SkillMasterSkill ID'!$F:$F,"NOT FOUND",0))</f>
        <v>NOT FOUND</v>
      </c>
      <c r="K365" s="50"/>
      <c r="L365" s="50"/>
    </row>
    <row r="366" spans="1:12" x14ac:dyDescent="0.25">
      <c r="A36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66">
        <v>2101</v>
      </c>
      <c r="C366" t="s">
        <v>3366</v>
      </c>
      <c r="D366" s="46"/>
      <c r="E366" t="s">
        <v>955</v>
      </c>
      <c r="F366" s="50"/>
      <c r="G366" t="s">
        <v>3797</v>
      </c>
      <c r="H366" t="s">
        <v>3394</v>
      </c>
      <c r="I366" t="s">
        <v>3395</v>
      </c>
      <c r="J366" s="50" t="str">
        <f>IF(I366="","",_xlfn.XLOOKUP(TRIM(I366),'SkillMasterSkill ID'!$C:$C,'SkillMasterSkill ID'!$F:$F,"NOT FOUND",0))</f>
        <v>NOT FOUND</v>
      </c>
      <c r="K366" s="50"/>
      <c r="L366" s="50"/>
    </row>
    <row r="367" spans="1:12" x14ac:dyDescent="0.25">
      <c r="A36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67">
        <v>2101</v>
      </c>
      <c r="C367" t="s">
        <v>3366</v>
      </c>
      <c r="D367" s="46"/>
      <c r="E367" t="s">
        <v>3304</v>
      </c>
      <c r="F367" s="50"/>
      <c r="G367" t="s">
        <v>3792</v>
      </c>
      <c r="H367" t="s">
        <v>3793</v>
      </c>
      <c r="I367" t="s">
        <v>3794</v>
      </c>
      <c r="J367" s="50" t="str">
        <f>IF(I367="","",_xlfn.XLOOKUP(TRIM(I367),'SkillMasterSkill ID'!$C:$C,'SkillMasterSkill ID'!$F:$F,"NOT FOUND",0))</f>
        <v>NOT FOUND</v>
      </c>
      <c r="K367" s="50"/>
      <c r="L367" s="50"/>
    </row>
    <row r="368" spans="1:12" x14ac:dyDescent="0.25">
      <c r="A36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68">
        <v>2101</v>
      </c>
      <c r="C368" t="s">
        <v>3366</v>
      </c>
      <c r="D368" s="46"/>
      <c r="E368" t="s">
        <v>963</v>
      </c>
      <c r="F368" s="50"/>
      <c r="G368" t="s">
        <v>3757</v>
      </c>
      <c r="H368" t="s">
        <v>3761</v>
      </c>
      <c r="I368" t="s">
        <v>3762</v>
      </c>
      <c r="J368" s="50" t="str">
        <f>IF(I368="","",_xlfn.XLOOKUP(TRIM(I368),'SkillMasterSkill ID'!$C:$C,'SkillMasterSkill ID'!$F:$F,"NOT FOUND",0))</f>
        <v>NOT FOUND</v>
      </c>
      <c r="K368" s="50"/>
      <c r="L368" s="50"/>
    </row>
    <row r="369" spans="1:12" x14ac:dyDescent="0.25">
      <c r="A36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69">
        <v>2101</v>
      </c>
      <c r="C369" t="s">
        <v>3366</v>
      </c>
      <c r="D369" s="46"/>
      <c r="E369" t="s">
        <v>1476</v>
      </c>
      <c r="F369" s="50"/>
      <c r="G369" t="s">
        <v>3413</v>
      </c>
      <c r="H369" t="s">
        <v>3780</v>
      </c>
      <c r="I369" t="s">
        <v>3781</v>
      </c>
      <c r="J369" s="50" t="str">
        <f>IF(I369="","",_xlfn.XLOOKUP(TRIM(I369),'SkillMasterSkill ID'!$C:$C,'SkillMasterSkill ID'!$F:$F,"NOT FOUND",0))</f>
        <v>NOT FOUND</v>
      </c>
      <c r="K369" s="50"/>
      <c r="L369" s="50"/>
    </row>
    <row r="370" spans="1:12" x14ac:dyDescent="0.25">
      <c r="A37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70">
        <v>2101</v>
      </c>
      <c r="C370" t="s">
        <v>3366</v>
      </c>
      <c r="D370" s="46"/>
      <c r="E370" t="s">
        <v>2208</v>
      </c>
      <c r="F370" s="50"/>
      <c r="G370" t="s">
        <v>3425</v>
      </c>
      <c r="H370" t="s">
        <v>3426</v>
      </c>
      <c r="I370" t="s">
        <v>2955</v>
      </c>
      <c r="J370" s="50" t="str">
        <f>IF(I370="","",_xlfn.XLOOKUP(TRIM(I370),'SkillMasterSkill ID'!$C:$C,'SkillMasterSkill ID'!$F:$F,"NOT FOUND",0))</f>
        <v>NOT FOUND</v>
      </c>
      <c r="K370" s="50"/>
      <c r="L370" s="50"/>
    </row>
    <row r="371" spans="1:12" x14ac:dyDescent="0.25">
      <c r="A37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71">
        <v>2101</v>
      </c>
      <c r="C371" t="s">
        <v>3366</v>
      </c>
      <c r="D371" s="46"/>
      <c r="E371" t="s">
        <v>2208</v>
      </c>
      <c r="F371" s="50"/>
      <c r="G371" t="s">
        <v>3425</v>
      </c>
      <c r="H371" t="s">
        <v>3783</v>
      </c>
      <c r="I371" t="s">
        <v>3784</v>
      </c>
      <c r="J371" s="50" t="str">
        <f>IF(I371="","",_xlfn.XLOOKUP(TRIM(I371),'SkillMasterSkill ID'!$C:$C,'SkillMasterSkill ID'!$F:$F,"NOT FOUND",0))</f>
        <v>NOT FOUND</v>
      </c>
      <c r="K371" s="50"/>
      <c r="L371" s="50"/>
    </row>
    <row r="372" spans="1:12" x14ac:dyDescent="0.25">
      <c r="A37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72">
        <v>2101</v>
      </c>
      <c r="C372" t="s">
        <v>3366</v>
      </c>
      <c r="D372" s="46"/>
      <c r="E372" t="s">
        <v>3719</v>
      </c>
      <c r="F372" s="50"/>
      <c r="G372" t="s">
        <v>3785</v>
      </c>
      <c r="H372" t="s">
        <v>3787</v>
      </c>
      <c r="I372" t="s">
        <v>3788</v>
      </c>
      <c r="J372" s="50" t="str">
        <f>IF(I372="","",_xlfn.XLOOKUP(TRIM(I372),'SkillMasterSkill ID'!$C:$C,'SkillMasterSkill ID'!$F:$F,"NOT FOUND",0))</f>
        <v>NOT FOUND</v>
      </c>
      <c r="K372" s="50"/>
      <c r="L372" s="50"/>
    </row>
    <row r="373" spans="1:12" x14ac:dyDescent="0.25">
      <c r="A37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73">
        <v>2101</v>
      </c>
      <c r="C373" t="s">
        <v>3366</v>
      </c>
      <c r="D373" s="46"/>
      <c r="E373" t="s">
        <v>963</v>
      </c>
      <c r="F373" s="50"/>
      <c r="G373" t="s">
        <v>3757</v>
      </c>
      <c r="H373" t="s">
        <v>3397</v>
      </c>
      <c r="I373" t="s">
        <v>3758</v>
      </c>
      <c r="J373" s="50" t="str">
        <f>IF(I373="","",_xlfn.XLOOKUP(TRIM(I373),'SkillMasterSkill ID'!$C:$C,'SkillMasterSkill ID'!$F:$F,"NOT FOUND",0))</f>
        <v>NOT FOUND</v>
      </c>
      <c r="K373" s="50"/>
      <c r="L373" s="50"/>
    </row>
    <row r="374" spans="1:12" x14ac:dyDescent="0.25">
      <c r="A37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74">
        <v>2101</v>
      </c>
      <c r="C374" t="s">
        <v>3366</v>
      </c>
      <c r="D374" s="46"/>
      <c r="E374" t="s">
        <v>3240</v>
      </c>
      <c r="F374" s="50"/>
      <c r="G374" t="s">
        <v>3763</v>
      </c>
      <c r="H374" t="s">
        <v>3765</v>
      </c>
      <c r="I374" t="s">
        <v>3766</v>
      </c>
      <c r="J374" s="50" t="str">
        <f>IF(I374="","",_xlfn.XLOOKUP(TRIM(I374),'SkillMasterSkill ID'!$C:$C,'SkillMasterSkill ID'!$F:$F,"NOT FOUND",0))</f>
        <v>NOT FOUND</v>
      </c>
      <c r="K374" s="50"/>
      <c r="L374" s="50"/>
    </row>
    <row r="375" spans="1:12" x14ac:dyDescent="0.25">
      <c r="A37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75">
        <v>2101</v>
      </c>
      <c r="C375" t="s">
        <v>3366</v>
      </c>
      <c r="D375" s="46"/>
      <c r="E375" t="s">
        <v>3405</v>
      </c>
      <c r="F375" s="50"/>
      <c r="G375" t="s">
        <v>3771</v>
      </c>
      <c r="H375" t="s">
        <v>3773</v>
      </c>
      <c r="I375" t="s">
        <v>2953</v>
      </c>
      <c r="J375" s="50" t="str">
        <f>IF(I375="","",_xlfn.XLOOKUP(TRIM(I375),'SkillMasterSkill ID'!$C:$C,'SkillMasterSkill ID'!$F:$F,"NOT FOUND",0))</f>
        <v>NOT FOUND</v>
      </c>
      <c r="K375" s="50"/>
      <c r="L375" s="50"/>
    </row>
    <row r="376" spans="1:12" x14ac:dyDescent="0.25">
      <c r="A37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76">
        <v>2101</v>
      </c>
      <c r="C376" t="s">
        <v>3366</v>
      </c>
      <c r="D376" s="46"/>
      <c r="E376" t="s">
        <v>3405</v>
      </c>
      <c r="F376" s="50"/>
      <c r="G376" t="s">
        <v>3771</v>
      </c>
      <c r="H376" t="s">
        <v>3776</v>
      </c>
      <c r="I376" t="s">
        <v>3777</v>
      </c>
      <c r="J376" s="50" t="str">
        <f>IF(I376="","",_xlfn.XLOOKUP(TRIM(I376),'SkillMasterSkill ID'!$C:$C,'SkillMasterSkill ID'!$F:$F,"NOT FOUND",0))</f>
        <v>NOT FOUND</v>
      </c>
      <c r="K376" s="50"/>
      <c r="L376" s="50"/>
    </row>
    <row r="377" spans="1:12" x14ac:dyDescent="0.25">
      <c r="A37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77">
        <v>2101</v>
      </c>
      <c r="C377" t="s">
        <v>3366</v>
      </c>
      <c r="D377" s="46"/>
      <c r="E377" t="s">
        <v>3356</v>
      </c>
      <c r="F377" s="50"/>
      <c r="G377" t="s">
        <v>3750</v>
      </c>
      <c r="H377" t="s">
        <v>3755</v>
      </c>
      <c r="I377" t="s">
        <v>3756</v>
      </c>
      <c r="J377" s="50" t="str">
        <f>IF(I377="","",_xlfn.XLOOKUP(TRIM(I377),'SkillMasterSkill ID'!$C:$C,'SkillMasterSkill ID'!$F:$F,"NOT FOUND",0))</f>
        <v>NOT FOUND</v>
      </c>
      <c r="K377" s="50"/>
      <c r="L377" s="50"/>
    </row>
    <row r="378" spans="1:12" x14ac:dyDescent="0.25">
      <c r="A37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78">
        <v>2101</v>
      </c>
      <c r="C378" t="s">
        <v>3366</v>
      </c>
      <c r="D378" s="46"/>
      <c r="E378" t="s">
        <v>3240</v>
      </c>
      <c r="F378" s="50"/>
      <c r="G378" t="s">
        <v>3763</v>
      </c>
      <c r="H378" t="s">
        <v>3767</v>
      </c>
      <c r="I378" t="s">
        <v>3768</v>
      </c>
      <c r="J378" s="50" t="str">
        <f>IF(I378="","",_xlfn.XLOOKUP(TRIM(I378),'SkillMasterSkill ID'!$C:$C,'SkillMasterSkill ID'!$F:$F,"NOT FOUND",0))</f>
        <v>NOT FOUND</v>
      </c>
      <c r="K378" s="50"/>
      <c r="L378" s="50"/>
    </row>
    <row r="379" spans="1:12" x14ac:dyDescent="0.25">
      <c r="A37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79">
        <v>2101</v>
      </c>
      <c r="C379" t="s">
        <v>3366</v>
      </c>
      <c r="D379" s="46"/>
      <c r="E379" t="s">
        <v>3240</v>
      </c>
      <c r="F379" s="50"/>
      <c r="G379" t="s">
        <v>3763</v>
      </c>
      <c r="H379" t="s">
        <v>3764</v>
      </c>
      <c r="I379" t="s">
        <v>3387</v>
      </c>
      <c r="J379" s="50" t="str">
        <f>IF(I379="","",_xlfn.XLOOKUP(TRIM(I379),'SkillMasterSkill ID'!$C:$C,'SkillMasterSkill ID'!$F:$F,"NOT FOUND",0))</f>
        <v>NOT FOUND</v>
      </c>
      <c r="K379" s="50"/>
      <c r="L379" s="50"/>
    </row>
    <row r="380" spans="1:12" x14ac:dyDescent="0.25">
      <c r="A38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80">
        <v>2101</v>
      </c>
      <c r="C380" t="s">
        <v>3366</v>
      </c>
      <c r="D380" s="46"/>
      <c r="E380" t="s">
        <v>873</v>
      </c>
      <c r="F380" s="50"/>
      <c r="G380" t="s">
        <v>3598</v>
      </c>
      <c r="H380" t="s">
        <v>3802</v>
      </c>
      <c r="I380" t="s">
        <v>3803</v>
      </c>
      <c r="J380" s="50" t="str">
        <f>IF(I380="","",_xlfn.XLOOKUP(TRIM(I380),'SkillMasterSkill ID'!$C:$C,'SkillMasterSkill ID'!$F:$F,"NOT FOUND",0))</f>
        <v>NOT FOUND</v>
      </c>
      <c r="K380" s="50"/>
      <c r="L380" s="50"/>
    </row>
    <row r="381" spans="1:12" x14ac:dyDescent="0.25">
      <c r="A38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81">
        <v>2101</v>
      </c>
      <c r="C381" t="s">
        <v>3366</v>
      </c>
      <c r="D381" s="46"/>
      <c r="E381" t="s">
        <v>1470</v>
      </c>
      <c r="F381" s="50"/>
      <c r="G381" t="s">
        <v>3799</v>
      </c>
      <c r="H381" t="s">
        <v>3800</v>
      </c>
      <c r="I381" t="s">
        <v>3291</v>
      </c>
      <c r="J381" s="50" t="str">
        <f>IF(I381="","",_xlfn.XLOOKUP(TRIM(I381),'SkillMasterSkill ID'!$C:$C,'SkillMasterSkill ID'!$F:$F,"NOT FOUND",0))</f>
        <v>NOT FOUND</v>
      </c>
      <c r="K381" s="50"/>
      <c r="L381" s="50"/>
    </row>
    <row r="382" spans="1:12" x14ac:dyDescent="0.25">
      <c r="A38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82">
        <v>2101</v>
      </c>
      <c r="C382" t="s">
        <v>3366</v>
      </c>
      <c r="D382" s="46"/>
      <c r="E382" t="s">
        <v>1371</v>
      </c>
      <c r="F382" s="50"/>
      <c r="G382" t="s">
        <v>3799</v>
      </c>
      <c r="H382" t="s">
        <v>3801</v>
      </c>
      <c r="I382" t="s">
        <v>3054</v>
      </c>
      <c r="J382" s="50" t="str">
        <f>IF(I382="","",_xlfn.XLOOKUP(TRIM(I382),'SkillMasterSkill ID'!$C:$C,'SkillMasterSkill ID'!$F:$F,"NOT FOUND",0))</f>
        <v>NOT FOUND</v>
      </c>
      <c r="K382" s="50"/>
      <c r="L382" s="50"/>
    </row>
    <row r="383" spans="1:12" x14ac:dyDescent="0.25">
      <c r="A38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83">
        <v>2101</v>
      </c>
      <c r="C383" t="s">
        <v>3366</v>
      </c>
      <c r="D383" s="46"/>
      <c r="E383" t="s">
        <v>1448</v>
      </c>
      <c r="F383" s="50"/>
      <c r="G383" t="s">
        <v>3785</v>
      </c>
      <c r="H383" t="s">
        <v>3789</v>
      </c>
      <c r="I383" t="s">
        <v>2923</v>
      </c>
      <c r="J383" s="50" t="str">
        <f>IF(I383="","",_xlfn.XLOOKUP(TRIM(I383),'SkillMasterSkill ID'!$C:$C,'SkillMasterSkill ID'!$F:$F,"NOT FOUND",0))</f>
        <v>NOT FOUND</v>
      </c>
      <c r="K383" s="50"/>
      <c r="L383" s="50"/>
    </row>
    <row r="384" spans="1:12" x14ac:dyDescent="0.25">
      <c r="A38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84">
        <v>2101</v>
      </c>
      <c r="C384" t="s">
        <v>3366</v>
      </c>
      <c r="D384" s="46"/>
      <c r="E384" t="s">
        <v>3356</v>
      </c>
      <c r="F384" s="50"/>
      <c r="G384" t="s">
        <v>3750</v>
      </c>
      <c r="H384" t="s">
        <v>3753</v>
      </c>
      <c r="I384" t="s">
        <v>3754</v>
      </c>
      <c r="J384" s="50" t="str">
        <f>IF(I384="","",_xlfn.XLOOKUP(TRIM(I384),'SkillMasterSkill ID'!$C:$C,'SkillMasterSkill ID'!$F:$F,"NOT FOUND",0))</f>
        <v>NOT FOUND</v>
      </c>
      <c r="K384" s="50"/>
      <c r="L384" s="50"/>
    </row>
    <row r="385" spans="1:12" x14ac:dyDescent="0.25">
      <c r="A38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85">
        <v>2101</v>
      </c>
      <c r="C385" t="s">
        <v>3366</v>
      </c>
      <c r="D385" s="46"/>
      <c r="E385" t="s">
        <v>3295</v>
      </c>
      <c r="F385" s="50"/>
      <c r="G385" t="s">
        <v>3797</v>
      </c>
      <c r="H385" t="s">
        <v>3392</v>
      </c>
      <c r="I385" t="s">
        <v>3798</v>
      </c>
      <c r="J385" s="50" t="str">
        <f>IF(I385="","",_xlfn.XLOOKUP(TRIM(I385),'SkillMasterSkill ID'!$C:$C,'SkillMasterSkill ID'!$F:$F,"NOT FOUND",0))</f>
        <v>NOT FOUND</v>
      </c>
      <c r="K385" s="50"/>
      <c r="L385" s="50"/>
    </row>
    <row r="386" spans="1:12" x14ac:dyDescent="0.25">
      <c r="A38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86">
        <v>2101</v>
      </c>
      <c r="C386" t="s">
        <v>3366</v>
      </c>
      <c r="D386" s="46"/>
      <c r="E386" t="s">
        <v>3419</v>
      </c>
      <c r="F386" s="50"/>
      <c r="G386" t="s">
        <v>3413</v>
      </c>
      <c r="H386" t="s">
        <v>3421</v>
      </c>
      <c r="I386" t="s">
        <v>3742</v>
      </c>
      <c r="J386" s="50" t="str">
        <f>IF(I386="","",_xlfn.XLOOKUP(TRIM(I386),'SkillMasterSkill ID'!$C:$C,'SkillMasterSkill ID'!$F:$F,"NOT FOUND",0))</f>
        <v>NOT FOUND</v>
      </c>
      <c r="K386" s="50"/>
      <c r="L386" s="50"/>
    </row>
    <row r="387" spans="1:12" x14ac:dyDescent="0.25">
      <c r="A38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87">
        <v>2101</v>
      </c>
      <c r="C387" t="s">
        <v>3366</v>
      </c>
      <c r="D387" s="46"/>
      <c r="E387" t="s">
        <v>3419</v>
      </c>
      <c r="F387" s="50"/>
      <c r="G387" t="s">
        <v>3413</v>
      </c>
      <c r="H387" t="s">
        <v>3423</v>
      </c>
      <c r="I387" t="s">
        <v>3782</v>
      </c>
      <c r="J387" s="50" t="str">
        <f>IF(I387="","",_xlfn.XLOOKUP(TRIM(I387),'SkillMasterSkill ID'!$C:$C,'SkillMasterSkill ID'!$F:$F,"NOT FOUND",0))</f>
        <v>NOT FOUND</v>
      </c>
      <c r="K387" s="50"/>
      <c r="L387" s="50"/>
    </row>
    <row r="388" spans="1:12" x14ac:dyDescent="0.25">
      <c r="A38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88">
        <v>2101</v>
      </c>
      <c r="C388" t="s">
        <v>3366</v>
      </c>
      <c r="D388" s="46"/>
      <c r="E388" t="s">
        <v>3719</v>
      </c>
      <c r="F388" s="50"/>
      <c r="G388" t="s">
        <v>3785</v>
      </c>
      <c r="H388" t="s">
        <v>3790</v>
      </c>
      <c r="I388" t="s">
        <v>3791</v>
      </c>
      <c r="J388" s="50" t="str">
        <f>IF(I388="","",_xlfn.XLOOKUP(TRIM(I388),'SkillMasterSkill ID'!$C:$C,'SkillMasterSkill ID'!$F:$F,"NOT FOUND",0))</f>
        <v>NOT FOUND</v>
      </c>
      <c r="K388" s="50"/>
      <c r="L388" s="50"/>
    </row>
    <row r="389" spans="1:12" x14ac:dyDescent="0.25">
      <c r="A38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89">
        <v>2101</v>
      </c>
      <c r="C389" t="s">
        <v>3366</v>
      </c>
      <c r="D389" s="46"/>
      <c r="E389" t="s">
        <v>1476</v>
      </c>
      <c r="F389" s="50"/>
      <c r="G389" t="s">
        <v>3413</v>
      </c>
      <c r="H389" t="s">
        <v>3778</v>
      </c>
      <c r="I389" t="s">
        <v>3779</v>
      </c>
      <c r="J389" s="50" t="str">
        <f>IF(I389="","",_xlfn.XLOOKUP(TRIM(I389),'SkillMasterSkill ID'!$C:$C,'SkillMasterSkill ID'!$F:$F,"NOT FOUND",0))</f>
        <v>NOT FOUND</v>
      </c>
      <c r="K389" s="50"/>
      <c r="L389" s="50"/>
    </row>
    <row r="390" spans="1:12" x14ac:dyDescent="0.25">
      <c r="A39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90" t="s">
        <v>747</v>
      </c>
      <c r="C390" t="s">
        <v>3366</v>
      </c>
      <c r="D390" s="46"/>
      <c r="E390" t="s">
        <v>3375</v>
      </c>
      <c r="F390" s="50"/>
      <c r="G390" t="s">
        <v>3374</v>
      </c>
      <c r="H390" t="s">
        <v>3377</v>
      </c>
      <c r="I390" t="s">
        <v>3378</v>
      </c>
      <c r="J390" s="50" t="str">
        <f>IF(I390="","",_xlfn.XLOOKUP(TRIM(I390),'SkillMasterSkill ID'!$C:$C,'SkillMasterSkill ID'!$F:$F,"NOT FOUND",0))</f>
        <v>NOT FOUND</v>
      </c>
      <c r="K390" s="50"/>
      <c r="L390" s="50"/>
    </row>
    <row r="391" spans="1:12" x14ac:dyDescent="0.25">
      <c r="A39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91" t="s">
        <v>747</v>
      </c>
      <c r="C391" t="s">
        <v>3366</v>
      </c>
      <c r="D391" s="46"/>
      <c r="E391" t="s">
        <v>3401</v>
      </c>
      <c r="F391" s="50"/>
      <c r="G391" t="s">
        <v>3396</v>
      </c>
      <c r="H391" t="s">
        <v>3403</v>
      </c>
      <c r="I391" t="s">
        <v>3161</v>
      </c>
      <c r="J391" s="50" t="str">
        <f>IF(I391="","",_xlfn.XLOOKUP(TRIM(I391),'SkillMasterSkill ID'!$C:$C,'SkillMasterSkill ID'!$F:$F,"NOT FOUND",0))</f>
        <v>NOT FOUND</v>
      </c>
      <c r="K391" s="50"/>
      <c r="L391" s="50"/>
    </row>
    <row r="392" spans="1:12" x14ac:dyDescent="0.25">
      <c r="A39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92" t="s">
        <v>747</v>
      </c>
      <c r="C392" t="s">
        <v>3366</v>
      </c>
      <c r="D392" s="46"/>
      <c r="E392" t="s">
        <v>2430</v>
      </c>
      <c r="F392" s="50"/>
      <c r="G392" t="s">
        <v>3450</v>
      </c>
      <c r="H392" t="s">
        <v>3456</v>
      </c>
      <c r="I392" t="s">
        <v>3457</v>
      </c>
      <c r="J392" s="50" t="str">
        <f>IF(I392="","",_xlfn.XLOOKUP(TRIM(I392),'SkillMasterSkill ID'!$C:$C,'SkillMasterSkill ID'!$F:$F,"NOT FOUND",0))</f>
        <v>NOT FOUND</v>
      </c>
      <c r="K392" s="50"/>
      <c r="L392" s="50"/>
    </row>
    <row r="393" spans="1:12" x14ac:dyDescent="0.25">
      <c r="A39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93" t="s">
        <v>747</v>
      </c>
      <c r="C393" t="s">
        <v>3366</v>
      </c>
      <c r="D393" s="46"/>
      <c r="E393" t="s">
        <v>3451</v>
      </c>
      <c r="F393" s="50"/>
      <c r="G393" t="s">
        <v>3450</v>
      </c>
      <c r="H393" t="s">
        <v>3453</v>
      </c>
      <c r="I393" t="s">
        <v>3454</v>
      </c>
      <c r="J393" s="50" t="str">
        <f>IF(I393="","",_xlfn.XLOOKUP(TRIM(I393),'SkillMasterSkill ID'!$C:$C,'SkillMasterSkill ID'!$F:$F,"NOT FOUND",0))</f>
        <v>NOT FOUND</v>
      </c>
      <c r="K393" s="50"/>
      <c r="L393" s="50"/>
    </row>
    <row r="394" spans="1:12" x14ac:dyDescent="0.25">
      <c r="A39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94" t="s">
        <v>747</v>
      </c>
      <c r="C394" t="s">
        <v>3366</v>
      </c>
      <c r="D394" s="46"/>
      <c r="E394" t="s">
        <v>3356</v>
      </c>
      <c r="F394" s="50"/>
      <c r="G394" t="s">
        <v>3365</v>
      </c>
      <c r="H394" t="s">
        <v>3368</v>
      </c>
      <c r="I394" t="s">
        <v>3369</v>
      </c>
      <c r="J394" s="50" t="str">
        <f>IF(I394="","",_xlfn.XLOOKUP(TRIM(I394),'SkillMasterSkill ID'!$C:$C,'SkillMasterSkill ID'!$F:$F,"NOT FOUND",0))</f>
        <v>NOT FOUND</v>
      </c>
      <c r="K394" s="50"/>
      <c r="L394" s="50"/>
    </row>
    <row r="395" spans="1:12" x14ac:dyDescent="0.25">
      <c r="A39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95" t="s">
        <v>747</v>
      </c>
      <c r="C395" t="s">
        <v>3366</v>
      </c>
      <c r="D395" s="46"/>
      <c r="E395" t="s">
        <v>873</v>
      </c>
      <c r="F395" s="50"/>
      <c r="G395" t="s">
        <v>3458</v>
      </c>
      <c r="H395" t="s">
        <v>3463</v>
      </c>
      <c r="I395" t="s">
        <v>3040</v>
      </c>
      <c r="J395" s="50" t="str">
        <f>IF(I395="","",_xlfn.XLOOKUP(TRIM(I395),'SkillMasterSkill ID'!$C:$C,'SkillMasterSkill ID'!$F:$F,"NOT FOUND",0))</f>
        <v>NOT FOUND</v>
      </c>
      <c r="K395" s="50"/>
      <c r="L395" s="50"/>
    </row>
    <row r="396" spans="1:12" x14ac:dyDescent="0.25">
      <c r="A39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96" t="s">
        <v>747</v>
      </c>
      <c r="C396" t="s">
        <v>3366</v>
      </c>
      <c r="D396" s="46"/>
      <c r="E396" t="s">
        <v>951</v>
      </c>
      <c r="F396" s="50"/>
      <c r="G396" t="s">
        <v>2256</v>
      </c>
      <c r="H396" t="s">
        <v>3464</v>
      </c>
      <c r="I396" t="s">
        <v>3465</v>
      </c>
      <c r="J396" s="50" t="str">
        <f>IF(I396="","",_xlfn.XLOOKUP(TRIM(I396),'SkillMasterSkill ID'!$C:$C,'SkillMasterSkill ID'!$F:$F,"NOT FOUND",0))</f>
        <v>NOT FOUND</v>
      </c>
      <c r="K396" s="50"/>
      <c r="L396" s="50"/>
    </row>
    <row r="397" spans="1:12" x14ac:dyDescent="0.25">
      <c r="A39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97" t="s">
        <v>747</v>
      </c>
      <c r="C397" t="s">
        <v>3366</v>
      </c>
      <c r="D397" s="46"/>
      <c r="E397" t="s">
        <v>951</v>
      </c>
      <c r="F397" s="50"/>
      <c r="G397" t="s">
        <v>2256</v>
      </c>
      <c r="H397" t="s">
        <v>3466</v>
      </c>
      <c r="I397" t="s">
        <v>3467</v>
      </c>
      <c r="J397" s="50" t="str">
        <f>IF(I397="","",_xlfn.XLOOKUP(TRIM(I397),'SkillMasterSkill ID'!$C:$C,'SkillMasterSkill ID'!$F:$F,"NOT FOUND",0))</f>
        <v>NOT FOUND</v>
      </c>
      <c r="K397" s="50"/>
      <c r="L397" s="50"/>
    </row>
    <row r="398" spans="1:12" x14ac:dyDescent="0.25">
      <c r="A39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98" t="s">
        <v>747</v>
      </c>
      <c r="C398" t="s">
        <v>3366</v>
      </c>
      <c r="D398" s="46"/>
      <c r="E398" t="s">
        <v>955</v>
      </c>
      <c r="F398" s="50"/>
      <c r="G398" t="s">
        <v>3388</v>
      </c>
      <c r="H398" t="s">
        <v>3394</v>
      </c>
      <c r="I398" t="s">
        <v>3395</v>
      </c>
      <c r="J398" s="50" t="str">
        <f>IF(I398="","",_xlfn.XLOOKUP(TRIM(I398),'SkillMasterSkill ID'!$C:$C,'SkillMasterSkill ID'!$F:$F,"NOT FOUND",0))</f>
        <v>NOT FOUND</v>
      </c>
      <c r="K398" s="50"/>
      <c r="L398" s="50"/>
    </row>
    <row r="399" spans="1:12" x14ac:dyDescent="0.25">
      <c r="A39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399" t="s">
        <v>747</v>
      </c>
      <c r="C399" t="s">
        <v>3366</v>
      </c>
      <c r="D399" s="46"/>
      <c r="E399" t="s">
        <v>3304</v>
      </c>
      <c r="F399" s="50"/>
      <c r="G399" t="s">
        <v>3458</v>
      </c>
      <c r="H399" t="s">
        <v>3460</v>
      </c>
      <c r="I399" t="s">
        <v>3461</v>
      </c>
      <c r="J399" s="50" t="str">
        <f>IF(I399="","",_xlfn.XLOOKUP(TRIM(I399),'SkillMasterSkill ID'!$C:$C,'SkillMasterSkill ID'!$F:$F,"NOT FOUND",0))</f>
        <v>NOT FOUND</v>
      </c>
      <c r="K399" s="50"/>
      <c r="L399" s="50"/>
    </row>
    <row r="400" spans="1:12" x14ac:dyDescent="0.25">
      <c r="A40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00" t="s">
        <v>747</v>
      </c>
      <c r="C400" t="s">
        <v>3366</v>
      </c>
      <c r="D400" s="46"/>
      <c r="E400" t="s">
        <v>3240</v>
      </c>
      <c r="F400" s="50"/>
      <c r="G400" t="s">
        <v>3374</v>
      </c>
      <c r="H400" t="s">
        <v>3380</v>
      </c>
      <c r="I400" t="s">
        <v>3381</v>
      </c>
      <c r="J400" s="50" t="str">
        <f>IF(I400="","",_xlfn.XLOOKUP(TRIM(I400),'SkillMasterSkill ID'!$C:$C,'SkillMasterSkill ID'!$F:$F,"NOT FOUND",0))</f>
        <v>NOT FOUND</v>
      </c>
      <c r="K400" s="50"/>
      <c r="L400" s="50"/>
    </row>
    <row r="401" spans="1:12" x14ac:dyDescent="0.25">
      <c r="A40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01" t="s">
        <v>747</v>
      </c>
      <c r="C401" t="s">
        <v>3366</v>
      </c>
      <c r="D401" s="46"/>
      <c r="E401" t="s">
        <v>871</v>
      </c>
      <c r="F401" s="50"/>
      <c r="G401" t="s">
        <v>3396</v>
      </c>
      <c r="H401" t="s">
        <v>3397</v>
      </c>
      <c r="I401" t="s">
        <v>3398</v>
      </c>
      <c r="J401" s="50" t="str">
        <f>IF(I401="","",_xlfn.XLOOKUP(TRIM(I401),'SkillMasterSkill ID'!$C:$C,'SkillMasterSkill ID'!$F:$F,"NOT FOUND",0))</f>
        <v>NOT FOUND</v>
      </c>
      <c r="K401" s="50"/>
      <c r="L401" s="50"/>
    </row>
    <row r="402" spans="1:12" x14ac:dyDescent="0.25">
      <c r="A40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02" t="s">
        <v>747</v>
      </c>
      <c r="C402" t="s">
        <v>3366</v>
      </c>
      <c r="D402" s="46"/>
      <c r="E402" t="s">
        <v>2937</v>
      </c>
      <c r="F402" s="50"/>
      <c r="G402" t="s">
        <v>3404</v>
      </c>
      <c r="H402" t="s">
        <v>3411</v>
      </c>
      <c r="I402" t="s">
        <v>3412</v>
      </c>
      <c r="J402" s="50" t="str">
        <f>IF(I402="","",_xlfn.XLOOKUP(TRIM(I402),'SkillMasterSkill ID'!$C:$C,'SkillMasterSkill ID'!$F:$F,"NOT FOUND",0))</f>
        <v>NOT FOUND</v>
      </c>
      <c r="K402" s="50"/>
      <c r="L402" s="50"/>
    </row>
    <row r="403" spans="1:12" x14ac:dyDescent="0.25">
      <c r="A40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03" t="s">
        <v>747</v>
      </c>
      <c r="C403" t="s">
        <v>3366</v>
      </c>
      <c r="D403" s="46"/>
      <c r="E403" t="s">
        <v>3372</v>
      </c>
      <c r="F403" s="50"/>
      <c r="G403" t="s">
        <v>3365</v>
      </c>
      <c r="H403" t="s">
        <v>3373</v>
      </c>
      <c r="I403" t="s">
        <v>2788</v>
      </c>
      <c r="J403" s="50" t="str">
        <f>IF(I403="","",_xlfn.XLOOKUP(TRIM(I403),'SkillMasterSkill ID'!$C:$C,'SkillMasterSkill ID'!$F:$F,"NOT FOUND",0))</f>
        <v>NOT FOUND</v>
      </c>
      <c r="K403" s="50"/>
      <c r="L403" s="50"/>
    </row>
    <row r="404" spans="1:12" x14ac:dyDescent="0.25">
      <c r="A40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04" t="s">
        <v>747</v>
      </c>
      <c r="C404" t="s">
        <v>3366</v>
      </c>
      <c r="D404" s="46"/>
      <c r="E404" t="s">
        <v>1476</v>
      </c>
      <c r="F404" s="50"/>
      <c r="G404" t="s">
        <v>3413</v>
      </c>
      <c r="H404" t="s">
        <v>3417</v>
      </c>
      <c r="I404" t="s">
        <v>3418</v>
      </c>
      <c r="J404" s="50" t="str">
        <f>IF(I404="","",_xlfn.XLOOKUP(TRIM(I404),'SkillMasterSkill ID'!$C:$C,'SkillMasterSkill ID'!$F:$F,"NOT FOUND",0))</f>
        <v>NOT FOUND</v>
      </c>
      <c r="K404" s="50"/>
      <c r="L404" s="50"/>
    </row>
    <row r="405" spans="1:12" x14ac:dyDescent="0.25">
      <c r="A40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05" t="s">
        <v>747</v>
      </c>
      <c r="C405" t="s">
        <v>3366</v>
      </c>
      <c r="D405" s="46"/>
      <c r="E405" t="s">
        <v>2208</v>
      </c>
      <c r="F405" s="50"/>
      <c r="G405" t="s">
        <v>3425</v>
      </c>
      <c r="H405" t="s">
        <v>3426</v>
      </c>
      <c r="I405" t="s">
        <v>3427</v>
      </c>
      <c r="J405" s="50" t="str">
        <f>IF(I405="","",_xlfn.XLOOKUP(TRIM(I405),'SkillMasterSkill ID'!$C:$C,'SkillMasterSkill ID'!$F:$F,"NOT FOUND",0))</f>
        <v>NOT FOUND</v>
      </c>
      <c r="K405" s="50"/>
      <c r="L405" s="50"/>
    </row>
    <row r="406" spans="1:12" x14ac:dyDescent="0.25">
      <c r="A40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06" t="s">
        <v>747</v>
      </c>
      <c r="C406" t="s">
        <v>3366</v>
      </c>
      <c r="D406" s="46"/>
      <c r="E406" t="s">
        <v>3214</v>
      </c>
      <c r="F406" s="50"/>
      <c r="G406" t="s">
        <v>3445</v>
      </c>
      <c r="H406" t="s">
        <v>3447</v>
      </c>
      <c r="I406" t="s">
        <v>3448</v>
      </c>
      <c r="J406" s="50" t="str">
        <f>IF(I406="","",_xlfn.XLOOKUP(TRIM(I406),'SkillMasterSkill ID'!$C:$C,'SkillMasterSkill ID'!$F:$F,"NOT FOUND",0))</f>
        <v>NOT FOUND</v>
      </c>
      <c r="K406" s="50"/>
      <c r="L406" s="50"/>
    </row>
    <row r="407" spans="1:12" x14ac:dyDescent="0.25">
      <c r="A40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07" t="s">
        <v>747</v>
      </c>
      <c r="C407" t="s">
        <v>3366</v>
      </c>
      <c r="D407" s="46"/>
      <c r="E407" t="s">
        <v>3430</v>
      </c>
      <c r="F407" s="50"/>
      <c r="G407" t="s">
        <v>3425</v>
      </c>
      <c r="H407" t="s">
        <v>3432</v>
      </c>
      <c r="I407" t="s">
        <v>3433</v>
      </c>
      <c r="J407" s="50" t="str">
        <f>IF(I407="","",_xlfn.XLOOKUP(TRIM(I407),'SkillMasterSkill ID'!$C:$C,'SkillMasterSkill ID'!$F:$F,"NOT FOUND",0))</f>
        <v>NOT FOUND</v>
      </c>
      <c r="K407" s="50"/>
      <c r="L407" s="50"/>
    </row>
    <row r="408" spans="1:12" x14ac:dyDescent="0.25">
      <c r="A40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08" t="s">
        <v>747</v>
      </c>
      <c r="C408" t="s">
        <v>3366</v>
      </c>
      <c r="D408" s="46"/>
      <c r="E408" t="s">
        <v>3240</v>
      </c>
      <c r="F408" s="50"/>
      <c r="G408" t="s">
        <v>3374</v>
      </c>
      <c r="H408" t="s">
        <v>3384</v>
      </c>
      <c r="I408" t="s">
        <v>3385</v>
      </c>
      <c r="J408" s="50" t="str">
        <f>IF(I408="","",_xlfn.XLOOKUP(TRIM(I408),'SkillMasterSkill ID'!$C:$C,'SkillMasterSkill ID'!$F:$F,"NOT FOUND",0))</f>
        <v>NOT FOUND</v>
      </c>
      <c r="K408" s="50"/>
      <c r="L408" s="50"/>
    </row>
    <row r="409" spans="1:12" x14ac:dyDescent="0.25">
      <c r="A40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09" t="s">
        <v>747</v>
      </c>
      <c r="C409" t="s">
        <v>3366</v>
      </c>
      <c r="D409" s="46"/>
      <c r="E409" t="s">
        <v>3356</v>
      </c>
      <c r="F409" s="50"/>
      <c r="G409" t="s">
        <v>3365</v>
      </c>
      <c r="H409" t="s">
        <v>3370</v>
      </c>
      <c r="I409" t="s">
        <v>3371</v>
      </c>
      <c r="J409" s="50" t="str">
        <f>IF(I409="","",_xlfn.XLOOKUP(TRIM(I409),'SkillMasterSkill ID'!$C:$C,'SkillMasterSkill ID'!$F:$F,"NOT FOUND",0))</f>
        <v>NOT FOUND</v>
      </c>
      <c r="K409" s="50"/>
      <c r="L409" s="50"/>
    </row>
    <row r="410" spans="1:12" x14ac:dyDescent="0.25">
      <c r="A41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10" t="s">
        <v>747</v>
      </c>
      <c r="C410" t="s">
        <v>3366</v>
      </c>
      <c r="D410" s="46"/>
      <c r="E410" t="s">
        <v>3295</v>
      </c>
      <c r="F410" s="50"/>
      <c r="G410" t="s">
        <v>3388</v>
      </c>
      <c r="H410" t="s">
        <v>3392</v>
      </c>
      <c r="I410" t="s">
        <v>3393</v>
      </c>
      <c r="J410" s="50" t="str">
        <f>IF(I410="","",_xlfn.XLOOKUP(TRIM(I410),'SkillMasterSkill ID'!$C:$C,'SkillMasterSkill ID'!$F:$F,"NOT FOUND",0))</f>
        <v>NOT FOUND</v>
      </c>
      <c r="K410" s="50"/>
      <c r="L410" s="50"/>
    </row>
    <row r="411" spans="1:12" x14ac:dyDescent="0.25">
      <c r="A41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11" t="s">
        <v>747</v>
      </c>
      <c r="C411" t="s">
        <v>3366</v>
      </c>
      <c r="D411" s="46"/>
      <c r="E411" t="s">
        <v>871</v>
      </c>
      <c r="F411" s="50"/>
      <c r="G411" t="s">
        <v>3396</v>
      </c>
      <c r="H411" t="s">
        <v>3399</v>
      </c>
      <c r="I411" t="s">
        <v>3400</v>
      </c>
      <c r="J411" s="50" t="str">
        <f>IF(I411="","",_xlfn.XLOOKUP(TRIM(I411),'SkillMasterSkill ID'!$C:$C,'SkillMasterSkill ID'!$F:$F,"NOT FOUND",0))</f>
        <v>NOT FOUND</v>
      </c>
      <c r="K411" s="50"/>
      <c r="L411" s="50"/>
    </row>
    <row r="412" spans="1:12" x14ac:dyDescent="0.25">
      <c r="A41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12" t="s">
        <v>747</v>
      </c>
      <c r="C412" t="s">
        <v>3366</v>
      </c>
      <c r="D412" s="46"/>
      <c r="E412" t="s">
        <v>3405</v>
      </c>
      <c r="F412" s="50"/>
      <c r="G412" t="s">
        <v>3404</v>
      </c>
      <c r="H412" t="s">
        <v>3409</v>
      </c>
      <c r="I412" t="s">
        <v>3410</v>
      </c>
      <c r="J412" s="50" t="str">
        <f>IF(I412="","",_xlfn.XLOOKUP(TRIM(I412),'SkillMasterSkill ID'!$C:$C,'SkillMasterSkill ID'!$F:$F,"NOT FOUND",0))</f>
        <v>NOT FOUND</v>
      </c>
      <c r="K412" s="50"/>
      <c r="L412" s="50"/>
    </row>
    <row r="413" spans="1:12" x14ac:dyDescent="0.25">
      <c r="A41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13" t="s">
        <v>747</v>
      </c>
      <c r="C413" t="s">
        <v>3366</v>
      </c>
      <c r="D413" s="46"/>
      <c r="E413" t="s">
        <v>1397</v>
      </c>
      <c r="F413" s="50"/>
      <c r="G413" t="s">
        <v>3425</v>
      </c>
      <c r="H413" t="s">
        <v>3429</v>
      </c>
      <c r="I413" t="s">
        <v>2377</v>
      </c>
      <c r="J413" s="50" t="str">
        <f>IF(I413="","",_xlfn.XLOOKUP(TRIM(I413),'SkillMasterSkill ID'!$C:$C,'SkillMasterSkill ID'!$F:$F,"NOT FOUND",0))</f>
        <v>NOT FOUND</v>
      </c>
      <c r="K413" s="50"/>
      <c r="L413" s="50"/>
    </row>
    <row r="414" spans="1:12" x14ac:dyDescent="0.25">
      <c r="A41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14" t="s">
        <v>747</v>
      </c>
      <c r="C414" t="s">
        <v>3366</v>
      </c>
      <c r="D414" s="46"/>
      <c r="E414" t="s">
        <v>3240</v>
      </c>
      <c r="F414" s="50"/>
      <c r="G414" t="s">
        <v>3374</v>
      </c>
      <c r="H414" t="s">
        <v>3382</v>
      </c>
      <c r="I414" t="s">
        <v>3383</v>
      </c>
      <c r="J414" s="50" t="str">
        <f>IF(I414="","",_xlfn.XLOOKUP(TRIM(I414),'SkillMasterSkill ID'!$C:$C,'SkillMasterSkill ID'!$F:$F,"NOT FOUND",0))</f>
        <v>NOT FOUND</v>
      </c>
      <c r="K414" s="50"/>
      <c r="L414" s="50"/>
    </row>
    <row r="415" spans="1:12" x14ac:dyDescent="0.25">
      <c r="A41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15" t="s">
        <v>747</v>
      </c>
      <c r="C415" t="s">
        <v>3366</v>
      </c>
      <c r="D415" s="46"/>
      <c r="E415" t="s">
        <v>3240</v>
      </c>
      <c r="F415" s="50"/>
      <c r="G415" t="s">
        <v>3374</v>
      </c>
      <c r="H415" t="s">
        <v>3386</v>
      </c>
      <c r="I415" t="s">
        <v>3387</v>
      </c>
      <c r="J415" s="50" t="str">
        <f>IF(I415="","",_xlfn.XLOOKUP(TRIM(I415),'SkillMasterSkill ID'!$C:$C,'SkillMasterSkill ID'!$F:$F,"NOT FOUND",0))</f>
        <v>NOT FOUND</v>
      </c>
      <c r="K415" s="50"/>
      <c r="L415" s="50"/>
    </row>
    <row r="416" spans="1:12" x14ac:dyDescent="0.25">
      <c r="A41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16" t="s">
        <v>747</v>
      </c>
      <c r="C416" t="s">
        <v>3366</v>
      </c>
      <c r="D416" s="46"/>
      <c r="E416" t="s">
        <v>1470</v>
      </c>
      <c r="F416" s="50"/>
      <c r="G416" t="s">
        <v>3445</v>
      </c>
      <c r="H416" t="s">
        <v>3449</v>
      </c>
      <c r="I416" t="s">
        <v>3291</v>
      </c>
      <c r="J416" s="50" t="str">
        <f>IF(I416="","",_xlfn.XLOOKUP(TRIM(I416),'SkillMasterSkill ID'!$C:$C,'SkillMasterSkill ID'!$F:$F,"NOT FOUND",0))</f>
        <v>NOT FOUND</v>
      </c>
      <c r="K416" s="50"/>
      <c r="L416" s="50"/>
    </row>
    <row r="417" spans="1:12" x14ac:dyDescent="0.25">
      <c r="A41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17" t="s">
        <v>747</v>
      </c>
      <c r="C417" t="s">
        <v>3366</v>
      </c>
      <c r="D417" s="46"/>
      <c r="E417" t="s">
        <v>1448</v>
      </c>
      <c r="F417" s="50"/>
      <c r="G417" t="s">
        <v>3434</v>
      </c>
      <c r="H417" t="s">
        <v>3443</v>
      </c>
      <c r="I417" t="s">
        <v>3444</v>
      </c>
      <c r="J417" s="50" t="str">
        <f>IF(I417="","",_xlfn.XLOOKUP(TRIM(I417),'SkillMasterSkill ID'!$C:$C,'SkillMasterSkill ID'!$F:$F,"NOT FOUND",0))</f>
        <v>NOT FOUND</v>
      </c>
      <c r="K417" s="50"/>
      <c r="L417" s="50"/>
    </row>
    <row r="418" spans="1:12" x14ac:dyDescent="0.25">
      <c r="A41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18" t="s">
        <v>747</v>
      </c>
      <c r="C418" t="s">
        <v>3366</v>
      </c>
      <c r="D418" s="46"/>
      <c r="E418" t="s">
        <v>3405</v>
      </c>
      <c r="F418" s="50"/>
      <c r="G418" t="s">
        <v>3404</v>
      </c>
      <c r="H418" t="s">
        <v>3407</v>
      </c>
      <c r="I418" t="s">
        <v>3408</v>
      </c>
      <c r="J418" s="50" t="str">
        <f>IF(I418="","",_xlfn.XLOOKUP(TRIM(I418),'SkillMasterSkill ID'!$C:$C,'SkillMasterSkill ID'!$F:$F,"NOT FOUND",0))</f>
        <v>NOT FOUND</v>
      </c>
      <c r="K418" s="50"/>
      <c r="L418" s="50"/>
    </row>
    <row r="419" spans="1:12" x14ac:dyDescent="0.25">
      <c r="A41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19" t="s">
        <v>747</v>
      </c>
      <c r="C419" t="s">
        <v>3366</v>
      </c>
      <c r="D419" s="46"/>
      <c r="E419" t="s">
        <v>3295</v>
      </c>
      <c r="F419" s="50"/>
      <c r="G419" t="s">
        <v>3388</v>
      </c>
      <c r="H419" t="s">
        <v>3390</v>
      </c>
      <c r="I419" t="s">
        <v>3391</v>
      </c>
      <c r="J419" s="50" t="str">
        <f>IF(I419="","",_xlfn.XLOOKUP(TRIM(I419),'SkillMasterSkill ID'!$C:$C,'SkillMasterSkill ID'!$F:$F,"NOT FOUND",0))</f>
        <v>NOT FOUND</v>
      </c>
      <c r="K419" s="50"/>
      <c r="L419" s="50"/>
    </row>
    <row r="420" spans="1:12" x14ac:dyDescent="0.25">
      <c r="A42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20" t="s">
        <v>747</v>
      </c>
      <c r="C420" t="s">
        <v>3366</v>
      </c>
      <c r="D420" s="46"/>
      <c r="E420" t="s">
        <v>3419</v>
      </c>
      <c r="F420" s="50"/>
      <c r="G420" t="s">
        <v>3413</v>
      </c>
      <c r="H420" t="s">
        <v>3423</v>
      </c>
      <c r="I420" t="s">
        <v>3424</v>
      </c>
      <c r="J420" s="50" t="str">
        <f>IF(I420="","",_xlfn.XLOOKUP(TRIM(I420),'SkillMasterSkill ID'!$C:$C,'SkillMasterSkill ID'!$F:$F,"NOT FOUND",0))</f>
        <v>NOT FOUND</v>
      </c>
      <c r="K420" s="50"/>
      <c r="L420" s="50"/>
    </row>
    <row r="421" spans="1:12" x14ac:dyDescent="0.25">
      <c r="A42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21" t="s">
        <v>747</v>
      </c>
      <c r="C421" t="s">
        <v>3366</v>
      </c>
      <c r="D421" s="46"/>
      <c r="E421" t="s">
        <v>3419</v>
      </c>
      <c r="F421" s="50"/>
      <c r="G421" t="s">
        <v>3413</v>
      </c>
      <c r="H421" t="s">
        <v>3421</v>
      </c>
      <c r="I421" t="s">
        <v>3422</v>
      </c>
      <c r="J421" s="50" t="str">
        <f>IF(I421="","",_xlfn.XLOOKUP(TRIM(I421),'SkillMasterSkill ID'!$C:$C,'SkillMasterSkill ID'!$F:$F,"NOT FOUND",0))</f>
        <v>NOT FOUND</v>
      </c>
      <c r="K421" s="50"/>
      <c r="L421" s="50"/>
    </row>
    <row r="422" spans="1:12" x14ac:dyDescent="0.25">
      <c r="A42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22" t="s">
        <v>747</v>
      </c>
      <c r="C422" t="s">
        <v>3366</v>
      </c>
      <c r="D422" s="46"/>
      <c r="E422" t="s">
        <v>1476</v>
      </c>
      <c r="F422" s="50"/>
      <c r="G422" t="s">
        <v>3413</v>
      </c>
      <c r="H422" t="s">
        <v>3415</v>
      </c>
      <c r="I422" t="s">
        <v>3416</v>
      </c>
      <c r="J422" s="50" t="str">
        <f>IF(I422="","",_xlfn.XLOOKUP(TRIM(I422),'SkillMasterSkill ID'!$C:$C,'SkillMasterSkill ID'!$F:$F,"NOT FOUND",0))</f>
        <v>NOT FOUND</v>
      </c>
      <c r="K422" s="50"/>
      <c r="L422" s="50"/>
    </row>
    <row r="423" spans="1:12" x14ac:dyDescent="0.25">
      <c r="A42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23" t="s">
        <v>747</v>
      </c>
      <c r="C423" t="s">
        <v>3366</v>
      </c>
      <c r="D423" s="46"/>
      <c r="E423" t="s">
        <v>3193</v>
      </c>
      <c r="F423" s="50"/>
      <c r="G423" t="s">
        <v>3434</v>
      </c>
      <c r="H423" t="s">
        <v>3436</v>
      </c>
      <c r="I423" t="s">
        <v>3437</v>
      </c>
      <c r="J423" s="50" t="str">
        <f>IF(I423="","",_xlfn.XLOOKUP(TRIM(I423),'SkillMasterSkill ID'!$C:$C,'SkillMasterSkill ID'!$F:$F,"NOT FOUND",0))</f>
        <v>NOT FOUND</v>
      </c>
      <c r="K423" s="50"/>
      <c r="L423" s="50"/>
    </row>
    <row r="424" spans="1:12" x14ac:dyDescent="0.25">
      <c r="A42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24" t="s">
        <v>747</v>
      </c>
      <c r="C424" t="s">
        <v>3366</v>
      </c>
      <c r="D424" s="46"/>
      <c r="E424" t="s">
        <v>3438</v>
      </c>
      <c r="F424" s="50"/>
      <c r="G424" t="s">
        <v>3434</v>
      </c>
      <c r="H424" t="s">
        <v>3440</v>
      </c>
      <c r="I424" t="s">
        <v>3441</v>
      </c>
      <c r="J424" s="50" t="str">
        <f>IF(I424="","",_xlfn.XLOOKUP(TRIM(I424),'SkillMasterSkill ID'!$C:$C,'SkillMasterSkill ID'!$F:$F,"NOT FOUND",0))</f>
        <v>NOT FOUND</v>
      </c>
      <c r="K424" s="50"/>
      <c r="L424" s="50"/>
    </row>
    <row r="425" spans="1:12" x14ac:dyDescent="0.25">
      <c r="A42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25">
        <v>3100</v>
      </c>
      <c r="C425" t="s">
        <v>4240</v>
      </c>
      <c r="D425" s="46"/>
      <c r="E425" t="s">
        <v>1470</v>
      </c>
      <c r="F425" s="50"/>
      <c r="G425" t="s">
        <v>4260</v>
      </c>
      <c r="H425" t="s">
        <v>4261</v>
      </c>
      <c r="I425" t="s">
        <v>4262</v>
      </c>
      <c r="J425" s="50" t="str">
        <f>IF(I425="","",_xlfn.XLOOKUP(TRIM(I425),'SkillMasterSkill ID'!$C:$C,'SkillMasterSkill ID'!$F:$F,"NOT FOUND",0))</f>
        <v>NOT FOUND</v>
      </c>
      <c r="K425" s="50"/>
      <c r="L425" s="50"/>
    </row>
    <row r="426" spans="1:12" x14ac:dyDescent="0.25">
      <c r="A42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26">
        <v>3100</v>
      </c>
      <c r="C426" t="s">
        <v>4240</v>
      </c>
      <c r="D426" s="46"/>
      <c r="E426" t="s">
        <v>1470</v>
      </c>
      <c r="F426" s="50"/>
      <c r="G426" t="s">
        <v>4260</v>
      </c>
      <c r="H426" t="s">
        <v>4263</v>
      </c>
      <c r="I426" t="s">
        <v>4264</v>
      </c>
      <c r="J426" s="50" t="str">
        <f>IF(I426="","",_xlfn.XLOOKUP(TRIM(I426),'SkillMasterSkill ID'!$C:$C,'SkillMasterSkill ID'!$F:$F,"NOT FOUND",0))</f>
        <v>NOT FOUND</v>
      </c>
      <c r="K426" s="50"/>
      <c r="L426" s="50"/>
    </row>
    <row r="427" spans="1:12" x14ac:dyDescent="0.25">
      <c r="A42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27">
        <v>3100</v>
      </c>
      <c r="C427" t="s">
        <v>4240</v>
      </c>
      <c r="D427" s="46"/>
      <c r="E427" t="s">
        <v>4249</v>
      </c>
      <c r="F427" s="50"/>
      <c r="G427" t="s">
        <v>4239</v>
      </c>
      <c r="H427" t="s">
        <v>4251</v>
      </c>
      <c r="I427" t="s">
        <v>4252</v>
      </c>
      <c r="J427" s="50" t="str">
        <f>IF(I427="","",_xlfn.XLOOKUP(TRIM(I427),'SkillMasterSkill ID'!$C:$C,'SkillMasterSkill ID'!$F:$F,"NOT FOUND",0))</f>
        <v>NOT FOUND</v>
      </c>
      <c r="K427" s="50"/>
      <c r="L427" s="50"/>
    </row>
    <row r="428" spans="1:12" x14ac:dyDescent="0.25">
      <c r="A42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28">
        <v>3100</v>
      </c>
      <c r="C428" t="s">
        <v>4240</v>
      </c>
      <c r="D428" s="46"/>
      <c r="E428" t="s">
        <v>947</v>
      </c>
      <c r="F428" s="50"/>
      <c r="G428" t="s">
        <v>4300</v>
      </c>
      <c r="H428" t="s">
        <v>4305</v>
      </c>
      <c r="I428" t="s">
        <v>4306</v>
      </c>
      <c r="J428" s="50" t="str">
        <f>IF(I428="","",_xlfn.XLOOKUP(TRIM(I428),'SkillMasterSkill ID'!$C:$C,'SkillMasterSkill ID'!$F:$F,"NOT FOUND",0))</f>
        <v>NOT FOUND</v>
      </c>
      <c r="K428" s="50"/>
      <c r="L428" s="50"/>
    </row>
    <row r="429" spans="1:12" x14ac:dyDescent="0.25">
      <c r="A42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29">
        <v>3100</v>
      </c>
      <c r="C429" t="s">
        <v>4240</v>
      </c>
      <c r="D429" s="46"/>
      <c r="E429" t="s">
        <v>963</v>
      </c>
      <c r="F429" s="50"/>
      <c r="G429" t="s">
        <v>4271</v>
      </c>
      <c r="H429" t="s">
        <v>4276</v>
      </c>
      <c r="I429" t="s">
        <v>4277</v>
      </c>
      <c r="J429" s="50" t="str">
        <f>IF(I429="","",_xlfn.XLOOKUP(TRIM(I429),'SkillMasterSkill ID'!$C:$C,'SkillMasterSkill ID'!$F:$F,"NOT FOUND",0))</f>
        <v>NOT FOUND</v>
      </c>
      <c r="K429" s="50"/>
      <c r="L429" s="50"/>
    </row>
    <row r="430" spans="1:12" x14ac:dyDescent="0.25">
      <c r="A43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30">
        <v>3100</v>
      </c>
      <c r="C430" t="s">
        <v>4240</v>
      </c>
      <c r="D430" s="46"/>
      <c r="E430" t="s">
        <v>2436</v>
      </c>
      <c r="F430" s="50"/>
      <c r="G430" t="s">
        <v>4239</v>
      </c>
      <c r="H430" t="s">
        <v>4241</v>
      </c>
      <c r="I430" t="s">
        <v>4242</v>
      </c>
      <c r="J430" s="50" t="str">
        <f>IF(I430="","",_xlfn.XLOOKUP(TRIM(I430),'SkillMasterSkill ID'!$C:$C,'SkillMasterSkill ID'!$F:$F,"NOT FOUND",0))</f>
        <v>NOT FOUND</v>
      </c>
      <c r="K430" s="50"/>
      <c r="L430" s="50"/>
    </row>
    <row r="431" spans="1:12" x14ac:dyDescent="0.25">
      <c r="A43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31">
        <v>3100</v>
      </c>
      <c r="C431" t="s">
        <v>4240</v>
      </c>
      <c r="D431" s="46"/>
      <c r="E431" t="s">
        <v>963</v>
      </c>
      <c r="F431" s="50"/>
      <c r="G431" t="s">
        <v>4271</v>
      </c>
      <c r="H431" t="s">
        <v>4278</v>
      </c>
      <c r="I431" t="s">
        <v>4279</v>
      </c>
      <c r="J431" s="50" t="str">
        <f>IF(I431="","",_xlfn.XLOOKUP(TRIM(I431),'SkillMasterSkill ID'!$C:$C,'SkillMasterSkill ID'!$F:$F,"NOT FOUND",0))</f>
        <v>NOT FOUND</v>
      </c>
      <c r="K431" s="50"/>
      <c r="L431" s="50"/>
    </row>
    <row r="432" spans="1:12" x14ac:dyDescent="0.25">
      <c r="A43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32">
        <v>3100</v>
      </c>
      <c r="C432" t="s">
        <v>4240</v>
      </c>
      <c r="D432" s="46"/>
      <c r="E432" t="s">
        <v>873</v>
      </c>
      <c r="F432" s="50"/>
      <c r="G432" t="s">
        <v>4239</v>
      </c>
      <c r="H432" t="s">
        <v>4247</v>
      </c>
      <c r="I432" t="s">
        <v>4248</v>
      </c>
      <c r="J432" s="50" t="str">
        <f>IF(I432="","",_xlfn.XLOOKUP(TRIM(I432),'SkillMasterSkill ID'!$C:$C,'SkillMasterSkill ID'!$F:$F,"NOT FOUND",0))</f>
        <v>NOT FOUND</v>
      </c>
      <c r="K432" s="50"/>
      <c r="L432" s="50"/>
    </row>
    <row r="433" spans="1:12" x14ac:dyDescent="0.25">
      <c r="A43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33">
        <v>3100</v>
      </c>
      <c r="C433" t="s">
        <v>4240</v>
      </c>
      <c r="D433" s="46"/>
      <c r="E433" t="s">
        <v>873</v>
      </c>
      <c r="F433" s="50"/>
      <c r="G433" t="s">
        <v>4280</v>
      </c>
      <c r="H433" t="s">
        <v>4289</v>
      </c>
      <c r="I433" t="s">
        <v>4290</v>
      </c>
      <c r="J433" s="50" t="str">
        <f>IF(I433="","",_xlfn.XLOOKUP(TRIM(I433),'SkillMasterSkill ID'!$C:$C,'SkillMasterSkill ID'!$F:$F,"NOT FOUND",0))</f>
        <v>NOT FOUND</v>
      </c>
      <c r="K433" s="50"/>
      <c r="L433" s="50"/>
    </row>
    <row r="434" spans="1:12" x14ac:dyDescent="0.25">
      <c r="A43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34">
        <v>3100</v>
      </c>
      <c r="C434" t="s">
        <v>4240</v>
      </c>
      <c r="D434" s="46"/>
      <c r="E434" t="s">
        <v>4213</v>
      </c>
      <c r="F434" s="50"/>
      <c r="G434" t="s">
        <v>4260</v>
      </c>
      <c r="H434" t="s">
        <v>4269</v>
      </c>
      <c r="I434" t="s">
        <v>4270</v>
      </c>
      <c r="J434" s="50" t="str">
        <f>IF(I434="","",_xlfn.XLOOKUP(TRIM(I434),'SkillMasterSkill ID'!$C:$C,'SkillMasterSkill ID'!$F:$F,"NOT FOUND",0))</f>
        <v>NOT FOUND</v>
      </c>
      <c r="K434" s="50"/>
      <c r="L434" s="50"/>
    </row>
    <row r="435" spans="1:12" x14ac:dyDescent="0.25">
      <c r="A43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35">
        <v>3100</v>
      </c>
      <c r="C435" t="s">
        <v>4240</v>
      </c>
      <c r="D435" s="46"/>
      <c r="E435" t="s">
        <v>4235</v>
      </c>
      <c r="F435" s="50"/>
      <c r="G435" t="s">
        <v>4224</v>
      </c>
      <c r="H435" t="s">
        <v>4318</v>
      </c>
      <c r="I435" t="s">
        <v>1396</v>
      </c>
      <c r="J435" s="50" t="str">
        <f>IF(I435="","",_xlfn.XLOOKUP(TRIM(I435),'SkillMasterSkill ID'!$C:$C,'SkillMasterSkill ID'!$F:$F,"NOT FOUND",0))</f>
        <v>NOT FOUND</v>
      </c>
      <c r="K435" s="50"/>
      <c r="L435" s="50"/>
    </row>
    <row r="436" spans="1:12" x14ac:dyDescent="0.25">
      <c r="A43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36">
        <v>3100</v>
      </c>
      <c r="C436" t="s">
        <v>4240</v>
      </c>
      <c r="D436" s="46"/>
      <c r="E436" t="s">
        <v>2430</v>
      </c>
      <c r="F436" s="50"/>
      <c r="G436" t="s">
        <v>4253</v>
      </c>
      <c r="H436" t="s">
        <v>4254</v>
      </c>
      <c r="I436" t="s">
        <v>4255</v>
      </c>
      <c r="J436" s="50" t="str">
        <f>IF(I436="","",_xlfn.XLOOKUP(TRIM(I436),'SkillMasterSkill ID'!$C:$C,'SkillMasterSkill ID'!$F:$F,"NOT FOUND",0))</f>
        <v>NOT FOUND</v>
      </c>
      <c r="K436" s="50"/>
      <c r="L436" s="50"/>
    </row>
    <row r="437" spans="1:12" x14ac:dyDescent="0.25">
      <c r="A43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37">
        <v>3100</v>
      </c>
      <c r="C437" t="s">
        <v>4240</v>
      </c>
      <c r="D437" s="46"/>
      <c r="E437" t="s">
        <v>4249</v>
      </c>
      <c r="F437" s="50"/>
      <c r="G437" t="s">
        <v>4291</v>
      </c>
      <c r="H437" t="s">
        <v>4298</v>
      </c>
      <c r="I437" t="s">
        <v>4299</v>
      </c>
      <c r="J437" s="50" t="str">
        <f>IF(I437="","",_xlfn.XLOOKUP(TRIM(I437),'SkillMasterSkill ID'!$C:$C,'SkillMasterSkill ID'!$F:$F,"NOT FOUND",0))</f>
        <v>NOT FOUND</v>
      </c>
      <c r="K437" s="50"/>
      <c r="L437" s="50"/>
    </row>
    <row r="438" spans="1:12" x14ac:dyDescent="0.25">
      <c r="A43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38">
        <v>3100</v>
      </c>
      <c r="C438" t="s">
        <v>4240</v>
      </c>
      <c r="D438" s="46"/>
      <c r="E438" t="s">
        <v>3339</v>
      </c>
      <c r="F438" s="50"/>
      <c r="G438" t="s">
        <v>4224</v>
      </c>
      <c r="H438" t="s">
        <v>4317</v>
      </c>
      <c r="I438" t="s">
        <v>2425</v>
      </c>
      <c r="J438" s="50" t="str">
        <f>IF(I438="","",_xlfn.XLOOKUP(TRIM(I438),'SkillMasterSkill ID'!$C:$C,'SkillMasterSkill ID'!$F:$F,"NOT FOUND",0))</f>
        <v>NOT FOUND</v>
      </c>
      <c r="K438" s="50"/>
      <c r="L438" s="50"/>
    </row>
    <row r="439" spans="1:12" x14ac:dyDescent="0.25">
      <c r="A43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39">
        <v>3100</v>
      </c>
      <c r="C439" t="s">
        <v>4240</v>
      </c>
      <c r="D439" s="46"/>
      <c r="E439" t="s">
        <v>4285</v>
      </c>
      <c r="F439" s="50"/>
      <c r="G439" t="s">
        <v>4280</v>
      </c>
      <c r="H439" t="s">
        <v>4287</v>
      </c>
      <c r="I439" t="s">
        <v>4288</v>
      </c>
      <c r="J439" s="50" t="str">
        <f>IF(I439="","",_xlfn.XLOOKUP(TRIM(I439),'SkillMasterSkill ID'!$C:$C,'SkillMasterSkill ID'!$F:$F,"NOT FOUND",0))</f>
        <v>NOT FOUND</v>
      </c>
      <c r="K439" s="50"/>
      <c r="L439" s="50"/>
    </row>
    <row r="440" spans="1:12" x14ac:dyDescent="0.25">
      <c r="A44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40">
        <v>3100</v>
      </c>
      <c r="C440" t="s">
        <v>4240</v>
      </c>
      <c r="D440" s="46"/>
      <c r="E440" t="s">
        <v>4243</v>
      </c>
      <c r="F440" s="50"/>
      <c r="G440" t="s">
        <v>4239</v>
      </c>
      <c r="H440" t="s">
        <v>4245</v>
      </c>
      <c r="I440" t="s">
        <v>4246</v>
      </c>
      <c r="J440" s="50" t="str">
        <f>IF(I440="","",_xlfn.XLOOKUP(TRIM(I440),'SkillMasterSkill ID'!$C:$C,'SkillMasterSkill ID'!$F:$F,"NOT FOUND",0))</f>
        <v>NOT FOUND</v>
      </c>
      <c r="K440" s="50"/>
      <c r="L440" s="50"/>
    </row>
    <row r="441" spans="1:12" x14ac:dyDescent="0.25">
      <c r="A44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41">
        <v>3100</v>
      </c>
      <c r="C441" t="s">
        <v>4240</v>
      </c>
      <c r="D441" s="46"/>
      <c r="E441" t="s">
        <v>873</v>
      </c>
      <c r="F441" s="50"/>
      <c r="G441" t="s">
        <v>4300</v>
      </c>
      <c r="H441" t="s">
        <v>4307</v>
      </c>
      <c r="I441" t="s">
        <v>4308</v>
      </c>
      <c r="J441" s="50" t="str">
        <f>IF(I441="","",_xlfn.XLOOKUP(TRIM(I441),'SkillMasterSkill ID'!$C:$C,'SkillMasterSkill ID'!$F:$F,"NOT FOUND",0))</f>
        <v>NOT FOUND</v>
      </c>
      <c r="K441" s="50"/>
      <c r="L441" s="50"/>
    </row>
    <row r="442" spans="1:12" x14ac:dyDescent="0.25">
      <c r="A44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42">
        <v>3100</v>
      </c>
      <c r="C442" t="s">
        <v>4240</v>
      </c>
      <c r="D442" s="46"/>
      <c r="E442" t="s">
        <v>3304</v>
      </c>
      <c r="F442" s="50"/>
      <c r="G442" t="s">
        <v>4309</v>
      </c>
      <c r="H442" t="s">
        <v>4314</v>
      </c>
      <c r="I442" t="s">
        <v>3040</v>
      </c>
      <c r="J442" s="50" t="str">
        <f>IF(I442="","",_xlfn.XLOOKUP(TRIM(I442),'SkillMasterSkill ID'!$C:$C,'SkillMasterSkill ID'!$F:$F,"NOT FOUND",0))</f>
        <v>NOT FOUND</v>
      </c>
      <c r="K442" s="50"/>
      <c r="L442" s="50"/>
    </row>
    <row r="443" spans="1:12" x14ac:dyDescent="0.25">
      <c r="A44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43">
        <v>3100</v>
      </c>
      <c r="C443" t="s">
        <v>4240</v>
      </c>
      <c r="D443" s="46"/>
      <c r="E443" t="s">
        <v>2937</v>
      </c>
      <c r="F443" s="50"/>
      <c r="G443" t="s">
        <v>4309</v>
      </c>
      <c r="H443" t="s">
        <v>4312</v>
      </c>
      <c r="I443" t="s">
        <v>4313</v>
      </c>
      <c r="J443" s="50" t="str">
        <f>IF(I443="","",_xlfn.XLOOKUP(TRIM(I443),'SkillMasterSkill ID'!$C:$C,'SkillMasterSkill ID'!$F:$F,"NOT FOUND",0))</f>
        <v>NOT FOUND</v>
      </c>
      <c r="K443" s="50"/>
      <c r="L443" s="50"/>
    </row>
    <row r="444" spans="1:12" x14ac:dyDescent="0.25">
      <c r="A44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44">
        <v>3100</v>
      </c>
      <c r="C444" t="s">
        <v>4240</v>
      </c>
      <c r="D444" s="46"/>
      <c r="E444" t="s">
        <v>2203</v>
      </c>
      <c r="F444" s="50"/>
      <c r="G444" t="s">
        <v>4253</v>
      </c>
      <c r="H444" t="s">
        <v>4257</v>
      </c>
      <c r="I444" t="s">
        <v>4223</v>
      </c>
      <c r="J444" s="50" t="str">
        <f>IF(I444="","",_xlfn.XLOOKUP(TRIM(I444),'SkillMasterSkill ID'!$C:$C,'SkillMasterSkill ID'!$F:$F,"NOT FOUND",0))</f>
        <v>NOT FOUND</v>
      </c>
      <c r="K444" s="50"/>
      <c r="L444" s="50"/>
    </row>
    <row r="445" spans="1:12" x14ac:dyDescent="0.25">
      <c r="A44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45">
        <v>3100</v>
      </c>
      <c r="C445" t="s">
        <v>4240</v>
      </c>
      <c r="D445" s="46"/>
      <c r="E445" t="s">
        <v>4281</v>
      </c>
      <c r="F445" s="50"/>
      <c r="G445" t="s">
        <v>4280</v>
      </c>
      <c r="H445" t="s">
        <v>4283</v>
      </c>
      <c r="I445" t="s">
        <v>4284</v>
      </c>
      <c r="J445" s="50" t="str">
        <f>IF(I445="","",_xlfn.XLOOKUP(TRIM(I445),'SkillMasterSkill ID'!$C:$C,'SkillMasterSkill ID'!$F:$F,"NOT FOUND",0))</f>
        <v>NOT FOUND</v>
      </c>
      <c r="K445" s="50"/>
      <c r="L445" s="50"/>
    </row>
    <row r="446" spans="1:12" x14ac:dyDescent="0.25">
      <c r="A44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46">
        <v>3100</v>
      </c>
      <c r="C446" t="s">
        <v>4240</v>
      </c>
      <c r="D446" s="46"/>
      <c r="E446" t="s">
        <v>2459</v>
      </c>
      <c r="F446" s="50"/>
      <c r="G446" t="s">
        <v>4291</v>
      </c>
      <c r="H446" t="s">
        <v>4296</v>
      </c>
      <c r="I446" t="s">
        <v>4297</v>
      </c>
      <c r="J446" s="50" t="str">
        <f>IF(I446="","",_xlfn.XLOOKUP(TRIM(I446),'SkillMasterSkill ID'!$C:$C,'SkillMasterSkill ID'!$F:$F,"NOT FOUND",0))</f>
        <v>NOT FOUND</v>
      </c>
      <c r="K446" s="50"/>
      <c r="L446" s="50"/>
    </row>
    <row r="447" spans="1:12" x14ac:dyDescent="0.25">
      <c r="A44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47">
        <v>3100</v>
      </c>
      <c r="C447" t="s">
        <v>4240</v>
      </c>
      <c r="D447" s="46"/>
      <c r="E447" t="s">
        <v>953</v>
      </c>
      <c r="F447" s="50"/>
      <c r="G447" t="s">
        <v>4224</v>
      </c>
      <c r="H447" t="s">
        <v>4316</v>
      </c>
      <c r="I447" t="s">
        <v>4233</v>
      </c>
      <c r="J447" s="50" t="str">
        <f>IF(I447="","",_xlfn.XLOOKUP(TRIM(I447),'SkillMasterSkill ID'!$C:$C,'SkillMasterSkill ID'!$F:$F,"NOT FOUND",0))</f>
        <v>NOT FOUND</v>
      </c>
      <c r="K447" s="50"/>
      <c r="L447" s="50"/>
    </row>
    <row r="448" spans="1:12" x14ac:dyDescent="0.25">
      <c r="A44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48">
        <v>3100</v>
      </c>
      <c r="C448" t="s">
        <v>4240</v>
      </c>
      <c r="D448" s="46"/>
      <c r="E448" t="s">
        <v>4301</v>
      </c>
      <c r="F448" s="50"/>
      <c r="G448" t="s">
        <v>4300</v>
      </c>
      <c r="H448" t="s">
        <v>4303</v>
      </c>
      <c r="I448" t="s">
        <v>4304</v>
      </c>
      <c r="J448" s="50" t="str">
        <f>IF(I448="","",_xlfn.XLOOKUP(TRIM(I448),'SkillMasterSkill ID'!$C:$C,'SkillMasterSkill ID'!$F:$F,"NOT FOUND",0))</f>
        <v>NOT FOUND</v>
      </c>
      <c r="K448" s="50"/>
      <c r="L448" s="50"/>
    </row>
    <row r="449" spans="1:12" x14ac:dyDescent="0.25">
      <c r="A44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49">
        <v>3100</v>
      </c>
      <c r="C449" t="s">
        <v>4240</v>
      </c>
      <c r="D449" s="46"/>
      <c r="E449" t="s">
        <v>2442</v>
      </c>
      <c r="F449" s="50"/>
      <c r="G449" t="s">
        <v>4271</v>
      </c>
      <c r="H449" t="s">
        <v>4273</v>
      </c>
      <c r="I449" t="s">
        <v>4274</v>
      </c>
      <c r="J449" s="50" t="str">
        <f>IF(I449="","",_xlfn.XLOOKUP(TRIM(I449),'SkillMasterSkill ID'!$C:$C,'SkillMasterSkill ID'!$F:$F,"NOT FOUND",0))</f>
        <v>NOT FOUND</v>
      </c>
      <c r="K449" s="50"/>
      <c r="L449" s="50"/>
    </row>
    <row r="450" spans="1:12" x14ac:dyDescent="0.25">
      <c r="A45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50">
        <v>3100</v>
      </c>
      <c r="C450" t="s">
        <v>4240</v>
      </c>
      <c r="D450" s="46"/>
      <c r="E450" t="s">
        <v>2430</v>
      </c>
      <c r="F450" s="50"/>
      <c r="G450" t="s">
        <v>4253</v>
      </c>
      <c r="H450" t="s">
        <v>4258</v>
      </c>
      <c r="I450" t="s">
        <v>4259</v>
      </c>
      <c r="J450" s="50" t="str">
        <f>IF(I450="","",_xlfn.XLOOKUP(TRIM(I450),'SkillMasterSkill ID'!$C:$C,'SkillMasterSkill ID'!$F:$F,"NOT FOUND",0))</f>
        <v>NOT FOUND</v>
      </c>
      <c r="K450" s="50"/>
      <c r="L450" s="50"/>
    </row>
    <row r="451" spans="1:12" x14ac:dyDescent="0.25">
      <c r="A45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51">
        <v>3100</v>
      </c>
      <c r="C451" t="s">
        <v>4240</v>
      </c>
      <c r="D451" s="46"/>
      <c r="E451" t="s">
        <v>4265</v>
      </c>
      <c r="F451" s="50"/>
      <c r="G451" t="s">
        <v>4260</v>
      </c>
      <c r="H451" t="s">
        <v>4267</v>
      </c>
      <c r="I451" t="s">
        <v>4268</v>
      </c>
      <c r="J451" s="50" t="str">
        <f>IF(I451="","",_xlfn.XLOOKUP(TRIM(I451),'SkillMasterSkill ID'!$C:$C,'SkillMasterSkill ID'!$F:$F,"NOT FOUND",0))</f>
        <v>NOT FOUND</v>
      </c>
      <c r="K451" s="50"/>
      <c r="L451" s="50"/>
    </row>
    <row r="452" spans="1:12" x14ac:dyDescent="0.25">
      <c r="A45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52">
        <v>3100</v>
      </c>
      <c r="C452" t="s">
        <v>4240</v>
      </c>
      <c r="D452" s="46"/>
      <c r="E452" t="s">
        <v>2465</v>
      </c>
      <c r="F452" s="50"/>
      <c r="G452" t="s">
        <v>4309</v>
      </c>
      <c r="H452" t="s">
        <v>4310</v>
      </c>
      <c r="I452" t="s">
        <v>4311</v>
      </c>
      <c r="J452" s="50" t="str">
        <f>IF(I452="","",_xlfn.XLOOKUP(TRIM(I452),'SkillMasterSkill ID'!$C:$C,'SkillMasterSkill ID'!$F:$F,"NOT FOUND",0))</f>
        <v>NOT FOUND</v>
      </c>
      <c r="K452" s="50"/>
      <c r="L452" s="50"/>
    </row>
    <row r="453" spans="1:12" x14ac:dyDescent="0.25">
      <c r="A45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53">
        <v>3100</v>
      </c>
      <c r="C453" t="s">
        <v>4240</v>
      </c>
      <c r="D453" s="46"/>
      <c r="E453" t="s">
        <v>2459</v>
      </c>
      <c r="F453" s="50"/>
      <c r="G453" t="s">
        <v>4291</v>
      </c>
      <c r="H453" t="s">
        <v>4294</v>
      </c>
      <c r="I453" t="s">
        <v>4295</v>
      </c>
      <c r="J453" s="50" t="str">
        <f>IF(I453="","",_xlfn.XLOOKUP(TRIM(I453),'SkillMasterSkill ID'!$C:$C,'SkillMasterSkill ID'!$F:$F,"NOT FOUND",0))</f>
        <v>NOT FOUND</v>
      </c>
      <c r="K453" s="50"/>
      <c r="L453" s="50"/>
    </row>
    <row r="454" spans="1:12" x14ac:dyDescent="0.25">
      <c r="A45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54">
        <v>3100</v>
      </c>
      <c r="C454" t="s">
        <v>4240</v>
      </c>
      <c r="D454" s="46"/>
      <c r="E454" t="s">
        <v>2459</v>
      </c>
      <c r="F454" s="50"/>
      <c r="G454" t="s">
        <v>4291</v>
      </c>
      <c r="H454" t="s">
        <v>4293</v>
      </c>
      <c r="I454" t="s">
        <v>2462</v>
      </c>
      <c r="J454" s="50" t="str">
        <f>IF(I454="","",_xlfn.XLOOKUP(TRIM(I454),'SkillMasterSkill ID'!$C:$C,'SkillMasterSkill ID'!$F:$F,"NOT FOUND",0))</f>
        <v>NOT FOUND</v>
      </c>
      <c r="K454" s="50"/>
      <c r="L454" s="50"/>
    </row>
    <row r="455" spans="1:12" x14ac:dyDescent="0.25">
      <c r="A45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55">
        <v>3100</v>
      </c>
      <c r="C455" t="s">
        <v>4240</v>
      </c>
      <c r="D455" s="46"/>
      <c r="E455" t="s">
        <v>3071</v>
      </c>
      <c r="F455" s="50"/>
      <c r="G455" t="s">
        <v>4224</v>
      </c>
      <c r="H455" t="s">
        <v>4315</v>
      </c>
      <c r="I455" t="s">
        <v>4116</v>
      </c>
      <c r="J455" s="50" t="str">
        <f>IF(I455="","",_xlfn.XLOOKUP(TRIM(I455),'SkillMasterSkill ID'!$C:$C,'SkillMasterSkill ID'!$F:$F,"NOT FOUND",0))</f>
        <v>NOT FOUND</v>
      </c>
      <c r="K455" s="50"/>
      <c r="L455" s="50"/>
    </row>
    <row r="456" spans="1:12" x14ac:dyDescent="0.25">
      <c r="A45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56">
        <v>20202</v>
      </c>
      <c r="C456" t="s">
        <v>92</v>
      </c>
      <c r="D456" s="46"/>
      <c r="E456" t="s">
        <v>961</v>
      </c>
      <c r="F456" s="50"/>
      <c r="G456" t="s">
        <v>3805</v>
      </c>
      <c r="H456" t="s">
        <v>3892</v>
      </c>
      <c r="I456" t="s">
        <v>3893</v>
      </c>
      <c r="J456" s="50" t="str">
        <f>IF(I456="","",_xlfn.XLOOKUP(TRIM(I456),'SkillMasterSkill ID'!$C:$C,'SkillMasterSkill ID'!$F:$F,"NOT FOUND",0))</f>
        <v>NOT FOUND</v>
      </c>
      <c r="K456" s="50"/>
      <c r="L456" s="50"/>
    </row>
    <row r="457" spans="1:12" x14ac:dyDescent="0.25">
      <c r="A45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57">
        <v>20202</v>
      </c>
      <c r="C457" t="s">
        <v>92</v>
      </c>
      <c r="D457" s="46"/>
      <c r="E457" t="s">
        <v>873</v>
      </c>
      <c r="F457" s="50"/>
      <c r="G457" t="s">
        <v>3805</v>
      </c>
      <c r="H457" t="s">
        <v>3896</v>
      </c>
      <c r="I457" t="s">
        <v>3897</v>
      </c>
      <c r="J457" s="50" t="str">
        <f>IF(I457="","",_xlfn.XLOOKUP(TRIM(I457),'SkillMasterSkill ID'!$C:$C,'SkillMasterSkill ID'!$F:$F,"NOT FOUND",0))</f>
        <v>NOT FOUND</v>
      </c>
      <c r="K457" s="50"/>
      <c r="L457" s="50"/>
    </row>
    <row r="458" spans="1:12" x14ac:dyDescent="0.25">
      <c r="A45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58">
        <v>20202</v>
      </c>
      <c r="C458" t="s">
        <v>92</v>
      </c>
      <c r="D458" s="46"/>
      <c r="E458" t="s">
        <v>2207</v>
      </c>
      <c r="F458" s="50"/>
      <c r="G458" t="s">
        <v>3805</v>
      </c>
      <c r="H458" t="s">
        <v>3894</v>
      </c>
      <c r="I458" t="s">
        <v>3895</v>
      </c>
      <c r="J458" s="50" t="str">
        <f>IF(I458="","",_xlfn.XLOOKUP(TRIM(I458),'SkillMasterSkill ID'!$C:$C,'SkillMasterSkill ID'!$F:$F,"NOT FOUND",0))</f>
        <v>NOT FOUND</v>
      </c>
      <c r="K458" s="50"/>
      <c r="L458" s="50"/>
    </row>
    <row r="459" spans="1:12" x14ac:dyDescent="0.25">
      <c r="A45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59">
        <v>20202</v>
      </c>
      <c r="C459" t="s">
        <v>92</v>
      </c>
      <c r="D459" s="46"/>
      <c r="E459" t="s">
        <v>3888</v>
      </c>
      <c r="F459" s="50"/>
      <c r="G459" t="s">
        <v>3805</v>
      </c>
      <c r="H459" t="s">
        <v>3890</v>
      </c>
      <c r="I459" t="s">
        <v>3891</v>
      </c>
      <c r="J459" s="50" t="str">
        <f>IF(I459="","",_xlfn.XLOOKUP(TRIM(I459),'SkillMasterSkill ID'!$C:$C,'SkillMasterSkill ID'!$F:$F,"NOT FOUND",0))</f>
        <v>NOT FOUND</v>
      </c>
      <c r="K459" s="50"/>
      <c r="L459" s="50"/>
    </row>
    <row r="460" spans="1:12" x14ac:dyDescent="0.25">
      <c r="A46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60">
        <v>20203</v>
      </c>
      <c r="C460" t="s">
        <v>89</v>
      </c>
      <c r="D460" s="46"/>
      <c r="E460" t="s">
        <v>961</v>
      </c>
      <c r="F460" s="50"/>
      <c r="G460" t="s">
        <v>3805</v>
      </c>
      <c r="H460" t="s">
        <v>3901</v>
      </c>
      <c r="I460" t="s">
        <v>3902</v>
      </c>
      <c r="J460" s="50" t="str">
        <f>IF(I460="","",_xlfn.XLOOKUP(TRIM(I460),'SkillMasterSkill ID'!$C:$C,'SkillMasterSkill ID'!$F:$F,"NOT FOUND",0))</f>
        <v>NOT FOUND</v>
      </c>
      <c r="K460" s="50"/>
      <c r="L460" s="50"/>
    </row>
    <row r="461" spans="1:12" x14ac:dyDescent="0.25">
      <c r="A46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61">
        <v>20203</v>
      </c>
      <c r="C461" t="s">
        <v>89</v>
      </c>
      <c r="D461" s="46"/>
      <c r="E461" t="s">
        <v>3888</v>
      </c>
      <c r="F461" s="50"/>
      <c r="G461" t="s">
        <v>3805</v>
      </c>
      <c r="H461" t="s">
        <v>3899</v>
      </c>
      <c r="I461" t="s">
        <v>3900</v>
      </c>
      <c r="J461" s="50" t="str">
        <f>IF(I461="","",_xlfn.XLOOKUP(TRIM(I461),'SkillMasterSkill ID'!$C:$C,'SkillMasterSkill ID'!$F:$F,"NOT FOUND",0))</f>
        <v>NOT FOUND</v>
      </c>
      <c r="K461" s="50"/>
      <c r="L461" s="50"/>
    </row>
    <row r="462" spans="1:12" x14ac:dyDescent="0.25">
      <c r="A46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62">
        <v>20203</v>
      </c>
      <c r="C462" t="s">
        <v>89</v>
      </c>
      <c r="D462" s="46"/>
      <c r="E462" t="s">
        <v>2207</v>
      </c>
      <c r="F462" s="50"/>
      <c r="G462" t="s">
        <v>3805</v>
      </c>
      <c r="H462" t="s">
        <v>3903</v>
      </c>
      <c r="I462" t="s">
        <v>3904</v>
      </c>
      <c r="J462" s="50" t="str">
        <f>IF(I462="","",_xlfn.XLOOKUP(TRIM(I462),'SkillMasterSkill ID'!$C:$C,'SkillMasterSkill ID'!$F:$F,"NOT FOUND",0))</f>
        <v>NOT FOUND</v>
      </c>
      <c r="K462" s="50"/>
      <c r="L462" s="50"/>
    </row>
    <row r="463" spans="1:12" x14ac:dyDescent="0.25">
      <c r="A46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63">
        <v>20204</v>
      </c>
      <c r="C463" t="s">
        <v>750</v>
      </c>
      <c r="D463" s="46"/>
      <c r="E463" t="s">
        <v>2207</v>
      </c>
      <c r="F463" s="50"/>
      <c r="G463" t="s">
        <v>3805</v>
      </c>
      <c r="H463" t="s">
        <v>3910</v>
      </c>
      <c r="I463" t="s">
        <v>3911</v>
      </c>
      <c r="J463" s="50" t="str">
        <f>IF(I463="","",_xlfn.XLOOKUP(TRIM(I463),'SkillMasterSkill ID'!$C:$C,'SkillMasterSkill ID'!$F:$F,"NOT FOUND",0))</f>
        <v>NOT FOUND</v>
      </c>
      <c r="K463" s="50"/>
      <c r="L463" s="50"/>
    </row>
    <row r="464" spans="1:12" x14ac:dyDescent="0.25">
      <c r="A46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64">
        <v>20204</v>
      </c>
      <c r="C464" t="s">
        <v>750</v>
      </c>
      <c r="D464" s="46"/>
      <c r="E464" t="s">
        <v>961</v>
      </c>
      <c r="F464" s="50"/>
      <c r="G464" t="s">
        <v>3805</v>
      </c>
      <c r="H464" t="s">
        <v>3908</v>
      </c>
      <c r="I464" t="s">
        <v>3909</v>
      </c>
      <c r="J464" s="50" t="str">
        <f>IF(I464="","",_xlfn.XLOOKUP(TRIM(I464),'SkillMasterSkill ID'!$C:$C,'SkillMasterSkill ID'!$F:$F,"NOT FOUND",0))</f>
        <v>NOT FOUND</v>
      </c>
      <c r="K464" s="50"/>
      <c r="L464" s="50"/>
    </row>
    <row r="465" spans="1:12" x14ac:dyDescent="0.25">
      <c r="A46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65">
        <v>20204</v>
      </c>
      <c r="C465" t="s">
        <v>750</v>
      </c>
      <c r="D465" s="46"/>
      <c r="E465" t="s">
        <v>3888</v>
      </c>
      <c r="F465" s="50"/>
      <c r="G465" t="s">
        <v>3805</v>
      </c>
      <c r="H465" t="s">
        <v>3906</v>
      </c>
      <c r="I465" t="s">
        <v>3907</v>
      </c>
      <c r="J465" s="50" t="str">
        <f>IF(I465="","",_xlfn.XLOOKUP(TRIM(I465),'SkillMasterSkill ID'!$C:$C,'SkillMasterSkill ID'!$F:$F,"NOT FOUND",0))</f>
        <v>NOT FOUND</v>
      </c>
      <c r="K465" s="50"/>
      <c r="L465" s="50"/>
    </row>
    <row r="466" spans="1:12" x14ac:dyDescent="0.25">
      <c r="A46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66">
        <v>20205</v>
      </c>
      <c r="C466" t="s">
        <v>751</v>
      </c>
      <c r="D466" s="46"/>
      <c r="E466" t="s">
        <v>961</v>
      </c>
      <c r="F466" s="50"/>
      <c r="G466" t="s">
        <v>3805</v>
      </c>
      <c r="H466" t="s">
        <v>3914</v>
      </c>
      <c r="I466" t="s">
        <v>3915</v>
      </c>
      <c r="J466" s="50" t="str">
        <f>IF(I466="","",_xlfn.XLOOKUP(TRIM(I466),'SkillMasterSkill ID'!$C:$C,'SkillMasterSkill ID'!$F:$F,"NOT FOUND",0))</f>
        <v>NOT FOUND</v>
      </c>
      <c r="K466" s="50"/>
      <c r="L466" s="50"/>
    </row>
    <row r="467" spans="1:12" x14ac:dyDescent="0.25">
      <c r="A46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67">
        <v>20205</v>
      </c>
      <c r="C467" t="s">
        <v>751</v>
      </c>
      <c r="D467" s="46"/>
      <c r="E467" t="s">
        <v>2207</v>
      </c>
      <c r="F467" s="50"/>
      <c r="G467" t="s">
        <v>3805</v>
      </c>
      <c r="H467" t="s">
        <v>3916</v>
      </c>
      <c r="I467" t="s">
        <v>3917</v>
      </c>
      <c r="J467" s="50" t="str">
        <f>IF(I467="","",_xlfn.XLOOKUP(TRIM(I467),'SkillMasterSkill ID'!$C:$C,'SkillMasterSkill ID'!$F:$F,"NOT FOUND",0))</f>
        <v>NOT FOUND</v>
      </c>
      <c r="K467" s="50"/>
      <c r="L467" s="50"/>
    </row>
    <row r="468" spans="1:12" x14ac:dyDescent="0.25">
      <c r="A46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68">
        <v>20205</v>
      </c>
      <c r="C468" t="s">
        <v>751</v>
      </c>
      <c r="D468" s="46"/>
      <c r="E468" t="s">
        <v>3888</v>
      </c>
      <c r="F468" s="50"/>
      <c r="G468" t="s">
        <v>3805</v>
      </c>
      <c r="H468" t="s">
        <v>3912</v>
      </c>
      <c r="I468" t="s">
        <v>3913</v>
      </c>
      <c r="J468" s="50" t="str">
        <f>IF(I468="","",_xlfn.XLOOKUP(TRIM(I468),'SkillMasterSkill ID'!$C:$C,'SkillMasterSkill ID'!$F:$F,"NOT FOUND",0))</f>
        <v>NOT FOUND</v>
      </c>
      <c r="K468" s="50"/>
      <c r="L468" s="50"/>
    </row>
    <row r="469" spans="1:12" x14ac:dyDescent="0.25">
      <c r="A46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69">
        <v>20206</v>
      </c>
      <c r="C469" t="s">
        <v>85</v>
      </c>
      <c r="D469" s="46"/>
      <c r="E469" t="s">
        <v>961</v>
      </c>
      <c r="F469" s="50"/>
      <c r="G469" t="s">
        <v>3805</v>
      </c>
      <c r="H469" t="s">
        <v>3920</v>
      </c>
      <c r="I469" t="s">
        <v>3921</v>
      </c>
      <c r="J469" s="50" t="str">
        <f>IF(I469="","",_xlfn.XLOOKUP(TRIM(I469),'SkillMasterSkill ID'!$C:$C,'SkillMasterSkill ID'!$F:$F,"NOT FOUND",0))</f>
        <v>NOT FOUND</v>
      </c>
      <c r="K469" s="50"/>
      <c r="L469" s="50"/>
    </row>
    <row r="470" spans="1:12" x14ac:dyDescent="0.25">
      <c r="A47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70">
        <v>20206</v>
      </c>
      <c r="C470" t="s">
        <v>85</v>
      </c>
      <c r="D470" s="46"/>
      <c r="E470" t="s">
        <v>3888</v>
      </c>
      <c r="F470" s="50"/>
      <c r="G470" t="s">
        <v>3805</v>
      </c>
      <c r="H470" t="s">
        <v>3918</v>
      </c>
      <c r="I470" t="s">
        <v>3919</v>
      </c>
      <c r="J470" s="50" t="str">
        <f>IF(I470="","",_xlfn.XLOOKUP(TRIM(I470),'SkillMasterSkill ID'!$C:$C,'SkillMasterSkill ID'!$F:$F,"NOT FOUND",0))</f>
        <v>NOT FOUND</v>
      </c>
      <c r="K470" s="50"/>
      <c r="L470" s="50"/>
    </row>
    <row r="471" spans="1:12" x14ac:dyDescent="0.25">
      <c r="A47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71">
        <v>20206</v>
      </c>
      <c r="C471" t="s">
        <v>85</v>
      </c>
      <c r="D471" s="46"/>
      <c r="E471" t="s">
        <v>2207</v>
      </c>
      <c r="F471" s="50"/>
      <c r="G471" t="s">
        <v>3805</v>
      </c>
      <c r="H471" t="s">
        <v>3922</v>
      </c>
      <c r="I471" t="s">
        <v>3923</v>
      </c>
      <c r="J471" s="50" t="str">
        <f>IF(I471="","",_xlfn.XLOOKUP(TRIM(I471),'SkillMasterSkill ID'!$C:$C,'SkillMasterSkill ID'!$F:$F,"NOT FOUND",0))</f>
        <v>NOT FOUND</v>
      </c>
      <c r="K471" s="50"/>
      <c r="L471" s="50"/>
    </row>
    <row r="472" spans="1:12" x14ac:dyDescent="0.25">
      <c r="A47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72" t="s">
        <v>3924</v>
      </c>
      <c r="C472" t="s">
        <v>3925</v>
      </c>
      <c r="D472" s="46"/>
      <c r="E472" t="s">
        <v>3946</v>
      </c>
      <c r="F472" s="50"/>
      <c r="G472" t="s">
        <v>3805</v>
      </c>
      <c r="H472" t="s">
        <v>3948</v>
      </c>
      <c r="I472" t="s">
        <v>3949</v>
      </c>
      <c r="J472" s="50" t="str">
        <f>IF(I472="","",_xlfn.XLOOKUP(TRIM(I472),'SkillMasterSkill ID'!$C:$C,'SkillMasterSkill ID'!$F:$F,"NOT FOUND",0))</f>
        <v>NOT FOUND</v>
      </c>
      <c r="K472" s="50"/>
      <c r="L472" s="50"/>
    </row>
    <row r="473" spans="1:12" x14ac:dyDescent="0.25">
      <c r="A47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73" t="s">
        <v>3924</v>
      </c>
      <c r="C473" t="s">
        <v>3925</v>
      </c>
      <c r="D473" s="46"/>
      <c r="E473" t="s">
        <v>3950</v>
      </c>
      <c r="F473" s="50"/>
      <c r="G473" t="s">
        <v>3805</v>
      </c>
      <c r="H473" t="s">
        <v>3952</v>
      </c>
      <c r="I473" t="s">
        <v>3953</v>
      </c>
      <c r="J473" s="50" t="str">
        <f>IF(I473="","",_xlfn.XLOOKUP(TRIM(I473),'SkillMasterSkill ID'!$C:$C,'SkillMasterSkill ID'!$F:$F,"NOT FOUND",0))</f>
        <v>NOT FOUND</v>
      </c>
      <c r="K473" s="50"/>
      <c r="L473" s="50"/>
    </row>
    <row r="474" spans="1:12" x14ac:dyDescent="0.25">
      <c r="A47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74" t="s">
        <v>3924</v>
      </c>
      <c r="C474" t="s">
        <v>3925</v>
      </c>
      <c r="D474" s="46"/>
      <c r="E474" t="s">
        <v>3888</v>
      </c>
      <c r="F474" s="50"/>
      <c r="G474" t="s">
        <v>3805</v>
      </c>
      <c r="H474" t="s">
        <v>3932</v>
      </c>
      <c r="I474" t="s">
        <v>3933</v>
      </c>
      <c r="J474" s="50" t="str">
        <f>IF(I474="","",_xlfn.XLOOKUP(TRIM(I474),'SkillMasterSkill ID'!$C:$C,'SkillMasterSkill ID'!$F:$F,"NOT FOUND",0))</f>
        <v>NOT FOUND</v>
      </c>
      <c r="K474" s="50"/>
      <c r="L474" s="50"/>
    </row>
    <row r="475" spans="1:12" x14ac:dyDescent="0.25">
      <c r="A47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75" t="s">
        <v>3924</v>
      </c>
      <c r="C475" t="s">
        <v>3925</v>
      </c>
      <c r="D475" s="46"/>
      <c r="E475" t="s">
        <v>2650</v>
      </c>
      <c r="F475" s="50"/>
      <c r="G475" t="s">
        <v>3805</v>
      </c>
      <c r="H475" t="s">
        <v>3944</v>
      </c>
      <c r="I475" t="s">
        <v>3945</v>
      </c>
      <c r="J475" s="50" t="str">
        <f>IF(I475="","",_xlfn.XLOOKUP(TRIM(I475),'SkillMasterSkill ID'!$C:$C,'SkillMasterSkill ID'!$F:$F,"NOT FOUND",0))</f>
        <v>NOT FOUND</v>
      </c>
      <c r="K475" s="50"/>
      <c r="L475" s="50"/>
    </row>
    <row r="476" spans="1:12" x14ac:dyDescent="0.25">
      <c r="A47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76" t="s">
        <v>3924</v>
      </c>
      <c r="C476" t="s">
        <v>3925</v>
      </c>
      <c r="D476" s="46"/>
      <c r="E476" t="s">
        <v>3843</v>
      </c>
      <c r="F476" s="50"/>
      <c r="G476" t="s">
        <v>3805</v>
      </c>
      <c r="H476" t="s">
        <v>3954</v>
      </c>
      <c r="I476" t="s">
        <v>3955</v>
      </c>
      <c r="J476" s="50" t="str">
        <f>IF(I476="","",_xlfn.XLOOKUP(TRIM(I476),'SkillMasterSkill ID'!$C:$C,'SkillMasterSkill ID'!$F:$F,"NOT FOUND",0))</f>
        <v>NOT FOUND</v>
      </c>
      <c r="K476" s="50"/>
      <c r="L476" s="50"/>
    </row>
    <row r="477" spans="1:12" x14ac:dyDescent="0.25">
      <c r="A47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77" t="s">
        <v>3924</v>
      </c>
      <c r="C477" t="s">
        <v>3925</v>
      </c>
      <c r="D477" s="46"/>
      <c r="E477" t="s">
        <v>3605</v>
      </c>
      <c r="F477" s="50"/>
      <c r="G477" t="s">
        <v>3805</v>
      </c>
      <c r="H477" t="s">
        <v>3938</v>
      </c>
      <c r="I477" t="s">
        <v>3939</v>
      </c>
      <c r="J477" s="50" t="str">
        <f>IF(I477="","",_xlfn.XLOOKUP(TRIM(I477),'SkillMasterSkill ID'!$C:$C,'SkillMasterSkill ID'!$F:$F,"NOT FOUND",0))</f>
        <v>NOT FOUND</v>
      </c>
      <c r="K477" s="50"/>
      <c r="L477" s="50"/>
    </row>
    <row r="478" spans="1:12" x14ac:dyDescent="0.25">
      <c r="A47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78" t="s">
        <v>3924</v>
      </c>
      <c r="C478" t="s">
        <v>3925</v>
      </c>
      <c r="D478" s="46"/>
      <c r="E478" t="s">
        <v>3214</v>
      </c>
      <c r="F478" s="50"/>
      <c r="G478" t="s">
        <v>3805</v>
      </c>
      <c r="H478" t="s">
        <v>3926</v>
      </c>
      <c r="I478" t="s">
        <v>3927</v>
      </c>
      <c r="J478" s="50" t="str">
        <f>IF(I478="","",_xlfn.XLOOKUP(TRIM(I478),'SkillMasterSkill ID'!$C:$C,'SkillMasterSkill ID'!$F:$F,"NOT FOUND",0))</f>
        <v>NOT FOUND</v>
      </c>
      <c r="K478" s="50"/>
      <c r="L478" s="50"/>
    </row>
    <row r="479" spans="1:12" x14ac:dyDescent="0.25">
      <c r="A47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79" t="s">
        <v>3924</v>
      </c>
      <c r="C479" t="s">
        <v>3925</v>
      </c>
      <c r="D479" s="46"/>
      <c r="E479" t="s">
        <v>3934</v>
      </c>
      <c r="F479" s="50"/>
      <c r="G479" t="s">
        <v>3805</v>
      </c>
      <c r="H479" t="s">
        <v>3936</v>
      </c>
      <c r="I479" t="s">
        <v>3937</v>
      </c>
      <c r="J479" s="50" t="str">
        <f>IF(I479="","",_xlfn.XLOOKUP(TRIM(I479),'SkillMasterSkill ID'!$C:$C,'SkillMasterSkill ID'!$F:$F,"NOT FOUND",0))</f>
        <v>NOT FOUND</v>
      </c>
      <c r="K479" s="50"/>
      <c r="L479" s="50"/>
    </row>
    <row r="480" spans="1:12" x14ac:dyDescent="0.25">
      <c r="A48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80" t="s">
        <v>3924</v>
      </c>
      <c r="C480" t="s">
        <v>3925</v>
      </c>
      <c r="D480" s="46"/>
      <c r="E480" t="s">
        <v>3621</v>
      </c>
      <c r="F480" s="50"/>
      <c r="G480" t="s">
        <v>3805</v>
      </c>
      <c r="H480" t="s">
        <v>3929</v>
      </c>
      <c r="I480" t="s">
        <v>3930</v>
      </c>
      <c r="J480" s="50" t="str">
        <f>IF(I480="","",_xlfn.XLOOKUP(TRIM(I480),'SkillMasterSkill ID'!$C:$C,'SkillMasterSkill ID'!$F:$F,"NOT FOUND",0))</f>
        <v>NOT FOUND</v>
      </c>
      <c r="K480" s="50"/>
      <c r="L480" s="50"/>
    </row>
    <row r="481" spans="1:12" x14ac:dyDescent="0.25">
      <c r="A48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81" t="s">
        <v>3924</v>
      </c>
      <c r="C481" t="s">
        <v>3925</v>
      </c>
      <c r="D481" s="46"/>
      <c r="E481" t="s">
        <v>1237</v>
      </c>
      <c r="F481" s="50"/>
      <c r="G481" t="s">
        <v>3805</v>
      </c>
      <c r="H481" t="s">
        <v>3941</v>
      </c>
      <c r="I481" t="s">
        <v>3942</v>
      </c>
      <c r="J481" s="50" t="str">
        <f>IF(I481="","",_xlfn.XLOOKUP(TRIM(I481),'SkillMasterSkill ID'!$C:$C,'SkillMasterSkill ID'!$F:$F,"NOT FOUND",0))</f>
        <v>NOT FOUND</v>
      </c>
      <c r="K481" s="50"/>
      <c r="L481" s="50"/>
    </row>
    <row r="482" spans="1:12" x14ac:dyDescent="0.25">
      <c r="A48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82">
        <v>40101</v>
      </c>
      <c r="C482" t="s">
        <v>15</v>
      </c>
      <c r="D482" s="46"/>
      <c r="E482" t="s">
        <v>3843</v>
      </c>
      <c r="F482" s="50"/>
      <c r="G482" t="s">
        <v>3805</v>
      </c>
      <c r="H482" t="s">
        <v>3845</v>
      </c>
      <c r="I482" t="s">
        <v>3846</v>
      </c>
      <c r="J482" s="50" t="str">
        <f>IF(I482="","",_xlfn.XLOOKUP(TRIM(I482),'SkillMasterSkill ID'!$C:$C,'SkillMasterSkill ID'!$F:$F,"NOT FOUND",0))</f>
        <v>NOT FOUND</v>
      </c>
      <c r="K482" s="50"/>
      <c r="L482" s="50"/>
    </row>
    <row r="483" spans="1:12" x14ac:dyDescent="0.25">
      <c r="A48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83">
        <v>40101</v>
      </c>
      <c r="C483" t="s">
        <v>15</v>
      </c>
      <c r="D483" s="46"/>
      <c r="E483" t="s">
        <v>2207</v>
      </c>
      <c r="F483" s="50"/>
      <c r="G483" t="s">
        <v>3805</v>
      </c>
      <c r="H483" t="s">
        <v>3835</v>
      </c>
      <c r="I483" t="s">
        <v>3836</v>
      </c>
      <c r="J483" s="50" t="str">
        <f>IF(I483="","",_xlfn.XLOOKUP(TRIM(I483),'SkillMasterSkill ID'!$C:$C,'SkillMasterSkill ID'!$F:$F,"NOT FOUND",0))</f>
        <v>NOT FOUND</v>
      </c>
      <c r="K483" s="50"/>
      <c r="L483" s="50"/>
    </row>
    <row r="484" spans="1:12" x14ac:dyDescent="0.25">
      <c r="A48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84">
        <v>40101</v>
      </c>
      <c r="C484" t="s">
        <v>15</v>
      </c>
      <c r="D484" s="46"/>
      <c r="E484" t="s">
        <v>3698</v>
      </c>
      <c r="F484" s="50"/>
      <c r="G484" t="s">
        <v>3805</v>
      </c>
      <c r="H484" t="s">
        <v>3833</v>
      </c>
      <c r="I484" t="s">
        <v>3044</v>
      </c>
      <c r="J484" s="50" t="str">
        <f>IF(I484="","",_xlfn.XLOOKUP(TRIM(I484),'SkillMasterSkill ID'!$C:$C,'SkillMasterSkill ID'!$F:$F,"NOT FOUND",0))</f>
        <v>NOT FOUND</v>
      </c>
      <c r="K484" s="50"/>
      <c r="L484" s="50"/>
    </row>
    <row r="485" spans="1:12" x14ac:dyDescent="0.25">
      <c r="A48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85">
        <v>40101</v>
      </c>
      <c r="C485" t="s">
        <v>15</v>
      </c>
      <c r="D485" s="46"/>
      <c r="E485" t="s">
        <v>3837</v>
      </c>
      <c r="F485" s="50"/>
      <c r="G485" t="s">
        <v>3805</v>
      </c>
      <c r="H485" t="s">
        <v>3839</v>
      </c>
      <c r="I485" t="s">
        <v>3840</v>
      </c>
      <c r="J485" s="50" t="str">
        <f>IF(I485="","",_xlfn.XLOOKUP(TRIM(I485),'SkillMasterSkill ID'!$C:$C,'SkillMasterSkill ID'!$F:$F,"NOT FOUND",0))</f>
        <v>NOT FOUND</v>
      </c>
      <c r="K485" s="50"/>
      <c r="L485" s="50"/>
    </row>
    <row r="486" spans="1:12" x14ac:dyDescent="0.25">
      <c r="A48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86">
        <v>40101</v>
      </c>
      <c r="C486" t="s">
        <v>15</v>
      </c>
      <c r="D486" s="46"/>
      <c r="E486" t="s">
        <v>873</v>
      </c>
      <c r="F486" s="50"/>
      <c r="G486" t="s">
        <v>3805</v>
      </c>
      <c r="H486" t="s">
        <v>3841</v>
      </c>
      <c r="I486" t="s">
        <v>3842</v>
      </c>
      <c r="J486" s="50" t="str">
        <f>IF(I486="","",_xlfn.XLOOKUP(TRIM(I486),'SkillMasterSkill ID'!$C:$C,'SkillMasterSkill ID'!$F:$F,"NOT FOUND",0))</f>
        <v>NOT FOUND</v>
      </c>
      <c r="K486" s="50"/>
      <c r="L486" s="50"/>
    </row>
    <row r="487" spans="1:12" x14ac:dyDescent="0.25">
      <c r="A48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87">
        <v>40102</v>
      </c>
      <c r="C487" t="s">
        <v>9</v>
      </c>
      <c r="D487" s="46"/>
      <c r="E487" t="s">
        <v>1371</v>
      </c>
      <c r="F487" s="50"/>
      <c r="G487" t="s">
        <v>3805</v>
      </c>
      <c r="H487" t="s">
        <v>3848</v>
      </c>
      <c r="I487" t="s">
        <v>3849</v>
      </c>
      <c r="J487" s="50" t="str">
        <f>IF(I487="","",_xlfn.XLOOKUP(TRIM(I487),'SkillMasterSkill ID'!$C:$C,'SkillMasterSkill ID'!$F:$F,"NOT FOUND",0))</f>
        <v>NOT FOUND</v>
      </c>
      <c r="K487" s="50"/>
      <c r="L487" s="50"/>
    </row>
    <row r="488" spans="1:12" x14ac:dyDescent="0.25">
      <c r="A48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88">
        <v>40102</v>
      </c>
      <c r="C488" t="s">
        <v>9</v>
      </c>
      <c r="D488" s="46"/>
      <c r="E488" t="s">
        <v>3843</v>
      </c>
      <c r="F488" s="50"/>
      <c r="G488" t="s">
        <v>3805</v>
      </c>
      <c r="H488" t="s">
        <v>3852</v>
      </c>
      <c r="I488" t="s">
        <v>3853</v>
      </c>
      <c r="J488" s="50" t="str">
        <f>IF(I488="","",_xlfn.XLOOKUP(TRIM(I488),'SkillMasterSkill ID'!$C:$C,'SkillMasterSkill ID'!$F:$F,"NOT FOUND",0))</f>
        <v>NOT FOUND</v>
      </c>
      <c r="K488" s="50"/>
      <c r="L488" s="50"/>
    </row>
    <row r="489" spans="1:12" x14ac:dyDescent="0.25">
      <c r="A48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89">
        <v>40102</v>
      </c>
      <c r="C489" t="s">
        <v>9</v>
      </c>
      <c r="D489" s="46"/>
      <c r="E489" t="s">
        <v>2207</v>
      </c>
      <c r="F489" s="50"/>
      <c r="G489" t="s">
        <v>3805</v>
      </c>
      <c r="H489" t="s">
        <v>3835</v>
      </c>
      <c r="I489" t="s">
        <v>3836</v>
      </c>
      <c r="J489" s="50" t="str">
        <f>IF(I489="","",_xlfn.XLOOKUP(TRIM(I489),'SkillMasterSkill ID'!$C:$C,'SkillMasterSkill ID'!$F:$F,"NOT FOUND",0))</f>
        <v>NOT FOUND</v>
      </c>
      <c r="K489" s="50"/>
      <c r="L489" s="50"/>
    </row>
    <row r="490" spans="1:12" x14ac:dyDescent="0.25">
      <c r="A49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90">
        <v>40102</v>
      </c>
      <c r="C490" t="s">
        <v>9</v>
      </c>
      <c r="D490" s="46"/>
      <c r="E490" t="s">
        <v>873</v>
      </c>
      <c r="F490" s="50"/>
      <c r="G490" t="s">
        <v>3805</v>
      </c>
      <c r="H490" t="s">
        <v>3850</v>
      </c>
      <c r="I490" t="s">
        <v>3851</v>
      </c>
      <c r="J490" s="50" t="str">
        <f>IF(I490="","",_xlfn.XLOOKUP(TRIM(I490),'SkillMasterSkill ID'!$C:$C,'SkillMasterSkill ID'!$F:$F,"NOT FOUND",0))</f>
        <v>NOT FOUND</v>
      </c>
      <c r="K490" s="50"/>
      <c r="L490" s="50"/>
    </row>
    <row r="491" spans="1:12" x14ac:dyDescent="0.25">
      <c r="A49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91">
        <v>40102</v>
      </c>
      <c r="C491" t="s">
        <v>9</v>
      </c>
      <c r="D491" s="46"/>
      <c r="E491" t="s">
        <v>3698</v>
      </c>
      <c r="F491" s="50"/>
      <c r="G491" t="s">
        <v>3805</v>
      </c>
      <c r="H491" t="s">
        <v>3833</v>
      </c>
      <c r="I491" t="s">
        <v>3044</v>
      </c>
      <c r="J491" s="50" t="str">
        <f>IF(I491="","",_xlfn.XLOOKUP(TRIM(I491),'SkillMasterSkill ID'!$C:$C,'SkillMasterSkill ID'!$F:$F,"NOT FOUND",0))</f>
        <v>NOT FOUND</v>
      </c>
      <c r="K491" s="50"/>
      <c r="L491" s="50"/>
    </row>
    <row r="492" spans="1:12" x14ac:dyDescent="0.25">
      <c r="A49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92">
        <v>40103</v>
      </c>
      <c r="C492" t="s">
        <v>445</v>
      </c>
      <c r="D492" s="46"/>
      <c r="E492" t="s">
        <v>2207</v>
      </c>
      <c r="F492" s="50"/>
      <c r="G492" t="s">
        <v>3805</v>
      </c>
      <c r="H492" t="s">
        <v>3856</v>
      </c>
      <c r="I492" t="s">
        <v>3857</v>
      </c>
      <c r="J492" s="50" t="str">
        <f>IF(I492="","",_xlfn.XLOOKUP(TRIM(I492),'SkillMasterSkill ID'!$C:$C,'SkillMasterSkill ID'!$F:$F,"NOT FOUND",0))</f>
        <v>NOT FOUND</v>
      </c>
      <c r="K492" s="50"/>
      <c r="L492" s="50"/>
    </row>
    <row r="493" spans="1:12" x14ac:dyDescent="0.25">
      <c r="A49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93">
        <v>40103</v>
      </c>
      <c r="C493" t="s">
        <v>445</v>
      </c>
      <c r="D493" s="46"/>
      <c r="E493" t="s">
        <v>1371</v>
      </c>
      <c r="F493" s="50"/>
      <c r="G493" t="s">
        <v>3805</v>
      </c>
      <c r="H493" t="s">
        <v>3858</v>
      </c>
      <c r="I493" t="s">
        <v>3859</v>
      </c>
      <c r="J493" s="50" t="str">
        <f>IF(I493="","",_xlfn.XLOOKUP(TRIM(I493),'SkillMasterSkill ID'!$C:$C,'SkillMasterSkill ID'!$F:$F,"NOT FOUND",0))</f>
        <v>NOT FOUND</v>
      </c>
      <c r="K493" s="50"/>
      <c r="L493" s="50"/>
    </row>
    <row r="494" spans="1:12" x14ac:dyDescent="0.25">
      <c r="A49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94">
        <v>40103</v>
      </c>
      <c r="C494" t="s">
        <v>445</v>
      </c>
      <c r="D494" s="46"/>
      <c r="E494" t="s">
        <v>3698</v>
      </c>
      <c r="F494" s="50"/>
      <c r="G494" t="s">
        <v>3805</v>
      </c>
      <c r="H494" t="s">
        <v>3855</v>
      </c>
      <c r="I494" t="s">
        <v>3701</v>
      </c>
      <c r="J494" s="50" t="str">
        <f>IF(I494="","",_xlfn.XLOOKUP(TRIM(I494),'SkillMasterSkill ID'!$C:$C,'SkillMasterSkill ID'!$F:$F,"NOT FOUND",0))</f>
        <v>NOT FOUND</v>
      </c>
      <c r="K494" s="50"/>
      <c r="L494" s="50"/>
    </row>
    <row r="495" spans="1:12" x14ac:dyDescent="0.25">
      <c r="A49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95">
        <v>40103</v>
      </c>
      <c r="C495" t="s">
        <v>445</v>
      </c>
      <c r="D495" s="46"/>
      <c r="E495" t="s">
        <v>3605</v>
      </c>
      <c r="F495" s="50"/>
      <c r="G495" t="s">
        <v>3805</v>
      </c>
      <c r="H495" t="s">
        <v>3860</v>
      </c>
      <c r="I495" t="s">
        <v>3861</v>
      </c>
      <c r="J495" s="50" t="str">
        <f>IF(I495="","",_xlfn.XLOOKUP(TRIM(I495),'SkillMasterSkill ID'!$C:$C,'SkillMasterSkill ID'!$F:$F,"NOT FOUND",0))</f>
        <v>NOT FOUND</v>
      </c>
      <c r="K495" s="50"/>
      <c r="L495" s="50"/>
    </row>
    <row r="496" spans="1:12" x14ac:dyDescent="0.25">
      <c r="A49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96">
        <v>40103</v>
      </c>
      <c r="C496" t="s">
        <v>445</v>
      </c>
      <c r="D496" s="46"/>
      <c r="E496" t="s">
        <v>3843</v>
      </c>
      <c r="F496" s="50"/>
      <c r="G496" t="s">
        <v>3805</v>
      </c>
      <c r="H496" t="s">
        <v>3862</v>
      </c>
      <c r="I496" t="s">
        <v>3863</v>
      </c>
      <c r="J496" s="50" t="str">
        <f>IF(I496="","",_xlfn.XLOOKUP(TRIM(I496),'SkillMasterSkill ID'!$C:$C,'SkillMasterSkill ID'!$F:$F,"NOT FOUND",0))</f>
        <v>NOT FOUND</v>
      </c>
      <c r="K496" s="50"/>
      <c r="L496" s="50"/>
    </row>
    <row r="497" spans="1:12" x14ac:dyDescent="0.25">
      <c r="A49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97">
        <v>10401</v>
      </c>
      <c r="C497" t="s">
        <v>184</v>
      </c>
      <c r="D497" s="46"/>
      <c r="E497" t="s">
        <v>951</v>
      </c>
      <c r="F497" s="50"/>
      <c r="G497" t="s">
        <v>2676</v>
      </c>
      <c r="H497" t="s">
        <v>2680</v>
      </c>
      <c r="I497" t="s">
        <v>2681</v>
      </c>
      <c r="J497" s="50" t="str">
        <f>IF(I497="","",_xlfn.XLOOKUP(TRIM(I497),'SkillMasterSkill ID'!$C:$C,'SkillMasterSkill ID'!$F:$F,"NOT FOUND",0))</f>
        <v>NOT FOUND</v>
      </c>
      <c r="K497" s="50"/>
      <c r="L497" s="50"/>
    </row>
    <row r="498" spans="1:12" x14ac:dyDescent="0.25">
      <c r="A49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98">
        <v>10401</v>
      </c>
      <c r="C498" t="s">
        <v>184</v>
      </c>
      <c r="D498" s="46"/>
      <c r="E498" t="s">
        <v>947</v>
      </c>
      <c r="F498" s="50"/>
      <c r="G498" t="s">
        <v>2639</v>
      </c>
      <c r="H498" t="s">
        <v>2646</v>
      </c>
      <c r="I498" t="s">
        <v>1426</v>
      </c>
      <c r="J498" s="50" t="str">
        <f>IF(I498="","",_xlfn.XLOOKUP(TRIM(I498),'SkillMasterSkill ID'!$C:$C,'SkillMasterSkill ID'!$F:$F,"NOT FOUND",0))</f>
        <v>NOT FOUND</v>
      </c>
      <c r="K498" s="50"/>
      <c r="L498" s="50"/>
    </row>
    <row r="499" spans="1:12" x14ac:dyDescent="0.25">
      <c r="A49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499">
        <v>10401</v>
      </c>
      <c r="C499" t="s">
        <v>184</v>
      </c>
      <c r="D499" s="46"/>
      <c r="E499" t="s">
        <v>2654</v>
      </c>
      <c r="F499" s="50"/>
      <c r="G499" t="s">
        <v>2647</v>
      </c>
      <c r="H499" t="s">
        <v>2655</v>
      </c>
      <c r="I499" t="s">
        <v>2656</v>
      </c>
      <c r="J499" s="50" t="str">
        <f>IF(I499="","",_xlfn.XLOOKUP(TRIM(I499),'SkillMasterSkill ID'!$C:$C,'SkillMasterSkill ID'!$F:$F,"NOT FOUND",0))</f>
        <v>NOT FOUND</v>
      </c>
      <c r="K499" s="50"/>
      <c r="L499" s="50"/>
    </row>
    <row r="500" spans="1:12" x14ac:dyDescent="0.25">
      <c r="A50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00">
        <v>10401</v>
      </c>
      <c r="C500" t="s">
        <v>184</v>
      </c>
      <c r="D500" s="46"/>
      <c r="E500" t="s">
        <v>873</v>
      </c>
      <c r="F500" s="50"/>
      <c r="G500" t="s">
        <v>2669</v>
      </c>
      <c r="H500" t="s">
        <v>2674</v>
      </c>
      <c r="I500" t="s">
        <v>2675</v>
      </c>
      <c r="J500" s="50" t="str">
        <f>IF(I500="","",_xlfn.XLOOKUP(TRIM(I500),'SkillMasterSkill ID'!$C:$C,'SkillMasterSkill ID'!$F:$F,"NOT FOUND",0))</f>
        <v>NOT FOUND</v>
      </c>
      <c r="K500" s="50"/>
      <c r="L500" s="50"/>
    </row>
    <row r="501" spans="1:12" x14ac:dyDescent="0.25">
      <c r="A50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01">
        <v>10401</v>
      </c>
      <c r="C501" t="s">
        <v>184</v>
      </c>
      <c r="D501" s="46"/>
      <c r="E501" t="s">
        <v>1415</v>
      </c>
      <c r="F501" s="50"/>
      <c r="G501" t="s">
        <v>2669</v>
      </c>
      <c r="H501" t="s">
        <v>2671</v>
      </c>
      <c r="I501" t="s">
        <v>2672</v>
      </c>
      <c r="J501" s="50" t="str">
        <f>IF(I501="","",_xlfn.XLOOKUP(TRIM(I501),'SkillMasterSkill ID'!$C:$C,'SkillMasterSkill ID'!$F:$F,"NOT FOUND",0))</f>
        <v>NOT FOUND</v>
      </c>
      <c r="K501" s="50"/>
      <c r="L501" s="50"/>
    </row>
    <row r="502" spans="1:12" x14ac:dyDescent="0.25">
      <c r="A50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02">
        <v>10401</v>
      </c>
      <c r="C502" t="s">
        <v>184</v>
      </c>
      <c r="D502" s="46"/>
      <c r="E502" t="s">
        <v>1476</v>
      </c>
      <c r="F502" s="50"/>
      <c r="G502" t="s">
        <v>2676</v>
      </c>
      <c r="H502" t="s">
        <v>2679</v>
      </c>
      <c r="I502" t="s">
        <v>2521</v>
      </c>
      <c r="J502" s="50" t="str">
        <f>IF(I502="","",_xlfn.XLOOKUP(TRIM(I502),'SkillMasterSkill ID'!$C:$C,'SkillMasterSkill ID'!$F:$F,"NOT FOUND",0))</f>
        <v>NOT FOUND</v>
      </c>
      <c r="K502" s="50"/>
      <c r="L502" s="50"/>
    </row>
    <row r="503" spans="1:12" x14ac:dyDescent="0.25">
      <c r="A50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03">
        <v>10401</v>
      </c>
      <c r="C503" t="s">
        <v>184</v>
      </c>
      <c r="D503" s="46"/>
      <c r="E503" t="s">
        <v>874</v>
      </c>
      <c r="F503" s="50"/>
      <c r="G503" t="s">
        <v>2659</v>
      </c>
      <c r="H503" t="s">
        <v>2660</v>
      </c>
      <c r="I503" t="s">
        <v>2661</v>
      </c>
      <c r="J503" s="50" t="str">
        <f>IF(I503="","",_xlfn.XLOOKUP(TRIM(I503),'SkillMasterSkill ID'!$C:$C,'SkillMasterSkill ID'!$F:$F,"NOT FOUND",0))</f>
        <v>NOT FOUND</v>
      </c>
      <c r="K503" s="50"/>
      <c r="L503" s="50"/>
    </row>
    <row r="504" spans="1:12" x14ac:dyDescent="0.25">
      <c r="A50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04">
        <v>10401</v>
      </c>
      <c r="C504" t="s">
        <v>184</v>
      </c>
      <c r="D504" s="46"/>
      <c r="E504" t="s">
        <v>872</v>
      </c>
      <c r="F504" s="50"/>
      <c r="G504" t="s">
        <v>1622</v>
      </c>
      <c r="H504" t="s">
        <v>2619</v>
      </c>
      <c r="I504" t="s">
        <v>2620</v>
      </c>
      <c r="J504" s="50" t="str">
        <f>IF(I504="","",_xlfn.XLOOKUP(TRIM(I504),'SkillMasterSkill ID'!$C:$C,'SkillMasterSkill ID'!$F:$F,"NOT FOUND",0))</f>
        <v>NOT FOUND</v>
      </c>
      <c r="K504" s="50"/>
      <c r="L504" s="50"/>
    </row>
    <row r="505" spans="1:12" x14ac:dyDescent="0.25">
      <c r="A50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05">
        <v>10401</v>
      </c>
      <c r="C505" t="s">
        <v>184</v>
      </c>
      <c r="D505" s="46"/>
      <c r="E505" t="s">
        <v>1448</v>
      </c>
      <c r="F505" s="50"/>
      <c r="G505" t="s">
        <v>1622</v>
      </c>
      <c r="H505" t="s">
        <v>2609</v>
      </c>
      <c r="I505" t="s">
        <v>2610</v>
      </c>
      <c r="J505" s="50" t="str">
        <f>IF(I505="","",_xlfn.XLOOKUP(TRIM(I505),'SkillMasterSkill ID'!$C:$C,'SkillMasterSkill ID'!$F:$F,"NOT FOUND",0))</f>
        <v>NOT FOUND</v>
      </c>
      <c r="K505" s="50"/>
      <c r="L505" s="50"/>
    </row>
    <row r="506" spans="1:12" x14ac:dyDescent="0.25">
      <c r="A50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06">
        <v>10401</v>
      </c>
      <c r="C506" t="s">
        <v>184</v>
      </c>
      <c r="D506" s="46"/>
      <c r="E506" t="s">
        <v>1394</v>
      </c>
      <c r="F506" s="50"/>
      <c r="G506" t="s">
        <v>2627</v>
      </c>
      <c r="H506" t="s">
        <v>2634</v>
      </c>
      <c r="I506" t="s">
        <v>2635</v>
      </c>
      <c r="J506" s="50" t="str">
        <f>IF(I506="","",_xlfn.XLOOKUP(TRIM(I506),'SkillMasterSkill ID'!$C:$C,'SkillMasterSkill ID'!$F:$F,"NOT FOUND",0))</f>
        <v>NOT FOUND</v>
      </c>
      <c r="K506" s="50"/>
      <c r="L506" s="50"/>
    </row>
    <row r="507" spans="1:12" x14ac:dyDescent="0.25">
      <c r="A50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07">
        <v>10401</v>
      </c>
      <c r="C507" t="s">
        <v>184</v>
      </c>
      <c r="D507" s="46"/>
      <c r="E507" t="s">
        <v>947</v>
      </c>
      <c r="F507" s="50"/>
      <c r="G507" t="s">
        <v>2639</v>
      </c>
      <c r="H507" t="s">
        <v>2642</v>
      </c>
      <c r="I507" t="s">
        <v>2643</v>
      </c>
      <c r="J507" s="50" t="str">
        <f>IF(I507="","",_xlfn.XLOOKUP(TRIM(I507),'SkillMasterSkill ID'!$C:$C,'SkillMasterSkill ID'!$F:$F,"NOT FOUND",0))</f>
        <v>NOT FOUND</v>
      </c>
      <c r="K507" s="50"/>
      <c r="L507" s="50"/>
    </row>
    <row r="508" spans="1:12" x14ac:dyDescent="0.25">
      <c r="A50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08">
        <v>10401</v>
      </c>
      <c r="C508" t="s">
        <v>184</v>
      </c>
      <c r="D508" s="46"/>
      <c r="E508" t="s">
        <v>2582</v>
      </c>
      <c r="F508" s="50"/>
      <c r="G508" t="s">
        <v>2659</v>
      </c>
      <c r="H508" t="s">
        <v>2663</v>
      </c>
      <c r="I508" t="s">
        <v>2664</v>
      </c>
      <c r="J508" s="50" t="str">
        <f>IF(I508="","",_xlfn.XLOOKUP(TRIM(I508),'SkillMasterSkill ID'!$C:$C,'SkillMasterSkill ID'!$F:$F,"NOT FOUND",0))</f>
        <v>NOT FOUND</v>
      </c>
      <c r="K508" s="50"/>
      <c r="L508" s="50"/>
    </row>
    <row r="509" spans="1:12" x14ac:dyDescent="0.25">
      <c r="A50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09">
        <v>10401</v>
      </c>
      <c r="C509" t="s">
        <v>184</v>
      </c>
      <c r="D509" s="46"/>
      <c r="E509" t="s">
        <v>2522</v>
      </c>
      <c r="F509" s="50"/>
      <c r="G509" t="s">
        <v>2659</v>
      </c>
      <c r="H509" t="s">
        <v>2484</v>
      </c>
      <c r="I509" t="s">
        <v>2662</v>
      </c>
      <c r="J509" s="50" t="str">
        <f>IF(I509="","",_xlfn.XLOOKUP(TRIM(I509),'SkillMasterSkill ID'!$C:$C,'SkillMasterSkill ID'!$F:$F,"NOT FOUND",0))</f>
        <v>NOT FOUND</v>
      </c>
      <c r="K509" s="50"/>
      <c r="L509" s="50"/>
    </row>
    <row r="510" spans="1:12" x14ac:dyDescent="0.25">
      <c r="A51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10">
        <v>10401</v>
      </c>
      <c r="C510" t="s">
        <v>184</v>
      </c>
      <c r="D510" s="46"/>
      <c r="E510" t="s">
        <v>2665</v>
      </c>
      <c r="F510" s="50"/>
      <c r="G510" t="s">
        <v>2659</v>
      </c>
      <c r="H510" t="s">
        <v>2667</v>
      </c>
      <c r="I510" t="s">
        <v>2668</v>
      </c>
      <c r="J510" s="50" t="str">
        <f>IF(I510="","",_xlfn.XLOOKUP(TRIM(I510),'SkillMasterSkill ID'!$C:$C,'SkillMasterSkill ID'!$F:$F,"NOT FOUND",0))</f>
        <v>NOT FOUND</v>
      </c>
      <c r="K510" s="50"/>
      <c r="L510" s="50"/>
    </row>
    <row r="511" spans="1:12" x14ac:dyDescent="0.25">
      <c r="A51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11">
        <v>10401</v>
      </c>
      <c r="C511" t="s">
        <v>184</v>
      </c>
      <c r="D511" s="46"/>
      <c r="E511" t="s">
        <v>947</v>
      </c>
      <c r="F511" s="50"/>
      <c r="G511" t="s">
        <v>2639</v>
      </c>
      <c r="H511" t="s">
        <v>2640</v>
      </c>
      <c r="I511" t="s">
        <v>2641</v>
      </c>
      <c r="J511" s="50" t="str">
        <f>IF(I511="","",_xlfn.XLOOKUP(TRIM(I511),'SkillMasterSkill ID'!$C:$C,'SkillMasterSkill ID'!$F:$F,"NOT FOUND",0))</f>
        <v>NOT FOUND</v>
      </c>
      <c r="K511" s="50"/>
      <c r="L511" s="50"/>
    </row>
    <row r="512" spans="1:12" x14ac:dyDescent="0.25">
      <c r="A51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12">
        <v>10401</v>
      </c>
      <c r="C512" t="s">
        <v>184</v>
      </c>
      <c r="D512" s="46"/>
      <c r="E512" t="s">
        <v>871</v>
      </c>
      <c r="F512" s="50"/>
      <c r="G512" t="s">
        <v>1622</v>
      </c>
      <c r="H512" t="s">
        <v>2613</v>
      </c>
      <c r="I512" t="s">
        <v>2614</v>
      </c>
      <c r="J512" s="50" t="str">
        <f>IF(I512="","",_xlfn.XLOOKUP(TRIM(I512),'SkillMasterSkill ID'!$C:$C,'SkillMasterSkill ID'!$F:$F,"NOT FOUND",0))</f>
        <v>NOT FOUND</v>
      </c>
      <c r="K512" s="50"/>
      <c r="L512" s="50"/>
    </row>
    <row r="513" spans="1:12" x14ac:dyDescent="0.25">
      <c r="A51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13">
        <v>10401</v>
      </c>
      <c r="C513" t="s">
        <v>184</v>
      </c>
      <c r="D513" s="46"/>
      <c r="E513" t="s">
        <v>2207</v>
      </c>
      <c r="F513" s="50"/>
      <c r="G513" t="s">
        <v>1622</v>
      </c>
      <c r="H513" t="s">
        <v>2611</v>
      </c>
      <c r="I513" t="s">
        <v>2612</v>
      </c>
      <c r="J513" s="50" t="str">
        <f>IF(I513="","",_xlfn.XLOOKUP(TRIM(I513),'SkillMasterSkill ID'!$C:$C,'SkillMasterSkill ID'!$F:$F,"NOT FOUND",0))</f>
        <v>NOT FOUND</v>
      </c>
      <c r="K513" s="50"/>
      <c r="L513" s="50"/>
    </row>
    <row r="514" spans="1:12" x14ac:dyDescent="0.25">
      <c r="A51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14">
        <v>10401</v>
      </c>
      <c r="C514" t="s">
        <v>184</v>
      </c>
      <c r="D514" s="46"/>
      <c r="E514" t="s">
        <v>953</v>
      </c>
      <c r="F514" s="50"/>
      <c r="G514" t="s">
        <v>2676</v>
      </c>
      <c r="H514" t="s">
        <v>2677</v>
      </c>
      <c r="I514" t="s">
        <v>2678</v>
      </c>
      <c r="J514" s="50" t="str">
        <f>IF(I514="","",_xlfn.XLOOKUP(TRIM(I514),'SkillMasterSkill ID'!$C:$C,'SkillMasterSkill ID'!$F:$F,"NOT FOUND",0))</f>
        <v>NOT FOUND</v>
      </c>
      <c r="K514" s="50"/>
      <c r="L514" s="50"/>
    </row>
    <row r="515" spans="1:12" x14ac:dyDescent="0.25">
      <c r="A51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15">
        <v>10401</v>
      </c>
      <c r="C515" t="s">
        <v>184</v>
      </c>
      <c r="D515" s="46"/>
      <c r="E515" t="s">
        <v>2208</v>
      </c>
      <c r="F515" s="50"/>
      <c r="G515" t="s">
        <v>1622</v>
      </c>
      <c r="H515" t="s">
        <v>2492</v>
      </c>
      <c r="I515" t="s">
        <v>2618</v>
      </c>
      <c r="J515" s="50" t="str">
        <f>IF(I515="","",_xlfn.XLOOKUP(TRIM(I515),'SkillMasterSkill ID'!$C:$C,'SkillMasterSkill ID'!$F:$F,"NOT FOUND",0))</f>
        <v>NOT FOUND</v>
      </c>
      <c r="K515" s="50"/>
      <c r="L515" s="50"/>
    </row>
    <row r="516" spans="1:12" x14ac:dyDescent="0.25">
      <c r="A51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16">
        <v>10401</v>
      </c>
      <c r="C516" t="s">
        <v>184</v>
      </c>
      <c r="D516" s="46"/>
      <c r="E516" t="s">
        <v>1448</v>
      </c>
      <c r="F516" s="50"/>
      <c r="G516" t="s">
        <v>2621</v>
      </c>
      <c r="H516" t="s">
        <v>2625</v>
      </c>
      <c r="I516" t="s">
        <v>2626</v>
      </c>
      <c r="J516" s="50" t="str">
        <f>IF(I516="","",_xlfn.XLOOKUP(TRIM(I516),'SkillMasterSkill ID'!$C:$C,'SkillMasterSkill ID'!$F:$F,"NOT FOUND",0))</f>
        <v>NOT FOUND</v>
      </c>
      <c r="K516" s="50"/>
      <c r="L516" s="50"/>
    </row>
    <row r="517" spans="1:12" x14ac:dyDescent="0.25">
      <c r="A51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17">
        <v>10401</v>
      </c>
      <c r="C517" t="s">
        <v>184</v>
      </c>
      <c r="D517" s="46"/>
      <c r="E517" t="s">
        <v>1457</v>
      </c>
      <c r="F517" s="50"/>
      <c r="G517" t="s">
        <v>2627</v>
      </c>
      <c r="H517" t="s">
        <v>2637</v>
      </c>
      <c r="I517" t="s">
        <v>2638</v>
      </c>
      <c r="J517" s="50" t="str">
        <f>IF(I517="","",_xlfn.XLOOKUP(TRIM(I517),'SkillMasterSkill ID'!$C:$C,'SkillMasterSkill ID'!$F:$F,"NOT FOUND",0))</f>
        <v>NOT FOUND</v>
      </c>
      <c r="K517" s="50"/>
      <c r="L517" s="50"/>
    </row>
    <row r="518" spans="1:12" x14ac:dyDescent="0.25">
      <c r="A51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18">
        <v>10401</v>
      </c>
      <c r="C518" t="s">
        <v>184</v>
      </c>
      <c r="D518" s="46"/>
      <c r="E518" t="s">
        <v>1392</v>
      </c>
      <c r="F518" s="50"/>
      <c r="G518" t="s">
        <v>2647</v>
      </c>
      <c r="H518" t="s">
        <v>2648</v>
      </c>
      <c r="I518" t="s">
        <v>2649</v>
      </c>
      <c r="J518" s="50" t="str">
        <f>IF(I518="","",_xlfn.XLOOKUP(TRIM(I518),'SkillMasterSkill ID'!$C:$C,'SkillMasterSkill ID'!$F:$F,"NOT FOUND",0))</f>
        <v>NOT FOUND</v>
      </c>
      <c r="K518" s="50"/>
      <c r="L518" s="50"/>
    </row>
    <row r="519" spans="1:12" x14ac:dyDescent="0.25">
      <c r="A51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19">
        <v>10401</v>
      </c>
      <c r="C519" t="s">
        <v>184</v>
      </c>
      <c r="D519" s="46"/>
      <c r="E519" t="s">
        <v>1392</v>
      </c>
      <c r="F519" s="50"/>
      <c r="G519" t="s">
        <v>1622</v>
      </c>
      <c r="H519" t="s">
        <v>2616</v>
      </c>
      <c r="I519" t="s">
        <v>2617</v>
      </c>
      <c r="J519" s="50" t="str">
        <f>IF(I519="","",_xlfn.XLOOKUP(TRIM(I519),'SkillMasterSkill ID'!$C:$C,'SkillMasterSkill ID'!$F:$F,"NOT FOUND",0))</f>
        <v>NOT FOUND</v>
      </c>
      <c r="K519" s="50"/>
      <c r="L519" s="50"/>
    </row>
    <row r="520" spans="1:12" x14ac:dyDescent="0.25">
      <c r="A52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20">
        <v>10401</v>
      </c>
      <c r="C520" t="s">
        <v>184</v>
      </c>
      <c r="D520" s="46"/>
      <c r="E520" t="s">
        <v>816</v>
      </c>
      <c r="F520" s="50"/>
      <c r="G520" t="s">
        <v>2627</v>
      </c>
      <c r="H520" t="s">
        <v>2629</v>
      </c>
      <c r="I520" t="s">
        <v>2630</v>
      </c>
      <c r="J520" s="50" t="str">
        <f>IF(I520="","",_xlfn.XLOOKUP(TRIM(I520),'SkillMasterSkill ID'!$C:$C,'SkillMasterSkill ID'!$F:$F,"NOT FOUND",0))</f>
        <v>NOT FOUND</v>
      </c>
      <c r="K520" s="50"/>
      <c r="L520" s="50"/>
    </row>
    <row r="521" spans="1:12" x14ac:dyDescent="0.25">
      <c r="A52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21">
        <v>10401</v>
      </c>
      <c r="C521" t="s">
        <v>184</v>
      </c>
      <c r="D521" s="46"/>
      <c r="E521" t="s">
        <v>1448</v>
      </c>
      <c r="F521" s="50"/>
      <c r="G521" t="s">
        <v>2621</v>
      </c>
      <c r="H521" t="s">
        <v>2622</v>
      </c>
      <c r="I521" t="s">
        <v>2623</v>
      </c>
      <c r="J521" s="50" t="str">
        <f>IF(I521="","",_xlfn.XLOOKUP(TRIM(I521),'SkillMasterSkill ID'!$C:$C,'SkillMasterSkill ID'!$F:$F,"NOT FOUND",0))</f>
        <v>NOT FOUND</v>
      </c>
      <c r="K521" s="50"/>
      <c r="L521" s="50"/>
    </row>
    <row r="522" spans="1:12" x14ac:dyDescent="0.25">
      <c r="A52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22">
        <v>10401</v>
      </c>
      <c r="C522" t="s">
        <v>184</v>
      </c>
      <c r="D522" s="46"/>
      <c r="E522" t="s">
        <v>1448</v>
      </c>
      <c r="F522" s="50"/>
      <c r="G522" t="s">
        <v>2621</v>
      </c>
      <c r="H522" t="s">
        <v>2624</v>
      </c>
      <c r="I522" t="s">
        <v>2516</v>
      </c>
      <c r="J522" s="50" t="str">
        <f>IF(I522="","",_xlfn.XLOOKUP(TRIM(I522),'SkillMasterSkill ID'!$C:$C,'SkillMasterSkill ID'!$F:$F,"NOT FOUND",0))</f>
        <v>NOT FOUND</v>
      </c>
      <c r="K522" s="50"/>
      <c r="L522" s="50"/>
    </row>
    <row r="523" spans="1:12" x14ac:dyDescent="0.25">
      <c r="A52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23">
        <v>10401</v>
      </c>
      <c r="C523" t="s">
        <v>184</v>
      </c>
      <c r="D523" s="46"/>
      <c r="E523" t="s">
        <v>2650</v>
      </c>
      <c r="F523" s="50"/>
      <c r="G523" t="s">
        <v>2647</v>
      </c>
      <c r="H523" t="s">
        <v>2652</v>
      </c>
      <c r="I523" t="s">
        <v>2653</v>
      </c>
      <c r="J523" s="50" t="str">
        <f>IF(I523="","",_xlfn.XLOOKUP(TRIM(I523),'SkillMasterSkill ID'!$C:$C,'SkillMasterSkill ID'!$F:$F,"NOT FOUND",0))</f>
        <v>NOT FOUND</v>
      </c>
      <c r="K523" s="50"/>
      <c r="L523" s="50"/>
    </row>
    <row r="524" spans="1:12" x14ac:dyDescent="0.25">
      <c r="A52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24">
        <v>10401</v>
      </c>
      <c r="C524" t="s">
        <v>184</v>
      </c>
      <c r="D524" s="46"/>
      <c r="E524" t="s">
        <v>947</v>
      </c>
      <c r="F524" s="50"/>
      <c r="G524" t="s">
        <v>2639</v>
      </c>
      <c r="H524" t="s">
        <v>2644</v>
      </c>
      <c r="I524" t="s">
        <v>2645</v>
      </c>
      <c r="J524" s="50" t="str">
        <f>IF(I524="","",_xlfn.XLOOKUP(TRIM(I524),'SkillMasterSkill ID'!$C:$C,'SkillMasterSkill ID'!$F:$F,"NOT FOUND",0))</f>
        <v>NOT FOUND</v>
      </c>
      <c r="K524" s="50"/>
      <c r="L524" s="50"/>
    </row>
    <row r="525" spans="1:12" x14ac:dyDescent="0.25">
      <c r="A52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25">
        <v>10401</v>
      </c>
      <c r="C525" t="s">
        <v>184</v>
      </c>
      <c r="D525" s="46"/>
      <c r="E525" t="s">
        <v>961</v>
      </c>
      <c r="F525" s="50"/>
      <c r="G525" t="s">
        <v>2669</v>
      </c>
      <c r="H525" t="s">
        <v>2673</v>
      </c>
      <c r="I525" t="s">
        <v>1412</v>
      </c>
      <c r="J525" s="50" t="str">
        <f>IF(I525="","",_xlfn.XLOOKUP(TRIM(I525),'SkillMasterSkill ID'!$C:$C,'SkillMasterSkill ID'!$F:$F,"NOT FOUND",0))</f>
        <v>NOT FOUND</v>
      </c>
      <c r="K525" s="50"/>
      <c r="L525" s="50"/>
    </row>
    <row r="526" spans="1:12" x14ac:dyDescent="0.25">
      <c r="A52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26">
        <v>10401</v>
      </c>
      <c r="C526" t="s">
        <v>184</v>
      </c>
      <c r="D526" s="46"/>
      <c r="E526" t="s">
        <v>873</v>
      </c>
      <c r="F526" s="50"/>
      <c r="G526" t="s">
        <v>2647</v>
      </c>
      <c r="H526" t="s">
        <v>2657</v>
      </c>
      <c r="I526" t="s">
        <v>2658</v>
      </c>
      <c r="J526" s="50" t="str">
        <f>IF(I526="","",_xlfn.XLOOKUP(TRIM(I526),'SkillMasterSkill ID'!$C:$C,'SkillMasterSkill ID'!$F:$F,"NOT FOUND",0))</f>
        <v>NOT FOUND</v>
      </c>
      <c r="K526" s="50"/>
      <c r="L526" s="50"/>
    </row>
    <row r="527" spans="1:12" x14ac:dyDescent="0.25">
      <c r="A52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27">
        <v>10401</v>
      </c>
      <c r="C527" t="s">
        <v>184</v>
      </c>
      <c r="D527" s="46"/>
      <c r="E527" t="s">
        <v>816</v>
      </c>
      <c r="F527" s="50"/>
      <c r="G527" t="s">
        <v>2627</v>
      </c>
      <c r="H527" t="s">
        <v>2631</v>
      </c>
      <c r="I527" t="s">
        <v>2632</v>
      </c>
      <c r="J527" s="50" t="str">
        <f>IF(I527="","",_xlfn.XLOOKUP(TRIM(I527),'SkillMasterSkill ID'!$C:$C,'SkillMasterSkill ID'!$F:$F,"NOT FOUND",0))</f>
        <v>NOT FOUND</v>
      </c>
      <c r="K527" s="50"/>
      <c r="L527" s="50"/>
    </row>
    <row r="528" spans="1:12" x14ac:dyDescent="0.25">
      <c r="A52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28">
        <v>10402</v>
      </c>
      <c r="C528" t="s">
        <v>458</v>
      </c>
      <c r="D528" s="46"/>
      <c r="E528" t="s">
        <v>953</v>
      </c>
      <c r="F528" s="50"/>
      <c r="G528" t="s">
        <v>2739</v>
      </c>
      <c r="H528" t="s">
        <v>2740</v>
      </c>
      <c r="I528" t="s">
        <v>2741</v>
      </c>
      <c r="J528" s="50" t="str">
        <f>IF(I528="","",_xlfn.XLOOKUP(TRIM(I528),'SkillMasterSkill ID'!$C:$C,'SkillMasterSkill ID'!$F:$F,"NOT FOUND",0))</f>
        <v>NOT FOUND</v>
      </c>
      <c r="K528" s="50"/>
      <c r="L528" s="50"/>
    </row>
    <row r="529" spans="1:12" x14ac:dyDescent="0.25">
      <c r="A52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29">
        <v>10402</v>
      </c>
      <c r="C529" t="s">
        <v>458</v>
      </c>
      <c r="D529" s="46"/>
      <c r="E529" t="s">
        <v>947</v>
      </c>
      <c r="F529" s="50"/>
      <c r="G529" t="s">
        <v>2718</v>
      </c>
      <c r="H529" t="s">
        <v>2721</v>
      </c>
      <c r="I529" t="s">
        <v>2722</v>
      </c>
      <c r="J529" s="50" t="str">
        <f>IF(I529="","",_xlfn.XLOOKUP(TRIM(I529),'SkillMasterSkill ID'!$C:$C,'SkillMasterSkill ID'!$F:$F,"NOT FOUND",0))</f>
        <v>NOT FOUND</v>
      </c>
      <c r="K529" s="50"/>
      <c r="L529" s="50"/>
    </row>
    <row r="530" spans="1:12" x14ac:dyDescent="0.25">
      <c r="A53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30">
        <v>10402</v>
      </c>
      <c r="C530" t="s">
        <v>458</v>
      </c>
      <c r="D530" s="46"/>
      <c r="E530" t="s">
        <v>2654</v>
      </c>
      <c r="F530" s="50"/>
      <c r="G530" t="s">
        <v>2710</v>
      </c>
      <c r="H530" t="s">
        <v>2712</v>
      </c>
      <c r="I530" t="s">
        <v>2713</v>
      </c>
      <c r="J530" s="50" t="str">
        <f>IF(I530="","",_xlfn.XLOOKUP(TRIM(I530),'SkillMasterSkill ID'!$C:$C,'SkillMasterSkill ID'!$F:$F,"NOT FOUND",0))</f>
        <v>NOT FOUND</v>
      </c>
      <c r="K530" s="50"/>
      <c r="L530" s="50"/>
    </row>
    <row r="531" spans="1:12" x14ac:dyDescent="0.25">
      <c r="A53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31">
        <v>10402</v>
      </c>
      <c r="C531" t="s">
        <v>458</v>
      </c>
      <c r="D531" s="46"/>
      <c r="E531" t="s">
        <v>873</v>
      </c>
      <c r="F531" s="50"/>
      <c r="G531" t="s">
        <v>2710</v>
      </c>
      <c r="H531" t="s">
        <v>2716</v>
      </c>
      <c r="I531" t="s">
        <v>2717</v>
      </c>
      <c r="J531" s="50" t="str">
        <f>IF(I531="","",_xlfn.XLOOKUP(TRIM(I531),'SkillMasterSkill ID'!$C:$C,'SkillMasterSkill ID'!$F:$F,"NOT FOUND",0))</f>
        <v>NOT FOUND</v>
      </c>
      <c r="K531" s="50"/>
      <c r="L531" s="50"/>
    </row>
    <row r="532" spans="1:12" x14ac:dyDescent="0.25">
      <c r="A53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32">
        <v>10402</v>
      </c>
      <c r="C532" t="s">
        <v>458</v>
      </c>
      <c r="D532" s="46"/>
      <c r="E532" t="s">
        <v>1415</v>
      </c>
      <c r="F532" s="50"/>
      <c r="G532" t="s">
        <v>2732</v>
      </c>
      <c r="H532" t="s">
        <v>2733</v>
      </c>
      <c r="I532" t="s">
        <v>2734</v>
      </c>
      <c r="J532" s="50" t="str">
        <f>IF(I532="","",_xlfn.XLOOKUP(TRIM(I532),'SkillMasterSkill ID'!$C:$C,'SkillMasterSkill ID'!$F:$F,"NOT FOUND",0))</f>
        <v>NOT FOUND</v>
      </c>
      <c r="K532" s="50"/>
      <c r="L532" s="50"/>
    </row>
    <row r="533" spans="1:12" x14ac:dyDescent="0.25">
      <c r="A53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33">
        <v>10402</v>
      </c>
      <c r="C533" t="s">
        <v>458</v>
      </c>
      <c r="D533" s="46"/>
      <c r="E533" t="s">
        <v>1415</v>
      </c>
      <c r="F533" s="50"/>
      <c r="G533" t="s">
        <v>2732</v>
      </c>
      <c r="H533" t="s">
        <v>2735</v>
      </c>
      <c r="I533" t="s">
        <v>2736</v>
      </c>
      <c r="J533" s="50" t="str">
        <f>IF(I533="","",_xlfn.XLOOKUP(TRIM(I533),'SkillMasterSkill ID'!$C:$C,'SkillMasterSkill ID'!$F:$F,"NOT FOUND",0))</f>
        <v>NOT FOUND</v>
      </c>
      <c r="K533" s="50"/>
      <c r="L533" s="50"/>
    </row>
    <row r="534" spans="1:12" x14ac:dyDescent="0.25">
      <c r="A53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34">
        <v>10402</v>
      </c>
      <c r="C534" t="s">
        <v>458</v>
      </c>
      <c r="D534" s="46"/>
      <c r="E534" t="s">
        <v>2723</v>
      </c>
      <c r="F534" s="50"/>
      <c r="G534" t="s">
        <v>2718</v>
      </c>
      <c r="H534" t="s">
        <v>2725</v>
      </c>
      <c r="I534" t="s">
        <v>2726</v>
      </c>
      <c r="J534" s="50" t="str">
        <f>IF(I534="","",_xlfn.XLOOKUP(TRIM(I534),'SkillMasterSkill ID'!$C:$C,'SkillMasterSkill ID'!$F:$F,"NOT FOUND",0))</f>
        <v>NOT FOUND</v>
      </c>
      <c r="K534" s="50"/>
      <c r="L534" s="50"/>
    </row>
    <row r="535" spans="1:12" x14ac:dyDescent="0.25">
      <c r="A53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35">
        <v>10402</v>
      </c>
      <c r="C535" t="s">
        <v>458</v>
      </c>
      <c r="D535" s="46"/>
      <c r="E535" t="s">
        <v>2691</v>
      </c>
      <c r="F535" s="50"/>
      <c r="G535" t="s">
        <v>2690</v>
      </c>
      <c r="H535" t="s">
        <v>2693</v>
      </c>
      <c r="I535" t="s">
        <v>2694</v>
      </c>
      <c r="J535" s="50" t="str">
        <f>IF(I535="","",_xlfn.XLOOKUP(TRIM(I535),'SkillMasterSkill ID'!$C:$C,'SkillMasterSkill ID'!$F:$F,"NOT FOUND",0))</f>
        <v>NOT FOUND</v>
      </c>
      <c r="K535" s="50"/>
      <c r="L535" s="50"/>
    </row>
    <row r="536" spans="1:12" x14ac:dyDescent="0.25">
      <c r="A53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36">
        <v>10402</v>
      </c>
      <c r="C536" t="s">
        <v>458</v>
      </c>
      <c r="D536" s="46"/>
      <c r="E536" t="s">
        <v>947</v>
      </c>
      <c r="F536" s="50"/>
      <c r="G536" t="s">
        <v>2690</v>
      </c>
      <c r="H536" t="s">
        <v>2699</v>
      </c>
      <c r="I536" t="s">
        <v>2700</v>
      </c>
      <c r="J536" s="50" t="str">
        <f>IF(I536="","",_xlfn.XLOOKUP(TRIM(I536),'SkillMasterSkill ID'!$C:$C,'SkillMasterSkill ID'!$F:$F,"NOT FOUND",0))</f>
        <v>NOT FOUND</v>
      </c>
      <c r="K536" s="50"/>
      <c r="L536" s="50"/>
    </row>
    <row r="537" spans="1:12" x14ac:dyDescent="0.25">
      <c r="A53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37">
        <v>10402</v>
      </c>
      <c r="C537" t="s">
        <v>458</v>
      </c>
      <c r="D537" s="46"/>
      <c r="E537" t="s">
        <v>2522</v>
      </c>
      <c r="F537" s="50"/>
      <c r="G537" t="s">
        <v>2727</v>
      </c>
      <c r="H537" t="s">
        <v>2728</v>
      </c>
      <c r="I537" t="s">
        <v>942</v>
      </c>
      <c r="J537" s="50" t="str">
        <f>IF(I537="","",_xlfn.XLOOKUP(TRIM(I537),'SkillMasterSkill ID'!$C:$C,'SkillMasterSkill ID'!$F:$F,"NOT FOUND",0))</f>
        <v>Ability to lead effectively through presence, standards, and influenceâ€”aligning teams without micromanaging.</v>
      </c>
      <c r="K537" s="50"/>
      <c r="L537" s="50"/>
    </row>
    <row r="538" spans="1:12" x14ac:dyDescent="0.25">
      <c r="A53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38">
        <v>10402</v>
      </c>
      <c r="C538" t="s">
        <v>458</v>
      </c>
      <c r="D538" s="46"/>
      <c r="E538" t="s">
        <v>816</v>
      </c>
      <c r="F538" s="50"/>
      <c r="G538" t="s">
        <v>2701</v>
      </c>
      <c r="H538" t="s">
        <v>2702</v>
      </c>
      <c r="I538" t="s">
        <v>2703</v>
      </c>
      <c r="J538" s="50" t="str">
        <f>IF(I538="","",_xlfn.XLOOKUP(TRIM(I538),'SkillMasterSkill ID'!$C:$C,'SkillMasterSkill ID'!$F:$F,"NOT FOUND",0))</f>
        <v>NOT FOUND</v>
      </c>
      <c r="K538" s="50"/>
      <c r="L538" s="50"/>
    </row>
    <row r="539" spans="1:12" x14ac:dyDescent="0.25">
      <c r="A53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39">
        <v>10402</v>
      </c>
      <c r="C539" t="s">
        <v>458</v>
      </c>
      <c r="D539" s="46"/>
      <c r="E539" t="s">
        <v>1457</v>
      </c>
      <c r="F539" s="50"/>
      <c r="G539" t="s">
        <v>2701</v>
      </c>
      <c r="H539" t="s">
        <v>2708</v>
      </c>
      <c r="I539" t="s">
        <v>2709</v>
      </c>
      <c r="J539" s="50" t="str">
        <f>IF(I539="","",_xlfn.XLOOKUP(TRIM(I539),'SkillMasterSkill ID'!$C:$C,'SkillMasterSkill ID'!$F:$F,"NOT FOUND",0))</f>
        <v>NOT FOUND</v>
      </c>
      <c r="K539" s="50"/>
      <c r="L539" s="50"/>
    </row>
    <row r="540" spans="1:12" x14ac:dyDescent="0.25">
      <c r="A54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40">
        <v>10402</v>
      </c>
      <c r="C540" t="s">
        <v>458</v>
      </c>
      <c r="D540" s="46"/>
      <c r="E540" t="s">
        <v>1392</v>
      </c>
      <c r="F540" s="50"/>
      <c r="G540" t="s">
        <v>2710</v>
      </c>
      <c r="H540" t="s">
        <v>2711</v>
      </c>
      <c r="I540" t="s">
        <v>2649</v>
      </c>
      <c r="J540" s="50" t="str">
        <f>IF(I540="","",_xlfn.XLOOKUP(TRIM(I540),'SkillMasterSkill ID'!$C:$C,'SkillMasterSkill ID'!$F:$F,"NOT FOUND",0))</f>
        <v>NOT FOUND</v>
      </c>
      <c r="K540" s="50"/>
      <c r="L540" s="50"/>
    </row>
    <row r="541" spans="1:12" x14ac:dyDescent="0.25">
      <c r="A54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41">
        <v>10402</v>
      </c>
      <c r="C541" t="s">
        <v>458</v>
      </c>
      <c r="D541" s="46"/>
      <c r="E541" t="s">
        <v>874</v>
      </c>
      <c r="F541" s="50"/>
      <c r="G541" t="s">
        <v>2727</v>
      </c>
      <c r="H541" t="s">
        <v>2731</v>
      </c>
      <c r="I541" t="s">
        <v>1471</v>
      </c>
      <c r="J541" s="50" t="str">
        <f>IF(I541="","",_xlfn.XLOOKUP(TRIM(I541),'SkillMasterSkill ID'!$C:$C,'SkillMasterSkill ID'!$F:$F,"NOT FOUND",0))</f>
        <v>NOT FOUND</v>
      </c>
      <c r="K541" s="50"/>
      <c r="L541" s="50"/>
    </row>
    <row r="542" spans="1:12" x14ac:dyDescent="0.25">
      <c r="A54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42">
        <v>10402</v>
      </c>
      <c r="C542" t="s">
        <v>458</v>
      </c>
      <c r="D542" s="46"/>
      <c r="E542" t="s">
        <v>2582</v>
      </c>
      <c r="F542" s="50"/>
      <c r="G542" t="s">
        <v>2727</v>
      </c>
      <c r="H542" t="s">
        <v>2729</v>
      </c>
      <c r="I542" t="s">
        <v>2730</v>
      </c>
      <c r="J542" s="50" t="str">
        <f>IF(I542="","",_xlfn.XLOOKUP(TRIM(I542),'SkillMasterSkill ID'!$C:$C,'SkillMasterSkill ID'!$F:$F,"NOT FOUND",0))</f>
        <v>NOT FOUND</v>
      </c>
      <c r="K542" s="50"/>
      <c r="L542" s="50"/>
    </row>
    <row r="543" spans="1:12" x14ac:dyDescent="0.25">
      <c r="A54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43">
        <v>10402</v>
      </c>
      <c r="C543" t="s">
        <v>458</v>
      </c>
      <c r="D543" s="46"/>
      <c r="E543" t="s">
        <v>2706</v>
      </c>
      <c r="F543" s="50"/>
      <c r="G543" t="s">
        <v>2701</v>
      </c>
      <c r="H543" t="s">
        <v>2707</v>
      </c>
      <c r="I543" t="s">
        <v>823</v>
      </c>
      <c r="J543" s="50" t="str">
        <f>IF(I543="","",_xlfn.XLOOKUP(TRIM(I543),'SkillMasterSkill ID'!$C:$C,'SkillMasterSkill ID'!$F:$F,"NOT FOUND",0))</f>
        <v>Competency related to manpower forecasting that supports effective field/project leadership and execution.</v>
      </c>
      <c r="K543" s="50"/>
      <c r="L543" s="50"/>
    </row>
    <row r="544" spans="1:12" x14ac:dyDescent="0.25">
      <c r="A54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44">
        <v>10402</v>
      </c>
      <c r="C544" t="s">
        <v>458</v>
      </c>
      <c r="D544" s="46"/>
      <c r="E544" t="s">
        <v>872</v>
      </c>
      <c r="F544" s="50"/>
      <c r="G544" t="s">
        <v>1622</v>
      </c>
      <c r="H544" t="s">
        <v>2689</v>
      </c>
      <c r="I544" t="s">
        <v>1399</v>
      </c>
      <c r="J544" s="50" t="str">
        <f>IF(I544="","",_xlfn.XLOOKUP(TRIM(I544),'SkillMasterSkill ID'!$C:$C,'SkillMasterSkill ID'!$F:$F,"NOT FOUND",0))</f>
        <v>NOT FOUND</v>
      </c>
      <c r="K544" s="50"/>
      <c r="L544" s="50"/>
    </row>
    <row r="545" spans="1:12" x14ac:dyDescent="0.25">
      <c r="A54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45">
        <v>10402</v>
      </c>
      <c r="C545" t="s">
        <v>458</v>
      </c>
      <c r="D545" s="46"/>
      <c r="E545" t="s">
        <v>2665</v>
      </c>
      <c r="F545" s="50"/>
      <c r="G545" t="s">
        <v>2732</v>
      </c>
      <c r="H545" t="s">
        <v>2737</v>
      </c>
      <c r="I545" t="s">
        <v>2738</v>
      </c>
      <c r="J545" s="50" t="str">
        <f>IF(I545="","",_xlfn.XLOOKUP(TRIM(I545),'SkillMasterSkill ID'!$C:$C,'SkillMasterSkill ID'!$F:$F,"NOT FOUND",0))</f>
        <v>NOT FOUND</v>
      </c>
      <c r="K545" s="50"/>
      <c r="L545" s="50"/>
    </row>
    <row r="546" spans="1:12" x14ac:dyDescent="0.25">
      <c r="A54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46">
        <v>10402</v>
      </c>
      <c r="C546" t="s">
        <v>458</v>
      </c>
      <c r="D546" s="46"/>
      <c r="E546" t="s">
        <v>871</v>
      </c>
      <c r="F546" s="50"/>
      <c r="G546" t="s">
        <v>1622</v>
      </c>
      <c r="H546" t="s">
        <v>2685</v>
      </c>
      <c r="I546" t="s">
        <v>2686</v>
      </c>
      <c r="J546" s="50" t="str">
        <f>IF(I546="","",_xlfn.XLOOKUP(TRIM(I546),'SkillMasterSkill ID'!$C:$C,'SkillMasterSkill ID'!$F:$F,"NOT FOUND",0))</f>
        <v>NOT FOUND</v>
      </c>
      <c r="K546" s="50"/>
      <c r="L546" s="50"/>
    </row>
    <row r="547" spans="1:12" x14ac:dyDescent="0.25">
      <c r="A54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47">
        <v>10402</v>
      </c>
      <c r="C547" t="s">
        <v>458</v>
      </c>
      <c r="D547" s="46"/>
      <c r="E547" t="s">
        <v>2207</v>
      </c>
      <c r="F547" s="50"/>
      <c r="G547" t="s">
        <v>1622</v>
      </c>
      <c r="H547" t="s">
        <v>2683</v>
      </c>
      <c r="I547" t="s">
        <v>2684</v>
      </c>
      <c r="J547" s="50" t="str">
        <f>IF(I547="","",_xlfn.XLOOKUP(TRIM(I547),'SkillMasterSkill ID'!$C:$C,'SkillMasterSkill ID'!$F:$F,"NOT FOUND",0))</f>
        <v>NOT FOUND</v>
      </c>
      <c r="K547" s="50"/>
      <c r="L547" s="50"/>
    </row>
    <row r="548" spans="1:12" x14ac:dyDescent="0.25">
      <c r="A54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48">
        <v>10402</v>
      </c>
      <c r="C548" t="s">
        <v>458</v>
      </c>
      <c r="D548" s="46"/>
      <c r="E548" t="s">
        <v>2208</v>
      </c>
      <c r="F548" s="50"/>
      <c r="G548" t="s">
        <v>1622</v>
      </c>
      <c r="H548" t="s">
        <v>2687</v>
      </c>
      <c r="I548" t="s">
        <v>2688</v>
      </c>
      <c r="J548" s="50" t="str">
        <f>IF(I548="","",_xlfn.XLOOKUP(TRIM(I548),'SkillMasterSkill ID'!$C:$C,'SkillMasterSkill ID'!$F:$F,"NOT FOUND",0))</f>
        <v>NOT FOUND</v>
      </c>
      <c r="K548" s="50"/>
      <c r="L548" s="50"/>
    </row>
    <row r="549" spans="1:12" x14ac:dyDescent="0.25">
      <c r="A54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49">
        <v>10402</v>
      </c>
      <c r="C549" t="s">
        <v>458</v>
      </c>
      <c r="D549" s="46"/>
      <c r="E549" t="s">
        <v>1237</v>
      </c>
      <c r="F549" s="50"/>
      <c r="G549" t="s">
        <v>2718</v>
      </c>
      <c r="H549" t="s">
        <v>2720</v>
      </c>
      <c r="I549" t="s">
        <v>1424</v>
      </c>
      <c r="J549" s="50" t="str">
        <f>IF(I549="","",_xlfn.XLOOKUP(TRIM(I549),'SkillMasterSkill ID'!$C:$C,'SkillMasterSkill ID'!$F:$F,"NOT FOUND",0))</f>
        <v>NOT FOUND</v>
      </c>
      <c r="K549" s="50"/>
      <c r="L549" s="50"/>
    </row>
    <row r="550" spans="1:12" x14ac:dyDescent="0.25">
      <c r="A55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50">
        <v>10402</v>
      </c>
      <c r="C550" t="s">
        <v>458</v>
      </c>
      <c r="D550" s="46"/>
      <c r="E550" t="s">
        <v>1448</v>
      </c>
      <c r="F550" s="50"/>
      <c r="G550" t="s">
        <v>1622</v>
      </c>
      <c r="H550" t="s">
        <v>2682</v>
      </c>
      <c r="I550" t="s">
        <v>2528</v>
      </c>
      <c r="J550" s="50" t="str">
        <f>IF(I550="","",_xlfn.XLOOKUP(TRIM(I550),'SkillMasterSkill ID'!$C:$C,'SkillMasterSkill ID'!$F:$F,"NOT FOUND",0))</f>
        <v>NOT FOUND</v>
      </c>
      <c r="K550" s="50"/>
      <c r="L550" s="50"/>
    </row>
    <row r="551" spans="1:12" x14ac:dyDescent="0.25">
      <c r="A55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51">
        <v>10402</v>
      </c>
      <c r="C551" t="s">
        <v>458</v>
      </c>
      <c r="D551" s="46"/>
      <c r="E551" t="s">
        <v>1394</v>
      </c>
      <c r="F551" s="50"/>
      <c r="G551" t="s">
        <v>2701</v>
      </c>
      <c r="H551" t="s">
        <v>2704</v>
      </c>
      <c r="I551" t="s">
        <v>2705</v>
      </c>
      <c r="J551" s="50" t="str">
        <f>IF(I551="","",_xlfn.XLOOKUP(TRIM(I551),'SkillMasterSkill ID'!$C:$C,'SkillMasterSkill ID'!$F:$F,"NOT FOUND",0))</f>
        <v>NOT FOUND</v>
      </c>
      <c r="K551" s="50"/>
      <c r="L551" s="50"/>
    </row>
    <row r="552" spans="1:12" x14ac:dyDescent="0.25">
      <c r="A55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52">
        <v>10402</v>
      </c>
      <c r="C552" t="s">
        <v>458</v>
      </c>
      <c r="D552" s="46"/>
      <c r="E552" t="s">
        <v>2654</v>
      </c>
      <c r="F552" s="50"/>
      <c r="G552" t="s">
        <v>2710</v>
      </c>
      <c r="H552" t="s">
        <v>2714</v>
      </c>
      <c r="I552" t="s">
        <v>2715</v>
      </c>
      <c r="J552" s="50" t="str">
        <f>IF(I552="","",_xlfn.XLOOKUP(TRIM(I552),'SkillMasterSkill ID'!$C:$C,'SkillMasterSkill ID'!$F:$F,"NOT FOUND",0))</f>
        <v>NOT FOUND</v>
      </c>
      <c r="K552" s="50"/>
      <c r="L552" s="50"/>
    </row>
    <row r="553" spans="1:12" x14ac:dyDescent="0.25">
      <c r="A55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53">
        <v>10402</v>
      </c>
      <c r="C553" t="s">
        <v>458</v>
      </c>
      <c r="D553" s="46"/>
      <c r="E553" t="s">
        <v>2650</v>
      </c>
      <c r="F553" s="50"/>
      <c r="G553" t="s">
        <v>2690</v>
      </c>
      <c r="H553" t="s">
        <v>2697</v>
      </c>
      <c r="I553" t="s">
        <v>2698</v>
      </c>
      <c r="J553" s="50" t="str">
        <f>IF(I553="","",_xlfn.XLOOKUP(TRIM(I553),'SkillMasterSkill ID'!$C:$C,'SkillMasterSkill ID'!$F:$F,"NOT FOUND",0))</f>
        <v>NOT FOUND</v>
      </c>
      <c r="K553" s="50"/>
      <c r="L553" s="50"/>
    </row>
    <row r="554" spans="1:12" x14ac:dyDescent="0.25">
      <c r="A55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54">
        <v>10402</v>
      </c>
      <c r="C554" t="s">
        <v>458</v>
      </c>
      <c r="D554" s="46"/>
      <c r="E554" t="s">
        <v>2650</v>
      </c>
      <c r="F554" s="50"/>
      <c r="G554" t="s">
        <v>2690</v>
      </c>
      <c r="H554" t="s">
        <v>2695</v>
      </c>
      <c r="I554" t="s">
        <v>2696</v>
      </c>
      <c r="J554" s="50" t="str">
        <f>IF(I554="","",_xlfn.XLOOKUP(TRIM(I554),'SkillMasterSkill ID'!$C:$C,'SkillMasterSkill ID'!$F:$F,"NOT FOUND",0))</f>
        <v>NOT FOUND</v>
      </c>
      <c r="K554" s="50"/>
      <c r="L554" s="50"/>
    </row>
    <row r="555" spans="1:12" x14ac:dyDescent="0.25">
      <c r="A55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55">
        <v>10402</v>
      </c>
      <c r="C555" t="s">
        <v>458</v>
      </c>
      <c r="D555" s="46"/>
      <c r="E555" t="s">
        <v>951</v>
      </c>
      <c r="F555" s="50"/>
      <c r="G555" t="s">
        <v>2739</v>
      </c>
      <c r="H555" t="s">
        <v>2744</v>
      </c>
      <c r="I555" t="s">
        <v>2745</v>
      </c>
      <c r="J555" s="50" t="str">
        <f>IF(I555="","",_xlfn.XLOOKUP(TRIM(I555),'SkillMasterSkill ID'!$C:$C,'SkillMasterSkill ID'!$F:$F,"NOT FOUND",0))</f>
        <v>NOT FOUND</v>
      </c>
      <c r="K555" s="50"/>
      <c r="L555" s="50"/>
    </row>
    <row r="556" spans="1:12" x14ac:dyDescent="0.25">
      <c r="A55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56">
        <v>10402</v>
      </c>
      <c r="C556" t="s">
        <v>458</v>
      </c>
      <c r="D556" s="46"/>
      <c r="E556" t="s">
        <v>1476</v>
      </c>
      <c r="F556" s="50"/>
      <c r="G556" t="s">
        <v>2739</v>
      </c>
      <c r="H556" t="s">
        <v>2742</v>
      </c>
      <c r="I556" t="s">
        <v>2743</v>
      </c>
      <c r="J556" s="50" t="str">
        <f>IF(I556="","",_xlfn.XLOOKUP(TRIM(I556),'SkillMasterSkill ID'!$C:$C,'SkillMasterSkill ID'!$F:$F,"NOT FOUND",0))</f>
        <v>NOT FOUND</v>
      </c>
      <c r="K556" s="50"/>
      <c r="L556" s="50"/>
    </row>
    <row r="557" spans="1:12" x14ac:dyDescent="0.25">
      <c r="A55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57">
        <v>10403</v>
      </c>
      <c r="C557" t="s">
        <v>249</v>
      </c>
      <c r="D557" s="46"/>
      <c r="E557" t="s">
        <v>947</v>
      </c>
      <c r="F557" s="50"/>
      <c r="G557" t="s">
        <v>2778</v>
      </c>
      <c r="H557" t="s">
        <v>2781</v>
      </c>
      <c r="I557" t="s">
        <v>2782</v>
      </c>
      <c r="J557" s="50" t="str">
        <f>IF(I557="","",_xlfn.XLOOKUP(TRIM(I557),'SkillMasterSkill ID'!$C:$C,'SkillMasterSkill ID'!$F:$F,"NOT FOUND",0))</f>
        <v>NOT FOUND</v>
      </c>
      <c r="K557" s="50"/>
      <c r="L557" s="50"/>
    </row>
    <row r="558" spans="1:12" x14ac:dyDescent="0.25">
      <c r="A55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58">
        <v>10403</v>
      </c>
      <c r="C558" t="s">
        <v>249</v>
      </c>
      <c r="D558" s="46"/>
      <c r="E558" t="s">
        <v>1392</v>
      </c>
      <c r="F558" s="50"/>
      <c r="G558" t="s">
        <v>2755</v>
      </c>
      <c r="H558" t="s">
        <v>2756</v>
      </c>
      <c r="I558" t="s">
        <v>2757</v>
      </c>
      <c r="J558" s="50" t="str">
        <f>IF(I558="","",_xlfn.XLOOKUP(TRIM(I558),'SkillMasterSkill ID'!$C:$C,'SkillMasterSkill ID'!$F:$F,"NOT FOUND",0))</f>
        <v>NOT FOUND</v>
      </c>
      <c r="K558" s="50"/>
      <c r="L558" s="50"/>
    </row>
    <row r="559" spans="1:12" x14ac:dyDescent="0.25">
      <c r="A55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59">
        <v>10403</v>
      </c>
      <c r="C559" t="s">
        <v>249</v>
      </c>
      <c r="D559" s="46"/>
      <c r="E559" t="s">
        <v>2654</v>
      </c>
      <c r="F559" s="50"/>
      <c r="G559" t="s">
        <v>2769</v>
      </c>
      <c r="H559" t="s">
        <v>2776</v>
      </c>
      <c r="I559" t="s">
        <v>2777</v>
      </c>
      <c r="J559" s="50" t="str">
        <f>IF(I559="","",_xlfn.XLOOKUP(TRIM(I559),'SkillMasterSkill ID'!$C:$C,'SkillMasterSkill ID'!$F:$F,"NOT FOUND",0))</f>
        <v>NOT FOUND</v>
      </c>
      <c r="K559" s="50"/>
      <c r="L559" s="50"/>
    </row>
    <row r="560" spans="1:12" x14ac:dyDescent="0.25">
      <c r="A56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60">
        <v>10403</v>
      </c>
      <c r="C560" t="s">
        <v>249</v>
      </c>
      <c r="D560" s="46"/>
      <c r="E560" t="s">
        <v>2654</v>
      </c>
      <c r="F560" s="50"/>
      <c r="G560" t="s">
        <v>2769</v>
      </c>
      <c r="H560" t="s">
        <v>2774</v>
      </c>
      <c r="I560" t="s">
        <v>2775</v>
      </c>
      <c r="J560" s="50" t="str">
        <f>IF(I560="","",_xlfn.XLOOKUP(TRIM(I560),'SkillMasterSkill ID'!$C:$C,'SkillMasterSkill ID'!$F:$F,"NOT FOUND",0))</f>
        <v>NOT FOUND</v>
      </c>
      <c r="K560" s="50"/>
      <c r="L560" s="50"/>
    </row>
    <row r="561" spans="1:12" x14ac:dyDescent="0.25">
      <c r="A56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61">
        <v>10403</v>
      </c>
      <c r="C561" t="s">
        <v>249</v>
      </c>
      <c r="D561" s="46"/>
      <c r="E561" t="s">
        <v>1415</v>
      </c>
      <c r="F561" s="50"/>
      <c r="G561" t="s">
        <v>2790</v>
      </c>
      <c r="H561" t="s">
        <v>2793</v>
      </c>
      <c r="I561" t="s">
        <v>2794</v>
      </c>
      <c r="J561" s="50" t="str">
        <f>IF(I561="","",_xlfn.XLOOKUP(TRIM(I561),'SkillMasterSkill ID'!$C:$C,'SkillMasterSkill ID'!$F:$F,"NOT FOUND",0))</f>
        <v>NOT FOUND</v>
      </c>
      <c r="K561" s="50"/>
      <c r="L561" s="50"/>
    </row>
    <row r="562" spans="1:12" x14ac:dyDescent="0.25">
      <c r="A56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62">
        <v>10403</v>
      </c>
      <c r="C562" t="s">
        <v>249</v>
      </c>
      <c r="D562" s="46"/>
      <c r="E562" t="s">
        <v>1415</v>
      </c>
      <c r="F562" s="50"/>
      <c r="G562" t="s">
        <v>2790</v>
      </c>
      <c r="H562" t="s">
        <v>2791</v>
      </c>
      <c r="I562" t="s">
        <v>2792</v>
      </c>
      <c r="J562" s="50" t="str">
        <f>IF(I562="","",_xlfn.XLOOKUP(TRIM(I562),'SkillMasterSkill ID'!$C:$C,'SkillMasterSkill ID'!$F:$F,"NOT FOUND",0))</f>
        <v>NOT FOUND</v>
      </c>
      <c r="K562" s="50"/>
      <c r="L562" s="50"/>
    </row>
    <row r="563" spans="1:12" x14ac:dyDescent="0.25">
      <c r="A56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63">
        <v>10403</v>
      </c>
      <c r="C563" t="s">
        <v>249</v>
      </c>
      <c r="D563" s="46"/>
      <c r="E563" t="s">
        <v>2723</v>
      </c>
      <c r="F563" s="50"/>
      <c r="G563" t="s">
        <v>2778</v>
      </c>
      <c r="H563" t="s">
        <v>2783</v>
      </c>
      <c r="I563" t="s">
        <v>2784</v>
      </c>
      <c r="J563" s="50" t="str">
        <f>IF(I563="","",_xlfn.XLOOKUP(TRIM(I563),'SkillMasterSkill ID'!$C:$C,'SkillMasterSkill ID'!$F:$F,"NOT FOUND",0))</f>
        <v>NOT FOUND</v>
      </c>
      <c r="K563" s="50"/>
      <c r="L563" s="50"/>
    </row>
    <row r="564" spans="1:12" x14ac:dyDescent="0.25">
      <c r="A56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64">
        <v>10403</v>
      </c>
      <c r="C564" t="s">
        <v>249</v>
      </c>
      <c r="D564" s="46"/>
      <c r="E564" t="s">
        <v>2691</v>
      </c>
      <c r="F564" s="50"/>
      <c r="G564" t="s">
        <v>2769</v>
      </c>
      <c r="H564" t="s">
        <v>2770</v>
      </c>
      <c r="I564" t="s">
        <v>2771</v>
      </c>
      <c r="J564" s="50" t="str">
        <f>IF(I564="","",_xlfn.XLOOKUP(TRIM(I564),'SkillMasterSkill ID'!$C:$C,'SkillMasterSkill ID'!$F:$F,"NOT FOUND",0))</f>
        <v>NOT FOUND</v>
      </c>
      <c r="K564" s="50"/>
      <c r="L564" s="50"/>
    </row>
    <row r="565" spans="1:12" x14ac:dyDescent="0.25">
      <c r="A56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65">
        <v>10403</v>
      </c>
      <c r="C565" t="s">
        <v>249</v>
      </c>
      <c r="D565" s="46"/>
      <c r="E565" t="s">
        <v>1392</v>
      </c>
      <c r="F565" s="50"/>
      <c r="G565" t="s">
        <v>2755</v>
      </c>
      <c r="H565" t="s">
        <v>2758</v>
      </c>
      <c r="I565" t="s">
        <v>2759</v>
      </c>
      <c r="J565" s="50" t="str">
        <f>IF(I565="","",_xlfn.XLOOKUP(TRIM(I565),'SkillMasterSkill ID'!$C:$C,'SkillMasterSkill ID'!$F:$F,"NOT FOUND",0))</f>
        <v>NOT FOUND</v>
      </c>
      <c r="K565" s="50"/>
      <c r="L565" s="50"/>
    </row>
    <row r="566" spans="1:12" x14ac:dyDescent="0.25">
      <c r="A56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66">
        <v>10403</v>
      </c>
      <c r="C566" t="s">
        <v>249</v>
      </c>
      <c r="D566" s="46"/>
      <c r="E566" t="s">
        <v>947</v>
      </c>
      <c r="F566" s="50"/>
      <c r="G566" t="s">
        <v>2778</v>
      </c>
      <c r="H566" t="s">
        <v>2779</v>
      </c>
      <c r="I566" t="s">
        <v>2780</v>
      </c>
      <c r="J566" s="50" t="str">
        <f>IF(I566="","",_xlfn.XLOOKUP(TRIM(I566),'SkillMasterSkill ID'!$C:$C,'SkillMasterSkill ID'!$F:$F,"NOT FOUND",0))</f>
        <v>NOT FOUND</v>
      </c>
      <c r="K566" s="50"/>
      <c r="L566" s="50"/>
    </row>
    <row r="567" spans="1:12" x14ac:dyDescent="0.25">
      <c r="A56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67">
        <v>10403</v>
      </c>
      <c r="C567" t="s">
        <v>249</v>
      </c>
      <c r="D567" s="46"/>
      <c r="E567" t="s">
        <v>2522</v>
      </c>
      <c r="F567" s="50"/>
      <c r="G567" t="s">
        <v>2785</v>
      </c>
      <c r="H567" t="s">
        <v>2786</v>
      </c>
      <c r="I567" t="s">
        <v>942</v>
      </c>
      <c r="J567" s="50" t="str">
        <f>IF(I567="","",_xlfn.XLOOKUP(TRIM(I567),'SkillMasterSkill ID'!$C:$C,'SkillMasterSkill ID'!$F:$F,"NOT FOUND",0))</f>
        <v>Ability to lead effectively through presence, standards, and influenceâ€”aligning teams without micromanaging.</v>
      </c>
      <c r="K567" s="50"/>
      <c r="L567" s="50"/>
    </row>
    <row r="568" spans="1:12" x14ac:dyDescent="0.25">
      <c r="A56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68">
        <v>10403</v>
      </c>
      <c r="C568" t="s">
        <v>249</v>
      </c>
      <c r="D568" s="46"/>
      <c r="E568" t="s">
        <v>1476</v>
      </c>
      <c r="F568" s="50"/>
      <c r="G568" t="s">
        <v>2797</v>
      </c>
      <c r="H568" t="s">
        <v>2800</v>
      </c>
      <c r="I568" t="s">
        <v>2801</v>
      </c>
      <c r="J568" s="50" t="str">
        <f>IF(I568="","",_xlfn.XLOOKUP(TRIM(I568),'SkillMasterSkill ID'!$C:$C,'SkillMasterSkill ID'!$F:$F,"NOT FOUND",0))</f>
        <v>NOT FOUND</v>
      </c>
      <c r="K568" s="50"/>
      <c r="L568" s="50"/>
    </row>
    <row r="569" spans="1:12" x14ac:dyDescent="0.25">
      <c r="A56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69">
        <v>10403</v>
      </c>
      <c r="C569" t="s">
        <v>249</v>
      </c>
      <c r="D569" s="46"/>
      <c r="E569" t="s">
        <v>1392</v>
      </c>
      <c r="F569" s="50"/>
      <c r="G569" t="s">
        <v>2755</v>
      </c>
      <c r="H569" t="s">
        <v>2760</v>
      </c>
      <c r="I569" t="s">
        <v>2761</v>
      </c>
      <c r="J569" s="50" t="str">
        <f>IF(I569="","",_xlfn.XLOOKUP(TRIM(I569),'SkillMasterSkill ID'!$C:$C,'SkillMasterSkill ID'!$F:$F,"NOT FOUND",0))</f>
        <v>NOT FOUND</v>
      </c>
      <c r="K569" s="50"/>
      <c r="L569" s="50"/>
    </row>
    <row r="570" spans="1:12" x14ac:dyDescent="0.25">
      <c r="A57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70">
        <v>10403</v>
      </c>
      <c r="C570" t="s">
        <v>249</v>
      </c>
      <c r="D570" s="46"/>
      <c r="E570" t="s">
        <v>2582</v>
      </c>
      <c r="F570" s="50"/>
      <c r="G570" t="s">
        <v>2785</v>
      </c>
      <c r="H570" t="s">
        <v>2787</v>
      </c>
      <c r="I570" t="s">
        <v>2788</v>
      </c>
      <c r="J570" s="50" t="str">
        <f>IF(I570="","",_xlfn.XLOOKUP(TRIM(I570),'SkillMasterSkill ID'!$C:$C,'SkillMasterSkill ID'!$F:$F,"NOT FOUND",0))</f>
        <v>NOT FOUND</v>
      </c>
      <c r="K570" s="50"/>
      <c r="L570" s="50"/>
    </row>
    <row r="571" spans="1:12" x14ac:dyDescent="0.25">
      <c r="A57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71">
        <v>10403</v>
      </c>
      <c r="C571" t="s">
        <v>249</v>
      </c>
      <c r="D571" s="46"/>
      <c r="E571" t="s">
        <v>874</v>
      </c>
      <c r="F571" s="50"/>
      <c r="G571" t="s">
        <v>2785</v>
      </c>
      <c r="H571" t="s">
        <v>2789</v>
      </c>
      <c r="I571" t="s">
        <v>1471</v>
      </c>
      <c r="J571" s="50" t="str">
        <f>IF(I571="","",_xlfn.XLOOKUP(TRIM(I571),'SkillMasterSkill ID'!$C:$C,'SkillMasterSkill ID'!$F:$F,"NOT FOUND",0))</f>
        <v>NOT FOUND</v>
      </c>
      <c r="K571" s="50"/>
      <c r="L571" s="50"/>
    </row>
    <row r="572" spans="1:12" x14ac:dyDescent="0.25">
      <c r="A57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72">
        <v>10403</v>
      </c>
      <c r="C572" t="s">
        <v>249</v>
      </c>
      <c r="D572" s="46"/>
      <c r="E572" t="s">
        <v>2706</v>
      </c>
      <c r="F572" s="50"/>
      <c r="G572" t="s">
        <v>2762</v>
      </c>
      <c r="H572" t="s">
        <v>2767</v>
      </c>
      <c r="I572" t="s">
        <v>2768</v>
      </c>
      <c r="J572" s="50" t="str">
        <f>IF(I572="","",_xlfn.XLOOKUP(TRIM(I572),'SkillMasterSkill ID'!$C:$C,'SkillMasterSkill ID'!$F:$F,"NOT FOUND",0))</f>
        <v>NOT FOUND</v>
      </c>
      <c r="K572" s="50"/>
      <c r="L572" s="50"/>
    </row>
    <row r="573" spans="1:12" x14ac:dyDescent="0.25">
      <c r="A57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73">
        <v>10403</v>
      </c>
      <c r="C573" t="s">
        <v>249</v>
      </c>
      <c r="D573" s="46"/>
      <c r="E573" t="s">
        <v>816</v>
      </c>
      <c r="F573" s="50"/>
      <c r="G573" t="s">
        <v>2762</v>
      </c>
      <c r="H573" t="s">
        <v>2763</v>
      </c>
      <c r="I573" t="s">
        <v>2764</v>
      </c>
      <c r="J573" s="50" t="str">
        <f>IF(I573="","",_xlfn.XLOOKUP(TRIM(I573),'SkillMasterSkill ID'!$C:$C,'SkillMasterSkill ID'!$F:$F,"NOT FOUND",0))</f>
        <v>NOT FOUND</v>
      </c>
      <c r="K573" s="50"/>
      <c r="L573" s="50"/>
    </row>
    <row r="574" spans="1:12" x14ac:dyDescent="0.25">
      <c r="A57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74">
        <v>10403</v>
      </c>
      <c r="C574" t="s">
        <v>249</v>
      </c>
      <c r="D574" s="46"/>
      <c r="E574" t="s">
        <v>1394</v>
      </c>
      <c r="F574" s="50"/>
      <c r="G574" t="s">
        <v>2762</v>
      </c>
      <c r="H574" t="s">
        <v>2765</v>
      </c>
      <c r="I574" t="s">
        <v>2766</v>
      </c>
      <c r="J574" s="50" t="str">
        <f>IF(I574="","",_xlfn.XLOOKUP(TRIM(I574),'SkillMasterSkill ID'!$C:$C,'SkillMasterSkill ID'!$F:$F,"NOT FOUND",0))</f>
        <v>NOT FOUND</v>
      </c>
      <c r="K574" s="50"/>
      <c r="L574" s="50"/>
    </row>
    <row r="575" spans="1:12" x14ac:dyDescent="0.25">
      <c r="A57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75">
        <v>10403</v>
      </c>
      <c r="C575" t="s">
        <v>249</v>
      </c>
      <c r="D575" s="46"/>
      <c r="E575" t="s">
        <v>2665</v>
      </c>
      <c r="F575" s="50"/>
      <c r="G575" t="s">
        <v>2790</v>
      </c>
      <c r="H575" t="s">
        <v>2795</v>
      </c>
      <c r="I575" t="s">
        <v>2796</v>
      </c>
      <c r="J575" s="50" t="str">
        <f>IF(I575="","",_xlfn.XLOOKUP(TRIM(I575),'SkillMasterSkill ID'!$C:$C,'SkillMasterSkill ID'!$F:$F,"NOT FOUND",0))</f>
        <v>NOT FOUND</v>
      </c>
      <c r="K575" s="50"/>
      <c r="L575" s="50"/>
    </row>
    <row r="576" spans="1:12" x14ac:dyDescent="0.25">
      <c r="A57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76">
        <v>10403</v>
      </c>
      <c r="C576" t="s">
        <v>249</v>
      </c>
      <c r="D576" s="46"/>
      <c r="E576" t="s">
        <v>2208</v>
      </c>
      <c r="F576" s="50"/>
      <c r="G576" t="s">
        <v>1622</v>
      </c>
      <c r="H576" t="s">
        <v>2752</v>
      </c>
      <c r="I576" t="s">
        <v>2377</v>
      </c>
      <c r="J576" s="50" t="str">
        <f>IF(I576="","",_xlfn.XLOOKUP(TRIM(I576),'SkillMasterSkill ID'!$C:$C,'SkillMasterSkill ID'!$F:$F,"NOT FOUND",0))</f>
        <v>NOT FOUND</v>
      </c>
      <c r="K576" s="50"/>
      <c r="L576" s="50"/>
    </row>
    <row r="577" spans="1:12" x14ac:dyDescent="0.25">
      <c r="A57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77">
        <v>10403</v>
      </c>
      <c r="C577" t="s">
        <v>249</v>
      </c>
      <c r="D577" s="46"/>
      <c r="E577" t="s">
        <v>871</v>
      </c>
      <c r="F577" s="50"/>
      <c r="G577" t="s">
        <v>1622</v>
      </c>
      <c r="H577" t="s">
        <v>2750</v>
      </c>
      <c r="I577" t="s">
        <v>2751</v>
      </c>
      <c r="J577" s="50" t="str">
        <f>IF(I577="","",_xlfn.XLOOKUP(TRIM(I577),'SkillMasterSkill ID'!$C:$C,'SkillMasterSkill ID'!$F:$F,"NOT FOUND",0))</f>
        <v>NOT FOUND</v>
      </c>
      <c r="K577" s="50"/>
      <c r="L577" s="50"/>
    </row>
    <row r="578" spans="1:12" x14ac:dyDescent="0.25">
      <c r="A57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78">
        <v>10403</v>
      </c>
      <c r="C578" t="s">
        <v>249</v>
      </c>
      <c r="D578" s="46"/>
      <c r="E578" t="s">
        <v>2207</v>
      </c>
      <c r="F578" s="50"/>
      <c r="G578" t="s">
        <v>1622</v>
      </c>
      <c r="H578" t="s">
        <v>2748</v>
      </c>
      <c r="I578" t="s">
        <v>2749</v>
      </c>
      <c r="J578" s="50" t="str">
        <f>IF(I578="","",_xlfn.XLOOKUP(TRIM(I578),'SkillMasterSkill ID'!$C:$C,'SkillMasterSkill ID'!$F:$F,"NOT FOUND",0))</f>
        <v>NOT FOUND</v>
      </c>
      <c r="K578" s="50"/>
      <c r="L578" s="50"/>
    </row>
    <row r="579" spans="1:12" x14ac:dyDescent="0.25">
      <c r="A57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79">
        <v>10403</v>
      </c>
      <c r="C579" t="s">
        <v>249</v>
      </c>
      <c r="D579" s="46"/>
      <c r="E579" t="s">
        <v>2650</v>
      </c>
      <c r="F579" s="50"/>
      <c r="G579" t="s">
        <v>2769</v>
      </c>
      <c r="H579" t="s">
        <v>2772</v>
      </c>
      <c r="I579" t="s">
        <v>2773</v>
      </c>
      <c r="J579" s="50" t="str">
        <f>IF(I579="","",_xlfn.XLOOKUP(TRIM(I579),'SkillMasterSkill ID'!$C:$C,'SkillMasterSkill ID'!$F:$F,"NOT FOUND",0))</f>
        <v>NOT FOUND</v>
      </c>
      <c r="K579" s="50"/>
      <c r="L579" s="50"/>
    </row>
    <row r="580" spans="1:12" x14ac:dyDescent="0.25">
      <c r="A58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80">
        <v>10403</v>
      </c>
      <c r="C580" t="s">
        <v>249</v>
      </c>
      <c r="D580" s="46"/>
      <c r="E580" t="s">
        <v>872</v>
      </c>
      <c r="F580" s="50"/>
      <c r="G580" t="s">
        <v>1622</v>
      </c>
      <c r="H580" t="s">
        <v>2753</v>
      </c>
      <c r="I580" t="s">
        <v>2754</v>
      </c>
      <c r="J580" s="50" t="str">
        <f>IF(I580="","",_xlfn.XLOOKUP(TRIM(I580),'SkillMasterSkill ID'!$C:$C,'SkillMasterSkill ID'!$F:$F,"NOT FOUND",0))</f>
        <v>NOT FOUND</v>
      </c>
      <c r="K580" s="50"/>
      <c r="L580" s="50"/>
    </row>
    <row r="581" spans="1:12" x14ac:dyDescent="0.25">
      <c r="A58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81">
        <v>10403</v>
      </c>
      <c r="C581" t="s">
        <v>249</v>
      </c>
      <c r="D581" s="46"/>
      <c r="E581" t="s">
        <v>951</v>
      </c>
      <c r="F581" s="50"/>
      <c r="G581" t="s">
        <v>2797</v>
      </c>
      <c r="H581" t="s">
        <v>2798</v>
      </c>
      <c r="I581" t="s">
        <v>2799</v>
      </c>
      <c r="J581" s="50" t="str">
        <f>IF(I581="","",_xlfn.XLOOKUP(TRIM(I581),'SkillMasterSkill ID'!$C:$C,'SkillMasterSkill ID'!$F:$F,"NOT FOUND",0))</f>
        <v>NOT FOUND</v>
      </c>
      <c r="K581" s="50"/>
      <c r="L581" s="50"/>
    </row>
    <row r="582" spans="1:12" x14ac:dyDescent="0.25">
      <c r="A58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82">
        <v>10403</v>
      </c>
      <c r="C582" t="s">
        <v>249</v>
      </c>
      <c r="D582" s="46"/>
      <c r="E582" t="s">
        <v>1448</v>
      </c>
      <c r="F582" s="50"/>
      <c r="G582" t="s">
        <v>1622</v>
      </c>
      <c r="H582" t="s">
        <v>2746</v>
      </c>
      <c r="I582" t="s">
        <v>2747</v>
      </c>
      <c r="J582" s="50" t="str">
        <f>IF(I582="","",_xlfn.XLOOKUP(TRIM(I582),'SkillMasterSkill ID'!$C:$C,'SkillMasterSkill ID'!$F:$F,"NOT FOUND",0))</f>
        <v>NOT FOUND</v>
      </c>
      <c r="K582" s="50"/>
      <c r="L582" s="50"/>
    </row>
    <row r="583" spans="1:12" x14ac:dyDescent="0.25">
      <c r="A58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83">
        <v>10200</v>
      </c>
      <c r="C583" t="s">
        <v>22</v>
      </c>
      <c r="D583" s="46"/>
      <c r="E583" t="s">
        <v>3203</v>
      </c>
      <c r="F583" s="50"/>
      <c r="G583" t="s">
        <v>3202</v>
      </c>
      <c r="H583" t="s">
        <v>3207</v>
      </c>
      <c r="I583" t="s">
        <v>3208</v>
      </c>
      <c r="J583" s="50" t="str">
        <f>IF(I583="","",_xlfn.XLOOKUP(TRIM(I583),'SkillMasterSkill ID'!$C:$C,'SkillMasterSkill ID'!$F:$F,"NOT FOUND",0))</f>
        <v>NOT FOUND</v>
      </c>
      <c r="K583" s="50"/>
      <c r="L583" s="50"/>
    </row>
    <row r="584" spans="1:12" x14ac:dyDescent="0.25">
      <c r="A58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84">
        <v>10200</v>
      </c>
      <c r="C584" t="s">
        <v>22</v>
      </c>
      <c r="D584" s="46"/>
      <c r="E584" t="s">
        <v>3203</v>
      </c>
      <c r="F584" s="50"/>
      <c r="G584" t="s">
        <v>3202</v>
      </c>
      <c r="H584" t="s">
        <v>3205</v>
      </c>
      <c r="I584" t="s">
        <v>3206</v>
      </c>
      <c r="J584" s="50" t="str">
        <f>IF(I584="","",_xlfn.XLOOKUP(TRIM(I584),'SkillMasterSkill ID'!$C:$C,'SkillMasterSkill ID'!$F:$F,"NOT FOUND",0))</f>
        <v>NOT FOUND</v>
      </c>
      <c r="K584" s="50"/>
      <c r="L584" s="50"/>
    </row>
    <row r="585" spans="1:12" x14ac:dyDescent="0.25">
      <c r="A58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85">
        <v>10200</v>
      </c>
      <c r="C585" t="s">
        <v>22</v>
      </c>
      <c r="D585" s="46"/>
      <c r="E585" t="s">
        <v>2665</v>
      </c>
      <c r="F585" s="50"/>
      <c r="G585" t="s">
        <v>3182</v>
      </c>
      <c r="H585" t="s">
        <v>3190</v>
      </c>
      <c r="I585" t="s">
        <v>3191</v>
      </c>
      <c r="J585" s="50" t="str">
        <f>IF(I585="","",_xlfn.XLOOKUP(TRIM(I585),'SkillMasterSkill ID'!$C:$C,'SkillMasterSkill ID'!$F:$F,"NOT FOUND",0))</f>
        <v>NOT FOUND</v>
      </c>
      <c r="K585" s="50"/>
      <c r="L585" s="50"/>
    </row>
    <row r="586" spans="1:12" x14ac:dyDescent="0.25">
      <c r="A58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86">
        <v>10200</v>
      </c>
      <c r="C586" t="s">
        <v>22</v>
      </c>
      <c r="D586" s="46"/>
      <c r="E586" t="s">
        <v>3214</v>
      </c>
      <c r="F586" s="50"/>
      <c r="G586" t="s">
        <v>3213</v>
      </c>
      <c r="H586" t="s">
        <v>3220</v>
      </c>
      <c r="I586" t="s">
        <v>3221</v>
      </c>
      <c r="J586" s="50" t="str">
        <f>IF(I586="","",_xlfn.XLOOKUP(TRIM(I586),'SkillMasterSkill ID'!$C:$C,'SkillMasterSkill ID'!$F:$F,"NOT FOUND",0))</f>
        <v>NOT FOUND</v>
      </c>
      <c r="K586" s="50"/>
      <c r="L586" s="50"/>
    </row>
    <row r="587" spans="1:12" x14ac:dyDescent="0.25">
      <c r="A58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87">
        <v>10200</v>
      </c>
      <c r="C587" t="s">
        <v>22</v>
      </c>
      <c r="D587" s="46"/>
      <c r="E587" t="s">
        <v>3255</v>
      </c>
      <c r="F587" s="50"/>
      <c r="G587" t="s">
        <v>3254</v>
      </c>
      <c r="H587" t="s">
        <v>3258</v>
      </c>
      <c r="I587" t="s">
        <v>3259</v>
      </c>
      <c r="J587" s="50" t="str">
        <f>IF(I587="","",_xlfn.XLOOKUP(TRIM(I587),'SkillMasterSkill ID'!$C:$C,'SkillMasterSkill ID'!$F:$F,"NOT FOUND",0))</f>
        <v>NOT FOUND</v>
      </c>
      <c r="K587" s="50"/>
      <c r="L587" s="50"/>
    </row>
    <row r="588" spans="1:12" x14ac:dyDescent="0.25">
      <c r="A58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88">
        <v>10200</v>
      </c>
      <c r="C588" t="s">
        <v>22</v>
      </c>
      <c r="D588" s="46"/>
      <c r="E588" t="s">
        <v>3193</v>
      </c>
      <c r="F588" s="50"/>
      <c r="G588" t="s">
        <v>3192</v>
      </c>
      <c r="H588" t="s">
        <v>3198</v>
      </c>
      <c r="I588" t="s">
        <v>3199</v>
      </c>
      <c r="J588" s="50" t="str">
        <f>IF(I588="","",_xlfn.XLOOKUP(TRIM(I588),'SkillMasterSkill ID'!$C:$C,'SkillMasterSkill ID'!$F:$F,"NOT FOUND",0))</f>
        <v>NOT FOUND</v>
      </c>
      <c r="K588" s="50"/>
      <c r="L588" s="50"/>
    </row>
    <row r="589" spans="1:12" x14ac:dyDescent="0.25">
      <c r="A58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89">
        <v>10200</v>
      </c>
      <c r="C589" t="s">
        <v>22</v>
      </c>
      <c r="D589" s="46"/>
      <c r="E589" t="s">
        <v>3240</v>
      </c>
      <c r="F589" s="50"/>
      <c r="G589" t="s">
        <v>3239</v>
      </c>
      <c r="H589" t="s">
        <v>3244</v>
      </c>
      <c r="I589" t="s">
        <v>3245</v>
      </c>
      <c r="J589" s="50" t="str">
        <f>IF(I589="","",_xlfn.XLOOKUP(TRIM(I589),'SkillMasterSkill ID'!$C:$C,'SkillMasterSkill ID'!$F:$F,"NOT FOUND",0))</f>
        <v>NOT FOUND</v>
      </c>
      <c r="K589" s="50"/>
      <c r="L589" s="50"/>
    </row>
    <row r="590" spans="1:12" x14ac:dyDescent="0.25">
      <c r="A59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90">
        <v>10200</v>
      </c>
      <c r="C590" t="s">
        <v>22</v>
      </c>
      <c r="D590" s="46"/>
      <c r="E590" t="s">
        <v>2899</v>
      </c>
      <c r="F590" s="50"/>
      <c r="G590" t="s">
        <v>3202</v>
      </c>
      <c r="H590" t="s">
        <v>3211</v>
      </c>
      <c r="I590" t="s">
        <v>3212</v>
      </c>
      <c r="J590" s="50" t="str">
        <f>IF(I590="","",_xlfn.XLOOKUP(TRIM(I590),'SkillMasterSkill ID'!$C:$C,'SkillMasterSkill ID'!$F:$F,"NOT FOUND",0))</f>
        <v>NOT FOUND</v>
      </c>
      <c r="K590" s="50"/>
      <c r="L590" s="50"/>
    </row>
    <row r="591" spans="1:12" x14ac:dyDescent="0.25">
      <c r="A59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91">
        <v>10200</v>
      </c>
      <c r="C591" t="s">
        <v>22</v>
      </c>
      <c r="D591" s="46"/>
      <c r="E591" t="s">
        <v>961</v>
      </c>
      <c r="F591" s="50"/>
      <c r="G591" t="s">
        <v>3266</v>
      </c>
      <c r="H591" t="s">
        <v>3267</v>
      </c>
      <c r="I591" t="s">
        <v>3268</v>
      </c>
      <c r="J591" s="50" t="str">
        <f>IF(I591="","",_xlfn.XLOOKUP(TRIM(I591),'SkillMasterSkill ID'!$C:$C,'SkillMasterSkill ID'!$F:$F,"NOT FOUND",0))</f>
        <v>NOT FOUND</v>
      </c>
      <c r="K591" s="50"/>
      <c r="L591" s="50"/>
    </row>
    <row r="592" spans="1:12" x14ac:dyDescent="0.25">
      <c r="A59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92">
        <v>10200</v>
      </c>
      <c r="C592" t="s">
        <v>22</v>
      </c>
      <c r="D592" s="46"/>
      <c r="E592" t="s">
        <v>951</v>
      </c>
      <c r="F592" s="50"/>
      <c r="G592" t="s">
        <v>2256</v>
      </c>
      <c r="H592" t="s">
        <v>3273</v>
      </c>
      <c r="I592" t="s">
        <v>3274</v>
      </c>
      <c r="J592" s="50" t="str">
        <f>IF(I592="","",_xlfn.XLOOKUP(TRIM(I592),'SkillMasterSkill ID'!$C:$C,'SkillMasterSkill ID'!$F:$F,"NOT FOUND",0))</f>
        <v>NOT FOUND</v>
      </c>
      <c r="K592" s="50"/>
      <c r="L592" s="50"/>
    </row>
    <row r="593" spans="1:12" x14ac:dyDescent="0.25">
      <c r="A59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93">
        <v>10200</v>
      </c>
      <c r="C593" t="s">
        <v>22</v>
      </c>
      <c r="D593" s="46"/>
      <c r="E593" t="s">
        <v>3255</v>
      </c>
      <c r="F593" s="50"/>
      <c r="G593" t="s">
        <v>3254</v>
      </c>
      <c r="H593" t="s">
        <v>3257</v>
      </c>
      <c r="I593" t="s">
        <v>3037</v>
      </c>
      <c r="J593" s="50" t="str">
        <f>IF(I593="","",_xlfn.XLOOKUP(TRIM(I593),'SkillMasterSkill ID'!$C:$C,'SkillMasterSkill ID'!$F:$F,"NOT FOUND",0))</f>
        <v>NOT FOUND</v>
      </c>
      <c r="K593" s="50"/>
      <c r="L593" s="50"/>
    </row>
    <row r="594" spans="1:12" x14ac:dyDescent="0.25">
      <c r="A59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94">
        <v>10200</v>
      </c>
      <c r="C594" t="s">
        <v>22</v>
      </c>
      <c r="D594" s="46"/>
      <c r="E594" t="s">
        <v>3240</v>
      </c>
      <c r="F594" s="50"/>
      <c r="G594" t="s">
        <v>3239</v>
      </c>
      <c r="H594" t="s">
        <v>3242</v>
      </c>
      <c r="I594" t="s">
        <v>3243</v>
      </c>
      <c r="J594" s="50" t="str">
        <f>IF(I594="","",_xlfn.XLOOKUP(TRIM(I594),'SkillMasterSkill ID'!$C:$C,'SkillMasterSkill ID'!$F:$F,"NOT FOUND",0))</f>
        <v>NOT FOUND</v>
      </c>
      <c r="K594" s="50"/>
      <c r="L594" s="50"/>
    </row>
    <row r="595" spans="1:12" x14ac:dyDescent="0.25">
      <c r="A59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95">
        <v>10200</v>
      </c>
      <c r="C595" t="s">
        <v>22</v>
      </c>
      <c r="D595" s="46"/>
      <c r="E595" t="s">
        <v>3260</v>
      </c>
      <c r="F595" s="50"/>
      <c r="G595" t="s">
        <v>3254</v>
      </c>
      <c r="H595" t="s">
        <v>3262</v>
      </c>
      <c r="I595" t="s">
        <v>3263</v>
      </c>
      <c r="J595" s="50" t="str">
        <f>IF(I595="","",_xlfn.XLOOKUP(TRIM(I595),'SkillMasterSkill ID'!$C:$C,'SkillMasterSkill ID'!$F:$F,"NOT FOUND",0))</f>
        <v>NOT FOUND</v>
      </c>
      <c r="K595" s="50"/>
      <c r="L595" s="50"/>
    </row>
    <row r="596" spans="1:12" x14ac:dyDescent="0.25">
      <c r="A59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96">
        <v>10200</v>
      </c>
      <c r="C596" t="s">
        <v>22</v>
      </c>
      <c r="D596" s="46"/>
      <c r="E596" t="s">
        <v>3260</v>
      </c>
      <c r="F596" s="50"/>
      <c r="G596" t="s">
        <v>3254</v>
      </c>
      <c r="H596" t="s">
        <v>3264</v>
      </c>
      <c r="I596" t="s">
        <v>3265</v>
      </c>
      <c r="J596" s="50" t="str">
        <f>IF(I596="","",_xlfn.XLOOKUP(TRIM(I596),'SkillMasterSkill ID'!$C:$C,'SkillMasterSkill ID'!$F:$F,"NOT FOUND",0))</f>
        <v>NOT FOUND</v>
      </c>
      <c r="K596" s="50"/>
      <c r="L596" s="50"/>
    </row>
    <row r="597" spans="1:12" x14ac:dyDescent="0.25">
      <c r="A59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97">
        <v>10200</v>
      </c>
      <c r="C597" t="s">
        <v>22</v>
      </c>
      <c r="D597" s="46"/>
      <c r="E597" t="s">
        <v>2899</v>
      </c>
      <c r="F597" s="50"/>
      <c r="G597" t="s">
        <v>3202</v>
      </c>
      <c r="H597" t="s">
        <v>3209</v>
      </c>
      <c r="I597" t="s">
        <v>3210</v>
      </c>
      <c r="J597" s="50" t="str">
        <f>IF(I597="","",_xlfn.XLOOKUP(TRIM(I597),'SkillMasterSkill ID'!$C:$C,'SkillMasterSkill ID'!$F:$F,"NOT FOUND",0))</f>
        <v>NOT FOUND</v>
      </c>
      <c r="K597" s="50"/>
      <c r="L597" s="50"/>
    </row>
    <row r="598" spans="1:12" x14ac:dyDescent="0.25">
      <c r="A59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98">
        <v>10200</v>
      </c>
      <c r="C598" t="s">
        <v>22</v>
      </c>
      <c r="D598" s="46"/>
      <c r="E598" t="s">
        <v>1476</v>
      </c>
      <c r="F598" s="50"/>
      <c r="G598" t="s">
        <v>3222</v>
      </c>
      <c r="H598" t="s">
        <v>3224</v>
      </c>
      <c r="I598" t="s">
        <v>3225</v>
      </c>
      <c r="J598" s="50" t="str">
        <f>IF(I598="","",_xlfn.XLOOKUP(TRIM(I598),'SkillMasterSkill ID'!$C:$C,'SkillMasterSkill ID'!$F:$F,"NOT FOUND",0))</f>
        <v>NOT FOUND</v>
      </c>
      <c r="K598" s="50"/>
      <c r="L598" s="50"/>
    </row>
    <row r="599" spans="1:12" x14ac:dyDescent="0.25">
      <c r="A59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599">
        <v>10200</v>
      </c>
      <c r="C599" t="s">
        <v>22</v>
      </c>
      <c r="D599" s="46"/>
      <c r="E599" t="s">
        <v>3214</v>
      </c>
      <c r="F599" s="50"/>
      <c r="G599" t="s">
        <v>3213</v>
      </c>
      <c r="H599" t="s">
        <v>3218</v>
      </c>
      <c r="I599" t="s">
        <v>3219</v>
      </c>
      <c r="J599" s="50" t="str">
        <f>IF(I599="","",_xlfn.XLOOKUP(TRIM(I599),'SkillMasterSkill ID'!$C:$C,'SkillMasterSkill ID'!$F:$F,"NOT FOUND",0))</f>
        <v>NOT FOUND</v>
      </c>
      <c r="K599" s="50"/>
      <c r="L599" s="50"/>
    </row>
    <row r="600" spans="1:12" x14ac:dyDescent="0.25">
      <c r="A60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00">
        <v>10200</v>
      </c>
      <c r="C600" t="s">
        <v>22</v>
      </c>
      <c r="D600" s="46"/>
      <c r="E600" t="s">
        <v>3193</v>
      </c>
      <c r="F600" s="50"/>
      <c r="G600" t="s">
        <v>3192</v>
      </c>
      <c r="H600" t="s">
        <v>3195</v>
      </c>
      <c r="I600" t="s">
        <v>878</v>
      </c>
      <c r="J600" s="50" t="str">
        <f>IF(I600="","",_xlfn.XLOOKUP(TRIM(I600),'SkillMasterSkill ID'!$C:$C,'SkillMasterSkill ID'!$F:$F,"NOT FOUND",0))</f>
        <v>Ability to coordinate resources and people (manpower, priorities, and workload) to keep work flowing efficiently.</v>
      </c>
      <c r="K600" s="50"/>
      <c r="L600" s="50"/>
    </row>
    <row r="601" spans="1:12" x14ac:dyDescent="0.25">
      <c r="A60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01">
        <v>10200</v>
      </c>
      <c r="C601" t="s">
        <v>22</v>
      </c>
      <c r="D601" s="46"/>
      <c r="E601" t="s">
        <v>3071</v>
      </c>
      <c r="F601" s="50"/>
      <c r="G601" t="s">
        <v>3182</v>
      </c>
      <c r="H601" t="s">
        <v>3188</v>
      </c>
      <c r="I601" t="s">
        <v>3189</v>
      </c>
      <c r="J601" s="50" t="str">
        <f>IF(I601="","",_xlfn.XLOOKUP(TRIM(I601),'SkillMasterSkill ID'!$C:$C,'SkillMasterSkill ID'!$F:$F,"NOT FOUND",0))</f>
        <v>NOT FOUND</v>
      </c>
      <c r="K601" s="50"/>
      <c r="L601" s="50"/>
    </row>
    <row r="602" spans="1:12" x14ac:dyDescent="0.25">
      <c r="A60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02">
        <v>10200</v>
      </c>
      <c r="C602" t="s">
        <v>22</v>
      </c>
      <c r="D602" s="46"/>
      <c r="E602" t="s">
        <v>961</v>
      </c>
      <c r="F602" s="50"/>
      <c r="G602" t="s">
        <v>3266</v>
      </c>
      <c r="H602" t="s">
        <v>3269</v>
      </c>
      <c r="I602" t="s">
        <v>3270</v>
      </c>
      <c r="J602" s="50" t="str">
        <f>IF(I602="","",_xlfn.XLOOKUP(TRIM(I602),'SkillMasterSkill ID'!$C:$C,'SkillMasterSkill ID'!$F:$F,"NOT FOUND",0))</f>
        <v>NOT FOUND</v>
      </c>
      <c r="K602" s="50"/>
      <c r="L602" s="50"/>
    </row>
    <row r="603" spans="1:12" x14ac:dyDescent="0.25">
      <c r="A60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03">
        <v>10200</v>
      </c>
      <c r="C603" t="s">
        <v>22</v>
      </c>
      <c r="D603" s="46"/>
      <c r="E603" t="s">
        <v>2442</v>
      </c>
      <c r="F603" s="50"/>
      <c r="G603" t="s">
        <v>3246</v>
      </c>
      <c r="H603" t="s">
        <v>3252</v>
      </c>
      <c r="I603" t="s">
        <v>3253</v>
      </c>
      <c r="J603" s="50" t="str">
        <f>IF(I603="","",_xlfn.XLOOKUP(TRIM(I603),'SkillMasterSkill ID'!$C:$C,'SkillMasterSkill ID'!$F:$F,"NOT FOUND",0))</f>
        <v>NOT FOUND</v>
      </c>
      <c r="K603" s="50"/>
      <c r="L603" s="50"/>
    </row>
    <row r="604" spans="1:12" x14ac:dyDescent="0.25">
      <c r="A60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04">
        <v>10200</v>
      </c>
      <c r="C604" t="s">
        <v>22</v>
      </c>
      <c r="D604" s="46"/>
      <c r="E604" t="s">
        <v>2975</v>
      </c>
      <c r="F604" s="50"/>
      <c r="G604" t="s">
        <v>3230</v>
      </c>
      <c r="H604" t="s">
        <v>3232</v>
      </c>
      <c r="I604" t="s">
        <v>3233</v>
      </c>
      <c r="J604" s="50" t="str">
        <f>IF(I604="","",_xlfn.XLOOKUP(TRIM(I604),'SkillMasterSkill ID'!$C:$C,'SkillMasterSkill ID'!$F:$F,"NOT FOUND",0))</f>
        <v>NOT FOUND</v>
      </c>
      <c r="K604" s="50"/>
      <c r="L604" s="50"/>
    </row>
    <row r="605" spans="1:12" x14ac:dyDescent="0.25">
      <c r="A60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05">
        <v>10200</v>
      </c>
      <c r="C605" t="s">
        <v>22</v>
      </c>
      <c r="D605" s="46"/>
      <c r="E605" t="s">
        <v>3214</v>
      </c>
      <c r="F605" s="50"/>
      <c r="G605" t="s">
        <v>3213</v>
      </c>
      <c r="H605" t="s">
        <v>3216</v>
      </c>
      <c r="I605" t="s">
        <v>3217</v>
      </c>
      <c r="J605" s="50" t="str">
        <f>IF(I605="","",_xlfn.XLOOKUP(TRIM(I605),'SkillMasterSkill ID'!$C:$C,'SkillMasterSkill ID'!$F:$F,"NOT FOUND",0))</f>
        <v>NOT FOUND</v>
      </c>
      <c r="K605" s="50"/>
      <c r="L605" s="50"/>
    </row>
    <row r="606" spans="1:12" x14ac:dyDescent="0.25">
      <c r="A60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06">
        <v>10200</v>
      </c>
      <c r="C606" t="s">
        <v>22</v>
      </c>
      <c r="D606" s="46"/>
      <c r="E606" t="s">
        <v>3193</v>
      </c>
      <c r="F606" s="50"/>
      <c r="G606" t="s">
        <v>3192</v>
      </c>
      <c r="H606" t="s">
        <v>3196</v>
      </c>
      <c r="I606" t="s">
        <v>3197</v>
      </c>
      <c r="J606" s="50" t="str">
        <f>IF(I606="","",_xlfn.XLOOKUP(TRIM(I606),'SkillMasterSkill ID'!$C:$C,'SkillMasterSkill ID'!$F:$F,"NOT FOUND",0))</f>
        <v>NOT FOUND</v>
      </c>
      <c r="K606" s="50"/>
      <c r="L606" s="50"/>
    </row>
    <row r="607" spans="1:12" x14ac:dyDescent="0.25">
      <c r="A60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07">
        <v>10200</v>
      </c>
      <c r="C607" t="s">
        <v>22</v>
      </c>
      <c r="D607" s="46"/>
      <c r="E607" t="s">
        <v>951</v>
      </c>
      <c r="F607" s="50"/>
      <c r="G607" t="s">
        <v>2256</v>
      </c>
      <c r="H607" t="s">
        <v>3271</v>
      </c>
      <c r="I607" t="s">
        <v>3272</v>
      </c>
      <c r="J607" s="50" t="str">
        <f>IF(I607="","",_xlfn.XLOOKUP(TRIM(I607),'SkillMasterSkill ID'!$C:$C,'SkillMasterSkill ID'!$F:$F,"NOT FOUND",0))</f>
        <v>NOT FOUND</v>
      </c>
      <c r="K607" s="50"/>
      <c r="L607" s="50"/>
    </row>
    <row r="608" spans="1:12" x14ac:dyDescent="0.25">
      <c r="A60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08">
        <v>10200</v>
      </c>
      <c r="C608" t="s">
        <v>22</v>
      </c>
      <c r="D608" s="46"/>
      <c r="E608" t="s">
        <v>1448</v>
      </c>
      <c r="F608" s="50"/>
      <c r="G608" t="s">
        <v>3230</v>
      </c>
      <c r="H608" t="s">
        <v>3235</v>
      </c>
      <c r="I608" t="s">
        <v>3236</v>
      </c>
      <c r="J608" s="50" t="str">
        <f>IF(I608="","",_xlfn.XLOOKUP(TRIM(I608),'SkillMasterSkill ID'!$C:$C,'SkillMasterSkill ID'!$F:$F,"NOT FOUND",0))</f>
        <v>NOT FOUND</v>
      </c>
      <c r="K608" s="50"/>
      <c r="L608" s="50"/>
    </row>
    <row r="609" spans="1:12" x14ac:dyDescent="0.25">
      <c r="A60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09">
        <v>10200</v>
      </c>
      <c r="C609" t="s">
        <v>22</v>
      </c>
      <c r="D609" s="46"/>
      <c r="E609" t="s">
        <v>1448</v>
      </c>
      <c r="F609" s="50"/>
      <c r="G609" t="s">
        <v>3230</v>
      </c>
      <c r="H609" t="s">
        <v>3237</v>
      </c>
      <c r="I609" t="s">
        <v>3238</v>
      </c>
      <c r="J609" s="50" t="str">
        <f>IF(I609="","",_xlfn.XLOOKUP(TRIM(I609),'SkillMasterSkill ID'!$C:$C,'SkillMasterSkill ID'!$F:$F,"NOT FOUND",0))</f>
        <v>NOT FOUND</v>
      </c>
      <c r="K609" s="50"/>
      <c r="L609" s="50"/>
    </row>
    <row r="610" spans="1:12" x14ac:dyDescent="0.25">
      <c r="A61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10">
        <v>10200</v>
      </c>
      <c r="C610" t="s">
        <v>22</v>
      </c>
      <c r="D610" s="46"/>
      <c r="E610" t="s">
        <v>2519</v>
      </c>
      <c r="F610" s="50"/>
      <c r="G610" t="s">
        <v>3222</v>
      </c>
      <c r="H610" t="s">
        <v>3228</v>
      </c>
      <c r="I610" t="s">
        <v>3229</v>
      </c>
      <c r="J610" s="50" t="str">
        <f>IF(I610="","",_xlfn.XLOOKUP(TRIM(I610),'SkillMasterSkill ID'!$C:$C,'SkillMasterSkill ID'!$F:$F,"NOT FOUND",0))</f>
        <v>NOT FOUND</v>
      </c>
      <c r="K610" s="50"/>
      <c r="L610" s="50"/>
    </row>
    <row r="611" spans="1:12" x14ac:dyDescent="0.25">
      <c r="A61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11">
        <v>10200</v>
      </c>
      <c r="C611" t="s">
        <v>22</v>
      </c>
      <c r="D611" s="46"/>
      <c r="E611" t="s">
        <v>2442</v>
      </c>
      <c r="F611" s="50"/>
      <c r="G611" t="s">
        <v>3246</v>
      </c>
      <c r="H611" t="s">
        <v>3250</v>
      </c>
      <c r="I611" t="s">
        <v>3251</v>
      </c>
      <c r="J611" s="50" t="str">
        <f>IF(I611="","",_xlfn.XLOOKUP(TRIM(I611),'SkillMasterSkill ID'!$C:$C,'SkillMasterSkill ID'!$F:$F,"NOT FOUND",0))</f>
        <v>NOT FOUND</v>
      </c>
      <c r="K611" s="50"/>
      <c r="L611" s="50"/>
    </row>
    <row r="612" spans="1:12" x14ac:dyDescent="0.25">
      <c r="A61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12">
        <v>10200</v>
      </c>
      <c r="C612" t="s">
        <v>22</v>
      </c>
      <c r="D612" s="46"/>
      <c r="E612" t="s">
        <v>2442</v>
      </c>
      <c r="F612" s="50"/>
      <c r="G612" t="s">
        <v>3246</v>
      </c>
      <c r="H612" t="s">
        <v>3248</v>
      </c>
      <c r="I612" t="s">
        <v>3249</v>
      </c>
      <c r="J612" s="50" t="str">
        <f>IF(I612="","",_xlfn.XLOOKUP(TRIM(I612),'SkillMasterSkill ID'!$C:$C,'SkillMasterSkill ID'!$F:$F,"NOT FOUND",0))</f>
        <v>NOT FOUND</v>
      </c>
      <c r="K612" s="50"/>
      <c r="L612" s="50"/>
    </row>
    <row r="613" spans="1:12" x14ac:dyDescent="0.25">
      <c r="A61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13">
        <v>10200</v>
      </c>
      <c r="C613" t="s">
        <v>22</v>
      </c>
      <c r="D613" s="46"/>
      <c r="E613" t="s">
        <v>3193</v>
      </c>
      <c r="F613" s="50"/>
      <c r="G613" t="s">
        <v>3192</v>
      </c>
      <c r="H613" t="s">
        <v>3200</v>
      </c>
      <c r="I613" t="s">
        <v>3201</v>
      </c>
      <c r="J613" s="50" t="str">
        <f>IF(I613="","",_xlfn.XLOOKUP(TRIM(I613),'SkillMasterSkill ID'!$C:$C,'SkillMasterSkill ID'!$F:$F,"NOT FOUND",0))</f>
        <v>NOT FOUND</v>
      </c>
      <c r="K613" s="50"/>
      <c r="L613" s="50"/>
    </row>
    <row r="614" spans="1:12" x14ac:dyDescent="0.25">
      <c r="A61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14">
        <v>10200</v>
      </c>
      <c r="C614" t="s">
        <v>22</v>
      </c>
      <c r="D614" s="46"/>
      <c r="E614" t="s">
        <v>3183</v>
      </c>
      <c r="F614" s="50"/>
      <c r="G614" t="s">
        <v>3182</v>
      </c>
      <c r="H614" t="s">
        <v>3185</v>
      </c>
      <c r="I614" t="s">
        <v>3186</v>
      </c>
      <c r="J614" s="50" t="str">
        <f>IF(I614="","",_xlfn.XLOOKUP(TRIM(I614),'SkillMasterSkill ID'!$C:$C,'SkillMasterSkill ID'!$F:$F,"NOT FOUND",0))</f>
        <v>NOT FOUND</v>
      </c>
      <c r="K614" s="50"/>
      <c r="L614" s="50"/>
    </row>
    <row r="615" spans="1:12" x14ac:dyDescent="0.25">
      <c r="A61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15">
        <v>10200</v>
      </c>
      <c r="C615" t="s">
        <v>22</v>
      </c>
      <c r="D615" s="46"/>
      <c r="E615" t="s">
        <v>1476</v>
      </c>
      <c r="F615" s="50"/>
      <c r="G615" t="s">
        <v>3222</v>
      </c>
      <c r="H615" t="s">
        <v>3226</v>
      </c>
      <c r="I615" t="s">
        <v>3227</v>
      </c>
      <c r="J615" s="50" t="str">
        <f>IF(I615="","",_xlfn.XLOOKUP(TRIM(I615),'SkillMasterSkill ID'!$C:$C,'SkillMasterSkill ID'!$F:$F,"NOT FOUND",0))</f>
        <v>NOT FOUND</v>
      </c>
      <c r="K615" s="50"/>
      <c r="L615" s="50"/>
    </row>
    <row r="616" spans="1:12" x14ac:dyDescent="0.25">
      <c r="A61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16">
        <v>3200</v>
      </c>
      <c r="C616" t="s">
        <v>4125</v>
      </c>
      <c r="D616" s="46"/>
      <c r="E616" t="s">
        <v>947</v>
      </c>
      <c r="F616" s="50"/>
      <c r="G616" t="s">
        <v>4198</v>
      </c>
      <c r="H616" t="s">
        <v>4209</v>
      </c>
      <c r="I616" t="s">
        <v>4210</v>
      </c>
      <c r="J616" s="50" t="str">
        <f>IF(I616="","",_xlfn.XLOOKUP(TRIM(I616),'SkillMasterSkill ID'!$C:$C,'SkillMasterSkill ID'!$F:$F,"NOT FOUND",0))</f>
        <v>NOT FOUND</v>
      </c>
      <c r="K616" s="50"/>
      <c r="L616" s="50"/>
    </row>
    <row r="617" spans="1:12" x14ac:dyDescent="0.25">
      <c r="A61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17">
        <v>3200</v>
      </c>
      <c r="C617" t="s">
        <v>4125</v>
      </c>
      <c r="D617" s="46"/>
      <c r="E617" t="s">
        <v>2975</v>
      </c>
      <c r="F617" s="50"/>
      <c r="G617" t="s">
        <v>4124</v>
      </c>
      <c r="H617" t="s">
        <v>4126</v>
      </c>
      <c r="I617" t="s">
        <v>4127</v>
      </c>
      <c r="J617" s="50" t="str">
        <f>IF(I617="","",_xlfn.XLOOKUP(TRIM(I617),'SkillMasterSkill ID'!$C:$C,'SkillMasterSkill ID'!$F:$F,"NOT FOUND",0))</f>
        <v>NOT FOUND</v>
      </c>
      <c r="K617" s="50"/>
      <c r="L617" s="50"/>
    </row>
    <row r="618" spans="1:12" x14ac:dyDescent="0.25">
      <c r="A61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18">
        <v>3200</v>
      </c>
      <c r="C618" t="s">
        <v>4125</v>
      </c>
      <c r="D618" s="46"/>
      <c r="E618" t="s">
        <v>4148</v>
      </c>
      <c r="F618" s="50"/>
      <c r="G618" t="s">
        <v>4136</v>
      </c>
      <c r="H618" t="s">
        <v>4150</v>
      </c>
      <c r="I618" t="s">
        <v>4151</v>
      </c>
      <c r="J618" s="50" t="str">
        <f>IF(I618="","",_xlfn.XLOOKUP(TRIM(I618),'SkillMasterSkill ID'!$C:$C,'SkillMasterSkill ID'!$F:$F,"NOT FOUND",0))</f>
        <v>NOT FOUND</v>
      </c>
      <c r="K618" s="50"/>
      <c r="L618" s="50"/>
    </row>
    <row r="619" spans="1:12" x14ac:dyDescent="0.25">
      <c r="A61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19">
        <v>3200</v>
      </c>
      <c r="C619" t="s">
        <v>4125</v>
      </c>
      <c r="D619" s="46"/>
      <c r="E619" t="s">
        <v>4137</v>
      </c>
      <c r="F619" s="50"/>
      <c r="G619" t="s">
        <v>4136</v>
      </c>
      <c r="H619" t="s">
        <v>4142</v>
      </c>
      <c r="I619" t="s">
        <v>4143</v>
      </c>
      <c r="J619" s="50" t="str">
        <f>IF(I619="","",_xlfn.XLOOKUP(TRIM(I619),'SkillMasterSkill ID'!$C:$C,'SkillMasterSkill ID'!$F:$F,"NOT FOUND",0))</f>
        <v>NOT FOUND</v>
      </c>
      <c r="K619" s="50"/>
      <c r="L619" s="50"/>
    </row>
    <row r="620" spans="1:12" x14ac:dyDescent="0.25">
      <c r="A62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20">
        <v>3200</v>
      </c>
      <c r="C620" t="s">
        <v>4125</v>
      </c>
      <c r="D620" s="46"/>
      <c r="E620" t="s">
        <v>871</v>
      </c>
      <c r="F620" s="50"/>
      <c r="G620" t="s">
        <v>2483</v>
      </c>
      <c r="H620" t="s">
        <v>4193</v>
      </c>
      <c r="I620" t="s">
        <v>4194</v>
      </c>
      <c r="J620" s="50" t="str">
        <f>IF(I620="","",_xlfn.XLOOKUP(TRIM(I620),'SkillMasterSkill ID'!$C:$C,'SkillMasterSkill ID'!$F:$F,"NOT FOUND",0))</f>
        <v>NOT FOUND</v>
      </c>
      <c r="K620" s="50"/>
      <c r="L620" s="50"/>
    </row>
    <row r="621" spans="1:12" x14ac:dyDescent="0.25">
      <c r="A62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21">
        <v>3200</v>
      </c>
      <c r="C621" t="s">
        <v>4125</v>
      </c>
      <c r="D621" s="46"/>
      <c r="E621" t="s">
        <v>2665</v>
      </c>
      <c r="F621" s="50"/>
      <c r="G621" t="s">
        <v>4124</v>
      </c>
      <c r="H621" t="s">
        <v>4133</v>
      </c>
      <c r="I621" t="s">
        <v>4134</v>
      </c>
      <c r="J621" s="50" t="str">
        <f>IF(I621="","",_xlfn.XLOOKUP(TRIM(I621),'SkillMasterSkill ID'!$C:$C,'SkillMasterSkill ID'!$F:$F,"NOT FOUND",0))</f>
        <v>NOT FOUND</v>
      </c>
      <c r="K621" s="50"/>
      <c r="L621" s="50"/>
    </row>
    <row r="622" spans="1:12" x14ac:dyDescent="0.25">
      <c r="A62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22">
        <v>3200</v>
      </c>
      <c r="C622" t="s">
        <v>4125</v>
      </c>
      <c r="D622" s="46"/>
      <c r="E622" t="s">
        <v>1367</v>
      </c>
      <c r="F622" s="50"/>
      <c r="G622" t="s">
        <v>4224</v>
      </c>
      <c r="H622" t="s">
        <v>4228</v>
      </c>
      <c r="I622" t="s">
        <v>910</v>
      </c>
      <c r="J622" s="50" t="str">
        <f>IF(I622="","",_xlfn.XLOOKUP(TRIM(I622),'SkillMasterSkill ID'!$C:$C,'SkillMasterSkill ID'!$F:$F,"NOT FOUND",0))</f>
        <v>Competency related to conflict resolution that supports effective field/project leadership and execution.</v>
      </c>
      <c r="K622" s="50"/>
      <c r="L622" s="50"/>
    </row>
    <row r="623" spans="1:12" x14ac:dyDescent="0.25">
      <c r="A62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23">
        <v>3200</v>
      </c>
      <c r="C623" t="s">
        <v>4125</v>
      </c>
      <c r="D623" s="46"/>
      <c r="E623" t="s">
        <v>874</v>
      </c>
      <c r="F623" s="50"/>
      <c r="G623" t="s">
        <v>4198</v>
      </c>
      <c r="H623" t="s">
        <v>4203</v>
      </c>
      <c r="I623" t="s">
        <v>4204</v>
      </c>
      <c r="J623" s="50" t="str">
        <f>IF(I623="","",_xlfn.XLOOKUP(TRIM(I623),'SkillMasterSkill ID'!$C:$C,'SkillMasterSkill ID'!$F:$F,"NOT FOUND",0))</f>
        <v>NOT FOUND</v>
      </c>
      <c r="K623" s="50"/>
      <c r="L623" s="50"/>
    </row>
    <row r="624" spans="1:12" x14ac:dyDescent="0.25">
      <c r="A62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24">
        <v>3200</v>
      </c>
      <c r="C624" t="s">
        <v>4125</v>
      </c>
      <c r="D624" s="46"/>
      <c r="E624" t="s">
        <v>4137</v>
      </c>
      <c r="F624" s="50"/>
      <c r="G624" t="s">
        <v>4136</v>
      </c>
      <c r="H624" t="s">
        <v>4139</v>
      </c>
      <c r="I624" t="s">
        <v>4140</v>
      </c>
      <c r="J624" s="50" t="str">
        <f>IF(I624="","",_xlfn.XLOOKUP(TRIM(I624),'SkillMasterSkill ID'!$C:$C,'SkillMasterSkill ID'!$F:$F,"NOT FOUND",0))</f>
        <v>NOT FOUND</v>
      </c>
      <c r="K624" s="50"/>
      <c r="L624" s="50"/>
    </row>
    <row r="625" spans="1:12" x14ac:dyDescent="0.25">
      <c r="A62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25">
        <v>3200</v>
      </c>
      <c r="C625" t="s">
        <v>4125</v>
      </c>
      <c r="D625" s="46"/>
      <c r="E625" t="s">
        <v>4163</v>
      </c>
      <c r="F625" s="50"/>
      <c r="G625" t="s">
        <v>4162</v>
      </c>
      <c r="H625" t="s">
        <v>4165</v>
      </c>
      <c r="I625" t="s">
        <v>4166</v>
      </c>
      <c r="J625" s="50" t="str">
        <f>IF(I625="","",_xlfn.XLOOKUP(TRIM(I625),'SkillMasterSkill ID'!$C:$C,'SkillMasterSkill ID'!$F:$F,"NOT FOUND",0))</f>
        <v>NOT FOUND</v>
      </c>
      <c r="K625" s="50"/>
      <c r="L625" s="50"/>
    </row>
    <row r="626" spans="1:12" x14ac:dyDescent="0.25">
      <c r="A62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26">
        <v>3200</v>
      </c>
      <c r="C626" t="s">
        <v>4125</v>
      </c>
      <c r="D626" s="46"/>
      <c r="E626" t="s">
        <v>4163</v>
      </c>
      <c r="F626" s="50"/>
      <c r="G626" t="s">
        <v>4162</v>
      </c>
      <c r="H626" t="s">
        <v>4171</v>
      </c>
      <c r="I626" t="s">
        <v>4172</v>
      </c>
      <c r="J626" s="50" t="str">
        <f>IF(I626="","",_xlfn.XLOOKUP(TRIM(I626),'SkillMasterSkill ID'!$C:$C,'SkillMasterSkill ID'!$F:$F,"NOT FOUND",0))</f>
        <v>NOT FOUND</v>
      </c>
      <c r="K626" s="50"/>
      <c r="L626" s="50"/>
    </row>
    <row r="627" spans="1:12" x14ac:dyDescent="0.25">
      <c r="A62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27">
        <v>3200</v>
      </c>
      <c r="C627" t="s">
        <v>4125</v>
      </c>
      <c r="D627" s="46"/>
      <c r="E627" t="s">
        <v>4213</v>
      </c>
      <c r="F627" s="50"/>
      <c r="G627" t="s">
        <v>4212</v>
      </c>
      <c r="H627" t="s">
        <v>4215</v>
      </c>
      <c r="I627" t="s">
        <v>4216</v>
      </c>
      <c r="J627" s="50" t="str">
        <f>IF(I627="","",_xlfn.XLOOKUP(TRIM(I627),'SkillMasterSkill ID'!$C:$C,'SkillMasterSkill ID'!$F:$F,"NOT FOUND",0))</f>
        <v>NOT FOUND</v>
      </c>
      <c r="K627" s="50"/>
      <c r="L627" s="50"/>
    </row>
    <row r="628" spans="1:12" x14ac:dyDescent="0.25">
      <c r="A62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28">
        <v>3200</v>
      </c>
      <c r="C628" t="s">
        <v>4125</v>
      </c>
      <c r="D628" s="46"/>
      <c r="E628" t="s">
        <v>4178</v>
      </c>
      <c r="F628" s="50"/>
      <c r="G628" t="s">
        <v>4177</v>
      </c>
      <c r="H628" t="s">
        <v>4183</v>
      </c>
      <c r="I628" t="s">
        <v>4184</v>
      </c>
      <c r="J628" s="50" t="str">
        <f>IF(I628="","",_xlfn.XLOOKUP(TRIM(I628),'SkillMasterSkill ID'!$C:$C,'SkillMasterSkill ID'!$F:$F,"NOT FOUND",0))</f>
        <v>NOT FOUND</v>
      </c>
      <c r="K628" s="50"/>
      <c r="L628" s="50"/>
    </row>
    <row r="629" spans="1:12" x14ac:dyDescent="0.25">
      <c r="A62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29">
        <v>3200</v>
      </c>
      <c r="C629" t="s">
        <v>4125</v>
      </c>
      <c r="D629" s="46"/>
      <c r="E629" t="s">
        <v>4178</v>
      </c>
      <c r="F629" s="50"/>
      <c r="G629" t="s">
        <v>4177</v>
      </c>
      <c r="H629" t="s">
        <v>4185</v>
      </c>
      <c r="I629" t="s">
        <v>4186</v>
      </c>
      <c r="J629" s="50" t="str">
        <f>IF(I629="","",_xlfn.XLOOKUP(TRIM(I629),'SkillMasterSkill ID'!$C:$C,'SkillMasterSkill ID'!$F:$F,"NOT FOUND",0))</f>
        <v>NOT FOUND</v>
      </c>
      <c r="K629" s="50"/>
      <c r="L629" s="50"/>
    </row>
    <row r="630" spans="1:12" x14ac:dyDescent="0.25">
      <c r="A63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30">
        <v>3200</v>
      </c>
      <c r="C630" t="s">
        <v>4125</v>
      </c>
      <c r="D630" s="46"/>
      <c r="E630" t="s">
        <v>1470</v>
      </c>
      <c r="F630" s="50"/>
      <c r="G630" t="s">
        <v>4162</v>
      </c>
      <c r="H630" t="s">
        <v>4174</v>
      </c>
      <c r="I630" t="s">
        <v>4175</v>
      </c>
      <c r="J630" s="50" t="str">
        <f>IF(I630="","",_xlfn.XLOOKUP(TRIM(I630),'SkillMasterSkill ID'!$C:$C,'SkillMasterSkill ID'!$F:$F,"NOT FOUND",0))</f>
        <v>NOT FOUND</v>
      </c>
      <c r="K630" s="50"/>
      <c r="L630" s="50"/>
    </row>
    <row r="631" spans="1:12" x14ac:dyDescent="0.25">
      <c r="A63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31">
        <v>3200</v>
      </c>
      <c r="C631" t="s">
        <v>4125</v>
      </c>
      <c r="D631" s="46"/>
      <c r="E631" t="s">
        <v>4205</v>
      </c>
      <c r="F631" s="50"/>
      <c r="G631" t="s">
        <v>4198</v>
      </c>
      <c r="H631" t="s">
        <v>4207</v>
      </c>
      <c r="I631" t="s">
        <v>4208</v>
      </c>
      <c r="J631" s="50" t="str">
        <f>IF(I631="","",_xlfn.XLOOKUP(TRIM(I631),'SkillMasterSkill ID'!$C:$C,'SkillMasterSkill ID'!$F:$F,"NOT FOUND",0))</f>
        <v>NOT FOUND</v>
      </c>
      <c r="K631" s="50"/>
      <c r="L631" s="50"/>
    </row>
    <row r="632" spans="1:12" x14ac:dyDescent="0.25">
      <c r="A63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32">
        <v>3200</v>
      </c>
      <c r="C632" t="s">
        <v>4125</v>
      </c>
      <c r="D632" s="46"/>
      <c r="E632" t="s">
        <v>2430</v>
      </c>
      <c r="F632" s="50"/>
      <c r="G632" t="s">
        <v>4212</v>
      </c>
      <c r="H632" t="s">
        <v>4218</v>
      </c>
      <c r="I632" t="s">
        <v>4219</v>
      </c>
      <c r="J632" s="50" t="str">
        <f>IF(I632="","",_xlfn.XLOOKUP(TRIM(I632),'SkillMasterSkill ID'!$C:$C,'SkillMasterSkill ID'!$F:$F,"NOT FOUND",0))</f>
        <v>NOT FOUND</v>
      </c>
      <c r="K632" s="50"/>
      <c r="L632" s="50"/>
    </row>
    <row r="633" spans="1:12" x14ac:dyDescent="0.25">
      <c r="A63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33">
        <v>3200</v>
      </c>
      <c r="C633" t="s">
        <v>4125</v>
      </c>
      <c r="D633" s="46"/>
      <c r="E633" t="s">
        <v>1470</v>
      </c>
      <c r="F633" s="50"/>
      <c r="G633" t="s">
        <v>4124</v>
      </c>
      <c r="H633" t="s">
        <v>4130</v>
      </c>
      <c r="I633" t="s">
        <v>4131</v>
      </c>
      <c r="J633" s="50" t="str">
        <f>IF(I633="","",_xlfn.XLOOKUP(TRIM(I633),'SkillMasterSkill ID'!$C:$C,'SkillMasterSkill ID'!$F:$F,"NOT FOUND",0))</f>
        <v>NOT FOUND</v>
      </c>
      <c r="K633" s="50"/>
      <c r="L633" s="50"/>
    </row>
    <row r="634" spans="1:12" x14ac:dyDescent="0.25">
      <c r="A63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34">
        <v>3200</v>
      </c>
      <c r="C634" t="s">
        <v>4125</v>
      </c>
      <c r="D634" s="46"/>
      <c r="E634" t="s">
        <v>4178</v>
      </c>
      <c r="F634" s="50"/>
      <c r="G634" t="s">
        <v>4177</v>
      </c>
      <c r="H634" t="s">
        <v>4180</v>
      </c>
      <c r="I634" t="s">
        <v>4181</v>
      </c>
      <c r="J634" s="50" t="str">
        <f>IF(I634="","",_xlfn.XLOOKUP(TRIM(I634),'SkillMasterSkill ID'!$C:$C,'SkillMasterSkill ID'!$F:$F,"NOT FOUND",0))</f>
        <v>NOT FOUND</v>
      </c>
      <c r="K634" s="50"/>
      <c r="L634" s="50"/>
    </row>
    <row r="635" spans="1:12" x14ac:dyDescent="0.25">
      <c r="A63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35">
        <v>3200</v>
      </c>
      <c r="C635" t="s">
        <v>4125</v>
      </c>
      <c r="D635" s="46"/>
      <c r="E635" t="s">
        <v>873</v>
      </c>
      <c r="F635" s="50"/>
      <c r="G635" t="s">
        <v>4177</v>
      </c>
      <c r="H635" t="s">
        <v>4188</v>
      </c>
      <c r="I635" t="s">
        <v>898</v>
      </c>
      <c r="J635" s="50" t="str">
        <f>IF(I635="","",_xlfn.XLOOKUP(TRIM(I635),'SkillMasterSkill ID'!$C:$C,'SkillMasterSkill ID'!$F:$F,"NOT FOUND",0))</f>
        <v>Competency related to issue escalation that supports effective field/project leadership and execution.</v>
      </c>
      <c r="K635" s="50"/>
      <c r="L635" s="50"/>
    </row>
    <row r="636" spans="1:12" x14ac:dyDescent="0.25">
      <c r="A63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36">
        <v>3200</v>
      </c>
      <c r="C636" t="s">
        <v>4125</v>
      </c>
      <c r="D636" s="46"/>
      <c r="E636" t="s">
        <v>1470</v>
      </c>
      <c r="F636" s="50"/>
      <c r="G636" t="s">
        <v>4124</v>
      </c>
      <c r="H636" t="s">
        <v>4128</v>
      </c>
      <c r="I636" t="s">
        <v>4129</v>
      </c>
      <c r="J636" s="50" t="str">
        <f>IF(I636="","",_xlfn.XLOOKUP(TRIM(I636),'SkillMasterSkill ID'!$C:$C,'SkillMasterSkill ID'!$F:$F,"NOT FOUND",0))</f>
        <v>NOT FOUND</v>
      </c>
      <c r="K636" s="50"/>
      <c r="L636" s="50"/>
    </row>
    <row r="637" spans="1:12" x14ac:dyDescent="0.25">
      <c r="A63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37">
        <v>3200</v>
      </c>
      <c r="C637" t="s">
        <v>4125</v>
      </c>
      <c r="D637" s="46"/>
      <c r="E637" t="s">
        <v>3214</v>
      </c>
      <c r="F637" s="50"/>
      <c r="G637" t="s">
        <v>4136</v>
      </c>
      <c r="H637" t="s">
        <v>4155</v>
      </c>
      <c r="I637" t="s">
        <v>4156</v>
      </c>
      <c r="J637" s="50" t="str">
        <f>IF(I637="","",_xlfn.XLOOKUP(TRIM(I637),'SkillMasterSkill ID'!$C:$C,'SkillMasterSkill ID'!$F:$F,"NOT FOUND",0))</f>
        <v>NOT FOUND</v>
      </c>
      <c r="K637" s="50"/>
      <c r="L637" s="50"/>
    </row>
    <row r="638" spans="1:12" x14ac:dyDescent="0.25">
      <c r="A63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38">
        <v>3200</v>
      </c>
      <c r="C638" t="s">
        <v>4125</v>
      </c>
      <c r="D638" s="46"/>
      <c r="E638" t="s">
        <v>953</v>
      </c>
      <c r="F638" s="50"/>
      <c r="G638" t="s">
        <v>4224</v>
      </c>
      <c r="H638" t="s">
        <v>4232</v>
      </c>
      <c r="I638" t="s">
        <v>4233</v>
      </c>
      <c r="J638" s="50" t="str">
        <f>IF(I638="","",_xlfn.XLOOKUP(TRIM(I638),'SkillMasterSkill ID'!$C:$C,'SkillMasterSkill ID'!$F:$F,"NOT FOUND",0))</f>
        <v>NOT FOUND</v>
      </c>
      <c r="K638" s="50"/>
      <c r="L638" s="50"/>
    </row>
    <row r="639" spans="1:12" x14ac:dyDescent="0.25">
      <c r="A63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39">
        <v>3200</v>
      </c>
      <c r="C639" t="s">
        <v>4125</v>
      </c>
      <c r="D639" s="46"/>
      <c r="E639" t="s">
        <v>4235</v>
      </c>
      <c r="F639" s="50"/>
      <c r="G639" t="s">
        <v>4224</v>
      </c>
      <c r="H639" t="s">
        <v>4237</v>
      </c>
      <c r="I639" t="s">
        <v>4238</v>
      </c>
      <c r="J639" s="50" t="str">
        <f>IF(I639="","",_xlfn.XLOOKUP(TRIM(I639),'SkillMasterSkill ID'!$C:$C,'SkillMasterSkill ID'!$F:$F,"NOT FOUND",0))</f>
        <v>NOT FOUND</v>
      </c>
      <c r="K639" s="50"/>
      <c r="L639" s="50"/>
    </row>
    <row r="640" spans="1:12" x14ac:dyDescent="0.25">
      <c r="A64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40">
        <v>3200</v>
      </c>
      <c r="C640" t="s">
        <v>4125</v>
      </c>
      <c r="D640" s="46"/>
      <c r="E640" t="s">
        <v>874</v>
      </c>
      <c r="F640" s="50"/>
      <c r="G640" t="s">
        <v>2483</v>
      </c>
      <c r="H640" t="s">
        <v>4196</v>
      </c>
      <c r="I640" t="s">
        <v>2563</v>
      </c>
      <c r="J640" s="50" t="str">
        <f>IF(I640="","",_xlfn.XLOOKUP(TRIM(I640),'SkillMasterSkill ID'!$C:$C,'SkillMasterSkill ID'!$F:$F,"NOT FOUND",0))</f>
        <v>NOT FOUND</v>
      </c>
      <c r="K640" s="50"/>
      <c r="L640" s="50"/>
    </row>
    <row r="641" spans="1:12" x14ac:dyDescent="0.25">
      <c r="A64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41">
        <v>3200</v>
      </c>
      <c r="C641" t="s">
        <v>4125</v>
      </c>
      <c r="D641" s="46"/>
      <c r="E641" t="s">
        <v>871</v>
      </c>
      <c r="F641" s="50"/>
      <c r="G641" t="s">
        <v>2483</v>
      </c>
      <c r="H641" t="s">
        <v>4190</v>
      </c>
      <c r="I641" t="s">
        <v>4191</v>
      </c>
      <c r="J641" s="50" t="str">
        <f>IF(I641="","",_xlfn.XLOOKUP(TRIM(I641),'SkillMasterSkill ID'!$C:$C,'SkillMasterSkill ID'!$F:$F,"NOT FOUND",0))</f>
        <v>NOT FOUND</v>
      </c>
      <c r="K641" s="50"/>
      <c r="L641" s="50"/>
    </row>
    <row r="642" spans="1:12" x14ac:dyDescent="0.25">
      <c r="A64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42">
        <v>3200</v>
      </c>
      <c r="C642" t="s">
        <v>4125</v>
      </c>
      <c r="D642" s="46"/>
      <c r="E642" t="s">
        <v>4199</v>
      </c>
      <c r="F642" s="50"/>
      <c r="G642" t="s">
        <v>4198</v>
      </c>
      <c r="H642" t="s">
        <v>4201</v>
      </c>
      <c r="I642" t="s">
        <v>2738</v>
      </c>
      <c r="J642" s="50" t="str">
        <f>IF(I642="","",_xlfn.XLOOKUP(TRIM(I642),'SkillMasterSkill ID'!$C:$C,'SkillMasterSkill ID'!$F:$F,"NOT FOUND",0))</f>
        <v>NOT FOUND</v>
      </c>
      <c r="K642" s="50"/>
      <c r="L642" s="50"/>
    </row>
    <row r="643" spans="1:12" x14ac:dyDescent="0.25">
      <c r="A64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43">
        <v>3200</v>
      </c>
      <c r="C643" t="s">
        <v>4125</v>
      </c>
      <c r="D643" s="46"/>
      <c r="E643" t="s">
        <v>4163</v>
      </c>
      <c r="F643" s="50"/>
      <c r="G643" t="s">
        <v>4162</v>
      </c>
      <c r="H643" t="s">
        <v>4168</v>
      </c>
      <c r="I643" t="s">
        <v>4169</v>
      </c>
      <c r="J643" s="50" t="str">
        <f>IF(I643="","",_xlfn.XLOOKUP(TRIM(I643),'SkillMasterSkill ID'!$C:$C,'SkillMasterSkill ID'!$F:$F,"NOT FOUND",0))</f>
        <v>NOT FOUND</v>
      </c>
      <c r="K643" s="50"/>
      <c r="L643" s="50"/>
    </row>
    <row r="644" spans="1:12" x14ac:dyDescent="0.25">
      <c r="A64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44">
        <v>3200</v>
      </c>
      <c r="C644" t="s">
        <v>4125</v>
      </c>
      <c r="D644" s="46"/>
      <c r="E644" t="s">
        <v>3071</v>
      </c>
      <c r="F644" s="50"/>
      <c r="G644" t="s">
        <v>4224</v>
      </c>
      <c r="H644" t="s">
        <v>4230</v>
      </c>
      <c r="I644" t="s">
        <v>4231</v>
      </c>
      <c r="J644" s="50" t="str">
        <f>IF(I644="","",_xlfn.XLOOKUP(TRIM(I644),'SkillMasterSkill ID'!$C:$C,'SkillMasterSkill ID'!$F:$F,"NOT FOUND",0))</f>
        <v>NOT FOUND</v>
      </c>
      <c r="K644" s="50"/>
      <c r="L644" s="50"/>
    </row>
    <row r="645" spans="1:12" x14ac:dyDescent="0.25">
      <c r="A64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45">
        <v>3200</v>
      </c>
      <c r="C645" t="s">
        <v>4125</v>
      </c>
      <c r="D645" s="46"/>
      <c r="E645" t="s">
        <v>873</v>
      </c>
      <c r="F645" s="50"/>
      <c r="G645" t="s">
        <v>4224</v>
      </c>
      <c r="H645" t="s">
        <v>4225</v>
      </c>
      <c r="I645" t="s">
        <v>2470</v>
      </c>
      <c r="J645" s="50" t="str">
        <f>IF(I645="","",_xlfn.XLOOKUP(TRIM(I645),'SkillMasterSkill ID'!$C:$C,'SkillMasterSkill ID'!$F:$F,"NOT FOUND",0))</f>
        <v>NOT FOUND</v>
      </c>
      <c r="K645" s="50"/>
      <c r="L645" s="50"/>
    </row>
    <row r="646" spans="1:12" x14ac:dyDescent="0.25">
      <c r="A64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46">
        <v>3200</v>
      </c>
      <c r="C646" t="s">
        <v>4125</v>
      </c>
      <c r="D646" s="46"/>
      <c r="E646" t="s">
        <v>4137</v>
      </c>
      <c r="F646" s="50"/>
      <c r="G646" t="s">
        <v>4136</v>
      </c>
      <c r="H646" t="s">
        <v>4145</v>
      </c>
      <c r="I646" t="s">
        <v>4146</v>
      </c>
      <c r="J646" s="50" t="str">
        <f>IF(I646="","",_xlfn.XLOOKUP(TRIM(I646),'SkillMasterSkill ID'!$C:$C,'SkillMasterSkill ID'!$F:$F,"NOT FOUND",0))</f>
        <v>NOT FOUND</v>
      </c>
      <c r="K646" s="50"/>
      <c r="L646" s="50"/>
    </row>
    <row r="647" spans="1:12" x14ac:dyDescent="0.25">
      <c r="A64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47">
        <v>3200</v>
      </c>
      <c r="C647" t="s">
        <v>4125</v>
      </c>
      <c r="D647" s="46"/>
      <c r="E647" t="s">
        <v>873</v>
      </c>
      <c r="F647" s="50"/>
      <c r="G647" t="s">
        <v>4136</v>
      </c>
      <c r="H647" t="s">
        <v>4153</v>
      </c>
      <c r="I647" t="s">
        <v>4154</v>
      </c>
      <c r="J647" s="50" t="str">
        <f>IF(I647="","",_xlfn.XLOOKUP(TRIM(I647),'SkillMasterSkill ID'!$C:$C,'SkillMasterSkill ID'!$F:$F,"NOT FOUND",0))</f>
        <v>NOT FOUND</v>
      </c>
      <c r="K647" s="50"/>
      <c r="L647" s="50"/>
    </row>
    <row r="648" spans="1:12" x14ac:dyDescent="0.25">
      <c r="A64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48">
        <v>3200</v>
      </c>
      <c r="C648" t="s">
        <v>4125</v>
      </c>
      <c r="D648" s="46"/>
      <c r="E648" t="s">
        <v>2203</v>
      </c>
      <c r="F648" s="50"/>
      <c r="G648" t="s">
        <v>4212</v>
      </c>
      <c r="H648" t="s">
        <v>4221</v>
      </c>
      <c r="I648" t="s">
        <v>4222</v>
      </c>
      <c r="J648" s="50" t="str">
        <f>IF(I648="","",_xlfn.XLOOKUP(TRIM(I648),'SkillMasterSkill ID'!$C:$C,'SkillMasterSkill ID'!$F:$F,"NOT FOUND",0))</f>
        <v>NOT FOUND</v>
      </c>
      <c r="K648" s="50"/>
      <c r="L648" s="50"/>
    </row>
    <row r="649" spans="1:12" x14ac:dyDescent="0.25">
      <c r="A64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49">
        <v>3200</v>
      </c>
      <c r="C649" t="s">
        <v>4125</v>
      </c>
      <c r="D649" s="46"/>
      <c r="E649" t="s">
        <v>2430</v>
      </c>
      <c r="F649" s="50"/>
      <c r="G649" t="s">
        <v>4136</v>
      </c>
      <c r="H649" t="s">
        <v>4159</v>
      </c>
      <c r="I649" t="s">
        <v>4160</v>
      </c>
      <c r="J649" s="50" t="str">
        <f>IF(I649="","",_xlfn.XLOOKUP(TRIM(I649),'SkillMasterSkill ID'!$C:$C,'SkillMasterSkill ID'!$F:$F,"NOT FOUND",0))</f>
        <v>NOT FOUND</v>
      </c>
      <c r="K649" s="50"/>
      <c r="L649" s="50"/>
    </row>
    <row r="650" spans="1:12" x14ac:dyDescent="0.25">
      <c r="A65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50">
        <v>10601</v>
      </c>
      <c r="C650" t="s">
        <v>219</v>
      </c>
      <c r="D650" s="50"/>
      <c r="E650" t="s">
        <v>1441</v>
      </c>
      <c r="F650" s="50"/>
      <c r="G650" t="s">
        <v>2236</v>
      </c>
      <c r="H650" t="s">
        <v>2243</v>
      </c>
      <c r="I650" t="s">
        <v>2244</v>
      </c>
      <c r="J650" s="50" t="str">
        <f>IF(I650="","",_xlfn.XLOOKUP(TRIM(I650),'SkillMasterSkill ID'!$C:$C,'SkillMasterSkill ID'!$F:$F,"NOT FOUND",0))</f>
        <v>NOT FOUND</v>
      </c>
      <c r="K650" s="50"/>
      <c r="L650" s="50"/>
    </row>
    <row r="651" spans="1:12" x14ac:dyDescent="0.25">
      <c r="A65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51">
        <v>10601</v>
      </c>
      <c r="C651" t="s">
        <v>219</v>
      </c>
      <c r="D651" s="50"/>
      <c r="E651" t="s">
        <v>2204</v>
      </c>
      <c r="F651" s="50"/>
      <c r="G651" t="s">
        <v>2236</v>
      </c>
      <c r="H651" t="s">
        <v>2205</v>
      </c>
      <c r="I651" t="s">
        <v>2240</v>
      </c>
      <c r="J651" s="50" t="str">
        <f>IF(I651="","",_xlfn.XLOOKUP(TRIM(I651),'SkillMasterSkill ID'!$C:$C,'SkillMasterSkill ID'!$F:$F,"NOT FOUND",0))</f>
        <v>NOT FOUND</v>
      </c>
      <c r="K651" s="50"/>
      <c r="L651" s="50"/>
    </row>
    <row r="652" spans="1:12" x14ac:dyDescent="0.25">
      <c r="A65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52">
        <v>10601</v>
      </c>
      <c r="C652" t="s">
        <v>219</v>
      </c>
      <c r="D652" s="49"/>
      <c r="E652" t="s">
        <v>874</v>
      </c>
      <c r="F652" s="49"/>
      <c r="G652" t="s">
        <v>1622</v>
      </c>
      <c r="H652" t="s">
        <v>2218</v>
      </c>
      <c r="I652" t="s">
        <v>2219</v>
      </c>
      <c r="J652" s="49" t="str">
        <f>IF(I652="","",_xlfn.XLOOKUP(TRIM(I652),'SkillMasterSkill ID'!$C:$C,'SkillMasterSkill ID'!$F:$F,"NOT FOUND",0))</f>
        <v>NOT FOUND</v>
      </c>
      <c r="K652" s="49"/>
      <c r="L652" s="49"/>
    </row>
    <row r="653" spans="1:12" x14ac:dyDescent="0.25">
      <c r="A65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53">
        <v>10601</v>
      </c>
      <c r="C653" t="s">
        <v>219</v>
      </c>
      <c r="D653" s="49"/>
      <c r="E653" t="s">
        <v>1436</v>
      </c>
      <c r="F653" s="49"/>
      <c r="G653" t="s">
        <v>2220</v>
      </c>
      <c r="H653" t="s">
        <v>2224</v>
      </c>
      <c r="I653" t="s">
        <v>2225</v>
      </c>
      <c r="J653" s="49" t="str">
        <f>IF(I653="","",_xlfn.XLOOKUP(TRIM(I653),'SkillMasterSkill ID'!$C:$C,'SkillMasterSkill ID'!$F:$F,"NOT FOUND",0))</f>
        <v>NOT FOUND</v>
      </c>
      <c r="K653" s="49"/>
      <c r="L653" s="49"/>
    </row>
    <row r="654" spans="1:12" x14ac:dyDescent="0.25">
      <c r="A65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54">
        <v>10601</v>
      </c>
      <c r="C654" t="s">
        <v>219</v>
      </c>
      <c r="D654" s="49"/>
      <c r="E654" t="s">
        <v>2215</v>
      </c>
      <c r="F654" s="49"/>
      <c r="G654" t="s">
        <v>1622</v>
      </c>
      <c r="H654" t="s">
        <v>1544</v>
      </c>
      <c r="I654" t="s">
        <v>1413</v>
      </c>
      <c r="J654" s="49" t="str">
        <f>IF(I654="","",_xlfn.XLOOKUP(TRIM(I654),'SkillMasterSkill ID'!$C:$C,'SkillMasterSkill ID'!$F:$F,"NOT FOUND",0))</f>
        <v>NOT FOUND</v>
      </c>
      <c r="K654" s="49"/>
      <c r="L654" s="49"/>
    </row>
    <row r="655" spans="1:12" x14ac:dyDescent="0.25">
      <c r="A65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55">
        <v>10601</v>
      </c>
      <c r="C655" t="s">
        <v>219</v>
      </c>
      <c r="D655" s="46"/>
      <c r="E655" t="s">
        <v>871</v>
      </c>
      <c r="F655" s="50"/>
      <c r="G655" t="s">
        <v>2253</v>
      </c>
      <c r="H655" t="s">
        <v>2254</v>
      </c>
      <c r="I655" t="s">
        <v>2255</v>
      </c>
      <c r="J655" s="50" t="str">
        <f>IF(I655="","",_xlfn.XLOOKUP(TRIM(I655),'SkillMasterSkill ID'!$C:$C,'SkillMasterSkill ID'!$F:$F,"NOT FOUND",0))</f>
        <v>NOT FOUND</v>
      </c>
      <c r="K655" s="50"/>
      <c r="L655" s="50"/>
    </row>
    <row r="656" spans="1:12" x14ac:dyDescent="0.25">
      <c r="A65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56">
        <v>10601</v>
      </c>
      <c r="C656" t="s">
        <v>219</v>
      </c>
      <c r="D656" s="46"/>
      <c r="E656" t="s">
        <v>1476</v>
      </c>
      <c r="F656" s="50"/>
      <c r="G656" t="s">
        <v>2253</v>
      </c>
      <c r="H656" t="s">
        <v>2257</v>
      </c>
      <c r="I656" t="s">
        <v>2258</v>
      </c>
      <c r="J656" s="50" t="str">
        <f>IF(I656="","",_xlfn.XLOOKUP(TRIM(I656),'SkillMasterSkill ID'!$C:$C,'SkillMasterSkill ID'!$F:$F,"NOT FOUND",0))</f>
        <v>NOT FOUND</v>
      </c>
      <c r="K656" s="50"/>
      <c r="L656" s="50"/>
    </row>
    <row r="657" spans="1:12" x14ac:dyDescent="0.25">
      <c r="A65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57">
        <v>10601</v>
      </c>
      <c r="C657" t="s">
        <v>219</v>
      </c>
      <c r="D657" s="50"/>
      <c r="E657" t="s">
        <v>2204</v>
      </c>
      <c r="F657" s="50"/>
      <c r="G657" t="s">
        <v>2236</v>
      </c>
      <c r="H657" t="s">
        <v>2206</v>
      </c>
      <c r="I657" t="s">
        <v>2241</v>
      </c>
      <c r="J657" s="50" t="str">
        <f>IF(I657="","",_xlfn.XLOOKUP(TRIM(I657),'SkillMasterSkill ID'!$C:$C,'SkillMasterSkill ID'!$F:$F,"NOT FOUND",0))</f>
        <v>NOT FOUND</v>
      </c>
      <c r="K657" s="50"/>
      <c r="L657" s="50"/>
    </row>
    <row r="658" spans="1:12" x14ac:dyDescent="0.25">
      <c r="A65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58">
        <v>10601</v>
      </c>
      <c r="C658" t="s">
        <v>219</v>
      </c>
      <c r="D658" s="50"/>
      <c r="E658" t="s">
        <v>816</v>
      </c>
      <c r="F658" s="50"/>
      <c r="G658" t="s">
        <v>2245</v>
      </c>
      <c r="H658" t="s">
        <v>2249</v>
      </c>
      <c r="I658" t="s">
        <v>2250</v>
      </c>
      <c r="J658" s="50" t="str">
        <f>IF(I658="","",_xlfn.XLOOKUP(TRIM(I658),'SkillMasterSkill ID'!$C:$C,'SkillMasterSkill ID'!$F:$F,"NOT FOUND",0))</f>
        <v>NOT FOUND</v>
      </c>
      <c r="K658" s="50"/>
      <c r="L658" s="50"/>
    </row>
    <row r="659" spans="1:12" x14ac:dyDescent="0.25">
      <c r="A65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59">
        <v>10601</v>
      </c>
      <c r="C659" t="s">
        <v>219</v>
      </c>
      <c r="D659" s="49"/>
      <c r="E659" t="s">
        <v>1436</v>
      </c>
      <c r="F659" s="49"/>
      <c r="G659" t="s">
        <v>2220</v>
      </c>
      <c r="H659" t="s">
        <v>2222</v>
      </c>
      <c r="I659" t="s">
        <v>2223</v>
      </c>
      <c r="J659" s="49" t="str">
        <f>IF(I659="","",_xlfn.XLOOKUP(TRIM(I659),'SkillMasterSkill ID'!$C:$C,'SkillMasterSkill ID'!$F:$F,"NOT FOUND",0))</f>
        <v>NOT FOUND</v>
      </c>
      <c r="K659" s="49"/>
      <c r="L659" s="49"/>
    </row>
    <row r="660" spans="1:12" x14ac:dyDescent="0.25">
      <c r="A66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60">
        <v>10601</v>
      </c>
      <c r="C660" t="s">
        <v>219</v>
      </c>
      <c r="D660" s="50"/>
      <c r="E660" t="s">
        <v>816</v>
      </c>
      <c r="F660" s="50"/>
      <c r="G660" t="s">
        <v>2245</v>
      </c>
      <c r="H660" t="s">
        <v>2247</v>
      </c>
      <c r="I660" t="s">
        <v>2248</v>
      </c>
      <c r="J660" s="50" t="str">
        <f>IF(I660="","",_xlfn.XLOOKUP(TRIM(I660),'SkillMasterSkill ID'!$C:$C,'SkillMasterSkill ID'!$F:$F,"NOT FOUND",0))</f>
        <v>NOT FOUND</v>
      </c>
      <c r="K660" s="50"/>
      <c r="L660" s="50"/>
    </row>
    <row r="661" spans="1:12" x14ac:dyDescent="0.25">
      <c r="A66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61">
        <v>10601</v>
      </c>
      <c r="C661" t="s">
        <v>219</v>
      </c>
      <c r="D661" s="50"/>
      <c r="E661" t="s">
        <v>2202</v>
      </c>
      <c r="F661" s="50"/>
      <c r="G661" t="s">
        <v>2228</v>
      </c>
      <c r="H661" t="s">
        <v>2232</v>
      </c>
      <c r="I661" t="s">
        <v>2233</v>
      </c>
      <c r="J661" s="50" t="str">
        <f>IF(I661="","",_xlfn.XLOOKUP(TRIM(I661),'SkillMasterSkill ID'!$C:$C,'SkillMasterSkill ID'!$F:$F,"NOT FOUND",0))</f>
        <v>NOT FOUND</v>
      </c>
      <c r="K661" s="50"/>
      <c r="L661" s="50"/>
    </row>
    <row r="662" spans="1:12" x14ac:dyDescent="0.25">
      <c r="A66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62">
        <v>10601</v>
      </c>
      <c r="C662" t="s">
        <v>219</v>
      </c>
      <c r="D662" s="50"/>
      <c r="E662" t="s">
        <v>2202</v>
      </c>
      <c r="F662" s="50" t="s">
        <v>742</v>
      </c>
      <c r="G662" t="s">
        <v>2228</v>
      </c>
      <c r="H662" t="s">
        <v>2230</v>
      </c>
      <c r="I662" t="s">
        <v>2231</v>
      </c>
      <c r="J662" s="50" t="str">
        <f>IF(I662="","",_xlfn.XLOOKUP(TRIM(I662),'SkillMasterSkill ID'!$C:$C,'SkillMasterSkill ID'!$F:$F,"NOT FOUND",0))</f>
        <v>NOT FOUND</v>
      </c>
      <c r="K662" s="50" t="s">
        <v>742</v>
      </c>
      <c r="L662" s="50" t="s">
        <v>742</v>
      </c>
    </row>
    <row r="663" spans="1:12" x14ac:dyDescent="0.25">
      <c r="A66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63">
        <v>10601</v>
      </c>
      <c r="C663" t="s">
        <v>219</v>
      </c>
      <c r="D663" s="50"/>
      <c r="E663" t="s">
        <v>2202</v>
      </c>
      <c r="F663" s="50"/>
      <c r="G663" t="s">
        <v>2228</v>
      </c>
      <c r="H663" t="s">
        <v>2234</v>
      </c>
      <c r="I663" t="s">
        <v>2235</v>
      </c>
      <c r="J663" s="50" t="str">
        <f>IF(I663="","",_xlfn.XLOOKUP(TRIM(I663),'SkillMasterSkill ID'!$C:$C,'SkillMasterSkill ID'!$F:$F,"NOT FOUND",0))</f>
        <v>NOT FOUND</v>
      </c>
      <c r="K663" s="50"/>
      <c r="L663" s="50"/>
    </row>
    <row r="664" spans="1:12" x14ac:dyDescent="0.25">
      <c r="A66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64">
        <v>10601</v>
      </c>
      <c r="C664" t="s">
        <v>219</v>
      </c>
      <c r="D664" s="49"/>
      <c r="E664" t="s">
        <v>1448</v>
      </c>
      <c r="F664" s="49"/>
      <c r="G664" t="s">
        <v>1622</v>
      </c>
      <c r="H664" t="s">
        <v>1540</v>
      </c>
      <c r="I664" t="s">
        <v>2209</v>
      </c>
      <c r="J664" s="49" t="str">
        <f>IF(I664="","",_xlfn.XLOOKUP(TRIM(I664),'SkillMasterSkill ID'!$C:$C,'SkillMasterSkill ID'!$F:$F,"NOT FOUND",0))</f>
        <v>NOT FOUND</v>
      </c>
      <c r="K664" s="49"/>
      <c r="L664" s="49"/>
    </row>
    <row r="665" spans="1:12" x14ac:dyDescent="0.25">
      <c r="A66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65">
        <v>10601</v>
      </c>
      <c r="C665" t="s">
        <v>219</v>
      </c>
      <c r="D665" s="46"/>
      <c r="E665" t="s">
        <v>951</v>
      </c>
      <c r="F665" s="50"/>
      <c r="G665" t="s">
        <v>2253</v>
      </c>
      <c r="H665" t="s">
        <v>2260</v>
      </c>
      <c r="I665" t="s">
        <v>2261</v>
      </c>
      <c r="J665" s="50" t="str">
        <f>IF(I665="","",_xlfn.XLOOKUP(TRIM(I665),'SkillMasterSkill ID'!$C:$C,'SkillMasterSkill ID'!$F:$F,"NOT FOUND",0))</f>
        <v>NOT FOUND</v>
      </c>
      <c r="K665" s="50"/>
      <c r="L665" s="50"/>
    </row>
    <row r="666" spans="1:12" x14ac:dyDescent="0.25">
      <c r="A66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66">
        <v>10601</v>
      </c>
      <c r="C666" t="s">
        <v>219</v>
      </c>
      <c r="D666" s="50"/>
      <c r="E666" t="s">
        <v>2203</v>
      </c>
      <c r="F666" s="50"/>
      <c r="G666" t="s">
        <v>2236</v>
      </c>
      <c r="H666" t="s">
        <v>2238</v>
      </c>
      <c r="I666" t="s">
        <v>2239</v>
      </c>
      <c r="J666" s="50" t="str">
        <f>IF(I666="","",_xlfn.XLOOKUP(TRIM(I666),'SkillMasterSkill ID'!$C:$C,'SkillMasterSkill ID'!$F:$F,"NOT FOUND",0))</f>
        <v>NOT FOUND</v>
      </c>
      <c r="K666" s="50"/>
      <c r="L666" s="50"/>
    </row>
    <row r="667" spans="1:12" x14ac:dyDescent="0.25">
      <c r="A66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67">
        <v>10601</v>
      </c>
      <c r="C667" t="s">
        <v>219</v>
      </c>
      <c r="D667" s="49"/>
      <c r="E667" t="s">
        <v>871</v>
      </c>
      <c r="F667" s="49"/>
      <c r="G667" t="s">
        <v>1622</v>
      </c>
      <c r="H667" t="s">
        <v>1267</v>
      </c>
      <c r="I667" t="s">
        <v>2212</v>
      </c>
      <c r="J667" s="49" t="str">
        <f>IF(I667="","",_xlfn.XLOOKUP(TRIM(I667),'SkillMasterSkill ID'!$C:$C,'SkillMasterSkill ID'!$F:$F,"NOT FOUND",0))</f>
        <v>NOT FOUND</v>
      </c>
      <c r="K667" s="49"/>
      <c r="L667" s="49"/>
    </row>
    <row r="668" spans="1:12" x14ac:dyDescent="0.25">
      <c r="A66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68">
        <v>10601</v>
      </c>
      <c r="C668" t="s">
        <v>219</v>
      </c>
      <c r="D668" s="46"/>
      <c r="E668" t="s">
        <v>816</v>
      </c>
      <c r="F668" s="50"/>
      <c r="G668" t="s">
        <v>2245</v>
      </c>
      <c r="H668" t="s">
        <v>2251</v>
      </c>
      <c r="I668" t="s">
        <v>2252</v>
      </c>
      <c r="J668" s="50" t="str">
        <f>IF(I668="","",_xlfn.XLOOKUP(TRIM(I668),'SkillMasterSkill ID'!$C:$C,'SkillMasterSkill ID'!$F:$F,"NOT FOUND",0))</f>
        <v>NOT FOUND</v>
      </c>
      <c r="K668" s="50"/>
      <c r="L668" s="50"/>
    </row>
    <row r="669" spans="1:12" x14ac:dyDescent="0.25">
      <c r="A66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69">
        <v>10601</v>
      </c>
      <c r="C669" t="s">
        <v>219</v>
      </c>
      <c r="D669" s="50"/>
      <c r="E669" t="s">
        <v>873</v>
      </c>
      <c r="F669" s="50"/>
      <c r="G669" t="s">
        <v>2220</v>
      </c>
      <c r="H669" t="s">
        <v>2226</v>
      </c>
      <c r="I669" t="s">
        <v>2227</v>
      </c>
      <c r="J669" s="50" t="str">
        <f>IF(I669="","",_xlfn.XLOOKUP(TRIM(I669),'SkillMasterSkill ID'!$C:$C,'SkillMasterSkill ID'!$F:$F,"NOT FOUND",0))</f>
        <v>NOT FOUND</v>
      </c>
      <c r="K669" s="50"/>
      <c r="L669" s="50"/>
    </row>
    <row r="670" spans="1:12" x14ac:dyDescent="0.25">
      <c r="A67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70">
        <v>10601</v>
      </c>
      <c r="C670" t="s">
        <v>219</v>
      </c>
      <c r="D670" s="49"/>
      <c r="E670" t="s">
        <v>2208</v>
      </c>
      <c r="F670" s="49"/>
      <c r="G670" t="s">
        <v>1622</v>
      </c>
      <c r="H670" t="s">
        <v>1543</v>
      </c>
      <c r="I670" t="s">
        <v>2214</v>
      </c>
      <c r="J670" s="49" t="str">
        <f>IF(I670="","",_xlfn.XLOOKUP(TRIM(I670),'SkillMasterSkill ID'!$C:$C,'SkillMasterSkill ID'!$F:$F,"NOT FOUND",0))</f>
        <v>NOT FOUND</v>
      </c>
      <c r="K670" s="49"/>
      <c r="L670" s="49"/>
    </row>
    <row r="671" spans="1:12" x14ac:dyDescent="0.25">
      <c r="A67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71">
        <v>10601</v>
      </c>
      <c r="C671" t="s">
        <v>219</v>
      </c>
      <c r="D671" s="49"/>
      <c r="E671" t="s">
        <v>2207</v>
      </c>
      <c r="F671" s="49"/>
      <c r="G671" t="s">
        <v>1622</v>
      </c>
      <c r="H671" t="s">
        <v>1541</v>
      </c>
      <c r="I671" t="s">
        <v>2211</v>
      </c>
      <c r="J671" s="49" t="str">
        <f>IF(I671="","",_xlfn.XLOOKUP(TRIM(I671),'SkillMasterSkill ID'!$C:$C,'SkillMasterSkill ID'!$F:$F,"NOT FOUND",0))</f>
        <v>NOT FOUND</v>
      </c>
      <c r="K671" s="49"/>
      <c r="L671" s="49"/>
    </row>
    <row r="672" spans="1:12" x14ac:dyDescent="0.25">
      <c r="A67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72">
        <v>10602</v>
      </c>
      <c r="C672" t="s">
        <v>297</v>
      </c>
      <c r="D672" s="46"/>
      <c r="E672" t="s">
        <v>1476</v>
      </c>
      <c r="F672" s="50"/>
      <c r="G672" t="s">
        <v>2310</v>
      </c>
      <c r="H672" t="s">
        <v>2257</v>
      </c>
      <c r="I672" t="s">
        <v>2313</v>
      </c>
      <c r="J672" s="50" t="str">
        <f>IF(I672="","",_xlfn.XLOOKUP(TRIM(I672),'SkillMasterSkill ID'!$C:$C,'SkillMasterSkill ID'!$F:$F,"NOT FOUND",0))</f>
        <v>NOT FOUND</v>
      </c>
      <c r="K672" s="50"/>
      <c r="L672" s="50"/>
    </row>
    <row r="673" spans="1:12" x14ac:dyDescent="0.25">
      <c r="A67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73">
        <v>10602</v>
      </c>
      <c r="C673" t="s">
        <v>297</v>
      </c>
      <c r="D673" s="46"/>
      <c r="E673" t="s">
        <v>1441</v>
      </c>
      <c r="F673" s="50"/>
      <c r="G673" t="s">
        <v>2288</v>
      </c>
      <c r="H673" t="s">
        <v>2291</v>
      </c>
      <c r="I673" t="s">
        <v>2292</v>
      </c>
      <c r="J673" s="50" t="str">
        <f>IF(I673="","",_xlfn.XLOOKUP(TRIM(I673),'SkillMasterSkill ID'!$C:$C,'SkillMasterSkill ID'!$F:$F,"NOT FOUND",0))</f>
        <v>NOT FOUND</v>
      </c>
      <c r="K673" s="50"/>
      <c r="L673" s="50"/>
    </row>
    <row r="674" spans="1:12" x14ac:dyDescent="0.25">
      <c r="A67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74">
        <v>10602</v>
      </c>
      <c r="C674" t="s">
        <v>297</v>
      </c>
      <c r="D674" s="46"/>
      <c r="E674" t="s">
        <v>2202</v>
      </c>
      <c r="F674" s="50"/>
      <c r="G674" t="s">
        <v>2273</v>
      </c>
      <c r="H674" t="s">
        <v>2276</v>
      </c>
      <c r="I674" t="s">
        <v>2277</v>
      </c>
      <c r="J674" s="50" t="str">
        <f>IF(I674="","",_xlfn.XLOOKUP(TRIM(I674),'SkillMasterSkill ID'!$C:$C,'SkillMasterSkill ID'!$F:$F,"NOT FOUND",0))</f>
        <v>NOT FOUND</v>
      </c>
      <c r="K674" s="50"/>
      <c r="L674" s="50"/>
    </row>
    <row r="675" spans="1:12" x14ac:dyDescent="0.25">
      <c r="A67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75">
        <v>10602</v>
      </c>
      <c r="C675" t="s">
        <v>297</v>
      </c>
      <c r="D675" s="46"/>
      <c r="E675" t="s">
        <v>816</v>
      </c>
      <c r="F675" s="50"/>
      <c r="G675" t="s">
        <v>2303</v>
      </c>
      <c r="H675" t="s">
        <v>2304</v>
      </c>
      <c r="I675" t="s">
        <v>2305</v>
      </c>
      <c r="J675" s="50" t="str">
        <f>IF(I675="","",_xlfn.XLOOKUP(TRIM(I675),'SkillMasterSkill ID'!$C:$C,'SkillMasterSkill ID'!$F:$F,"NOT FOUND",0))</f>
        <v>NOT FOUND</v>
      </c>
      <c r="K675" s="50"/>
      <c r="L675" s="50"/>
    </row>
    <row r="676" spans="1:12" x14ac:dyDescent="0.25">
      <c r="A67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76">
        <v>10602</v>
      </c>
      <c r="C676" t="s">
        <v>297</v>
      </c>
      <c r="D676" s="46"/>
      <c r="E676" t="s">
        <v>2207</v>
      </c>
      <c r="F676" s="50"/>
      <c r="G676" t="s">
        <v>1622</v>
      </c>
      <c r="H676" t="s">
        <v>2263</v>
      </c>
      <c r="I676" t="s">
        <v>2264</v>
      </c>
      <c r="J676" s="50" t="str">
        <f>IF(I676="","",_xlfn.XLOOKUP(TRIM(I676),'SkillMasterSkill ID'!$C:$C,'SkillMasterSkill ID'!$F:$F,"NOT FOUND",0))</f>
        <v>NOT FOUND</v>
      </c>
      <c r="K676" s="50"/>
      <c r="L676" s="50"/>
    </row>
    <row r="677" spans="1:12" x14ac:dyDescent="0.25">
      <c r="A67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77">
        <v>10602</v>
      </c>
      <c r="C677" t="s">
        <v>297</v>
      </c>
      <c r="D677" s="46"/>
      <c r="E677" t="s">
        <v>2202</v>
      </c>
      <c r="F677" s="50"/>
      <c r="G677" t="s">
        <v>2273</v>
      </c>
      <c r="H677" t="s">
        <v>2274</v>
      </c>
      <c r="I677" t="s">
        <v>2275</v>
      </c>
      <c r="J677" s="50" t="str">
        <f>IF(I677="","",_xlfn.XLOOKUP(TRIM(I677),'SkillMasterSkill ID'!$C:$C,'SkillMasterSkill ID'!$F:$F,"NOT FOUND",0))</f>
        <v>NOT FOUND</v>
      </c>
      <c r="K677" s="50"/>
      <c r="L677" s="50"/>
    </row>
    <row r="678" spans="1:12" x14ac:dyDescent="0.25">
      <c r="A67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78">
        <v>10602</v>
      </c>
      <c r="C678" t="s">
        <v>297</v>
      </c>
      <c r="D678" s="46"/>
      <c r="E678" t="s">
        <v>2215</v>
      </c>
      <c r="F678" s="50"/>
      <c r="G678" t="s">
        <v>1622</v>
      </c>
      <c r="H678" t="s">
        <v>2269</v>
      </c>
      <c r="I678" t="s">
        <v>2270</v>
      </c>
      <c r="J678" s="50" t="str">
        <f>IF(I678="","",_xlfn.XLOOKUP(TRIM(I678),'SkillMasterSkill ID'!$C:$C,'SkillMasterSkill ID'!$F:$F,"NOT FOUND",0))</f>
        <v>NOT FOUND</v>
      </c>
      <c r="K678" s="50"/>
      <c r="L678" s="50"/>
    </row>
    <row r="679" spans="1:12" x14ac:dyDescent="0.25">
      <c r="A67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79">
        <v>10602</v>
      </c>
      <c r="C679" t="s">
        <v>297</v>
      </c>
      <c r="D679" s="46"/>
      <c r="E679" t="s">
        <v>2281</v>
      </c>
      <c r="F679" s="50"/>
      <c r="G679" t="s">
        <v>2280</v>
      </c>
      <c r="H679" t="s">
        <v>2286</v>
      </c>
      <c r="I679" t="s">
        <v>2287</v>
      </c>
      <c r="J679" s="50" t="str">
        <f>IF(I679="","",_xlfn.XLOOKUP(TRIM(I679),'SkillMasterSkill ID'!$C:$C,'SkillMasterSkill ID'!$F:$F,"NOT FOUND",0))</f>
        <v>NOT FOUND</v>
      </c>
      <c r="K679" s="50"/>
      <c r="L679" s="50"/>
    </row>
    <row r="680" spans="1:12" x14ac:dyDescent="0.25">
      <c r="A68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80">
        <v>10602</v>
      </c>
      <c r="C680" t="s">
        <v>297</v>
      </c>
      <c r="D680" s="46"/>
      <c r="E680" t="s">
        <v>816</v>
      </c>
      <c r="F680" s="50"/>
      <c r="G680" t="s">
        <v>2303</v>
      </c>
      <c r="H680" t="s">
        <v>2306</v>
      </c>
      <c r="I680" t="s">
        <v>2307</v>
      </c>
      <c r="J680" s="50" t="str">
        <f>IF(I680="","",_xlfn.XLOOKUP(TRIM(I680),'SkillMasterSkill ID'!$C:$C,'SkillMasterSkill ID'!$F:$F,"NOT FOUND",0))</f>
        <v>NOT FOUND</v>
      </c>
      <c r="K680" s="50"/>
      <c r="L680" s="50"/>
    </row>
    <row r="681" spans="1:12" x14ac:dyDescent="0.25">
      <c r="A68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81">
        <v>10602</v>
      </c>
      <c r="C681" t="s">
        <v>297</v>
      </c>
      <c r="D681" s="46"/>
      <c r="E681" t="s">
        <v>2296</v>
      </c>
      <c r="F681" s="50"/>
      <c r="G681" t="s">
        <v>2295</v>
      </c>
      <c r="H681" t="s">
        <v>2298</v>
      </c>
      <c r="I681" t="s">
        <v>2299</v>
      </c>
      <c r="J681" s="50" t="str">
        <f>IF(I681="","",_xlfn.XLOOKUP(TRIM(I681),'SkillMasterSkill ID'!$C:$C,'SkillMasterSkill ID'!$F:$F,"NOT FOUND",0))</f>
        <v>NOT FOUND</v>
      </c>
      <c r="K681" s="50"/>
      <c r="L681" s="50"/>
    </row>
    <row r="682" spans="1:12" x14ac:dyDescent="0.25">
      <c r="A68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82">
        <v>10602</v>
      </c>
      <c r="C682" t="s">
        <v>297</v>
      </c>
      <c r="D682" s="46"/>
      <c r="E682" t="s">
        <v>2281</v>
      </c>
      <c r="F682" s="50"/>
      <c r="G682" t="s">
        <v>2280</v>
      </c>
      <c r="H682" t="s">
        <v>1274</v>
      </c>
      <c r="I682" t="s">
        <v>2283</v>
      </c>
      <c r="J682" s="50" t="str">
        <f>IF(I682="","",_xlfn.XLOOKUP(TRIM(I682),'SkillMasterSkill ID'!$C:$C,'SkillMasterSkill ID'!$F:$F,"NOT FOUND",0))</f>
        <v>NOT FOUND</v>
      </c>
      <c r="K682" s="50"/>
      <c r="L682" s="50"/>
    </row>
    <row r="683" spans="1:12" x14ac:dyDescent="0.25">
      <c r="A68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83">
        <v>10602</v>
      </c>
      <c r="C683" t="s">
        <v>297</v>
      </c>
      <c r="D683" s="46"/>
      <c r="E683" t="s">
        <v>951</v>
      </c>
      <c r="F683" s="50"/>
      <c r="G683" t="s">
        <v>2310</v>
      </c>
      <c r="H683" t="s">
        <v>2314</v>
      </c>
      <c r="I683" t="s">
        <v>2315</v>
      </c>
      <c r="J683" s="50" t="str">
        <f>IF(I683="","",_xlfn.XLOOKUP(TRIM(I683),'SkillMasterSkill ID'!$C:$C,'SkillMasterSkill ID'!$F:$F,"NOT FOUND",0))</f>
        <v>NOT FOUND</v>
      </c>
      <c r="K683" s="50"/>
      <c r="L683" s="50"/>
    </row>
    <row r="684" spans="1:12" x14ac:dyDescent="0.25">
      <c r="A68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84">
        <v>10602</v>
      </c>
      <c r="C684" t="s">
        <v>297</v>
      </c>
      <c r="D684" s="46"/>
      <c r="E684" t="s">
        <v>2296</v>
      </c>
      <c r="F684" s="50"/>
      <c r="G684" t="s">
        <v>2295</v>
      </c>
      <c r="H684" t="s">
        <v>2300</v>
      </c>
      <c r="I684" t="s">
        <v>2301</v>
      </c>
      <c r="J684" s="50" t="str">
        <f>IF(I684="","",_xlfn.XLOOKUP(TRIM(I684),'SkillMasterSkill ID'!$C:$C,'SkillMasterSkill ID'!$F:$F,"NOT FOUND",0))</f>
        <v>NOT FOUND</v>
      </c>
      <c r="K684" s="50"/>
      <c r="L684" s="50"/>
    </row>
    <row r="685" spans="1:12" x14ac:dyDescent="0.25">
      <c r="A68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85">
        <v>10602</v>
      </c>
      <c r="C685" t="s">
        <v>297</v>
      </c>
      <c r="D685" s="46"/>
      <c r="E685" t="s">
        <v>1441</v>
      </c>
      <c r="F685" s="50"/>
      <c r="G685" t="s">
        <v>2288</v>
      </c>
      <c r="H685" t="s">
        <v>2289</v>
      </c>
      <c r="I685" t="s">
        <v>2290</v>
      </c>
      <c r="J685" s="50" t="str">
        <f>IF(I685="","",_xlfn.XLOOKUP(TRIM(I685),'SkillMasterSkill ID'!$C:$C,'SkillMasterSkill ID'!$F:$F,"NOT FOUND",0))</f>
        <v>NOT FOUND</v>
      </c>
      <c r="K685" s="50"/>
      <c r="L685" s="50"/>
    </row>
    <row r="686" spans="1:12" x14ac:dyDescent="0.25">
      <c r="A68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86">
        <v>10602</v>
      </c>
      <c r="C686" t="s">
        <v>297</v>
      </c>
      <c r="D686" s="46"/>
      <c r="E686" t="s">
        <v>2203</v>
      </c>
      <c r="F686" s="50"/>
      <c r="G686" t="s">
        <v>2288</v>
      </c>
      <c r="H686" t="s">
        <v>2293</v>
      </c>
      <c r="I686" t="s">
        <v>2294</v>
      </c>
      <c r="J686" s="50" t="str">
        <f>IF(I686="","",_xlfn.XLOOKUP(TRIM(I686),'SkillMasterSkill ID'!$C:$C,'SkillMasterSkill ID'!$F:$F,"NOT FOUND",0))</f>
        <v>NOT FOUND</v>
      </c>
      <c r="K686" s="50"/>
      <c r="L686" s="50"/>
    </row>
    <row r="687" spans="1:12" x14ac:dyDescent="0.25">
      <c r="A68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87">
        <v>10602</v>
      </c>
      <c r="C687" t="s">
        <v>297</v>
      </c>
      <c r="D687" s="46"/>
      <c r="E687" t="s">
        <v>871</v>
      </c>
      <c r="F687" s="50"/>
      <c r="G687" t="s">
        <v>1622</v>
      </c>
      <c r="H687" t="s">
        <v>2265</v>
      </c>
      <c r="I687" t="s">
        <v>2266</v>
      </c>
      <c r="J687" s="50" t="str">
        <f>IF(I687="","",_xlfn.XLOOKUP(TRIM(I687),'SkillMasterSkill ID'!$C:$C,'SkillMasterSkill ID'!$F:$F,"NOT FOUND",0))</f>
        <v>NOT FOUND</v>
      </c>
      <c r="K687" s="50"/>
      <c r="L687" s="50"/>
    </row>
    <row r="688" spans="1:12" x14ac:dyDescent="0.25">
      <c r="A68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88">
        <v>10602</v>
      </c>
      <c r="C688" t="s">
        <v>297</v>
      </c>
      <c r="D688" s="46"/>
      <c r="E688" t="s">
        <v>2281</v>
      </c>
      <c r="F688" s="50"/>
      <c r="G688" t="s">
        <v>2280</v>
      </c>
      <c r="H688" t="s">
        <v>2284</v>
      </c>
      <c r="I688" t="s">
        <v>2285</v>
      </c>
      <c r="J688" s="50" t="str">
        <f>IF(I688="","",_xlfn.XLOOKUP(TRIM(I688),'SkillMasterSkill ID'!$C:$C,'SkillMasterSkill ID'!$F:$F,"NOT FOUND",0))</f>
        <v>NOT FOUND</v>
      </c>
      <c r="K688" s="50"/>
      <c r="L688" s="50"/>
    </row>
    <row r="689" spans="1:12" x14ac:dyDescent="0.25">
      <c r="A68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89">
        <v>10602</v>
      </c>
      <c r="C689" t="s">
        <v>297</v>
      </c>
      <c r="D689" s="46"/>
      <c r="E689" t="s">
        <v>2202</v>
      </c>
      <c r="F689" s="50"/>
      <c r="G689" t="s">
        <v>2273</v>
      </c>
      <c r="H689" t="s">
        <v>2278</v>
      </c>
      <c r="I689" t="s">
        <v>2279</v>
      </c>
      <c r="J689" s="50" t="str">
        <f>IF(I689="","",_xlfn.XLOOKUP(TRIM(I689),'SkillMasterSkill ID'!$C:$C,'SkillMasterSkill ID'!$F:$F,"NOT FOUND",0))</f>
        <v>NOT FOUND</v>
      </c>
      <c r="K689" s="50"/>
      <c r="L689" s="50"/>
    </row>
    <row r="690" spans="1:12" x14ac:dyDescent="0.25">
      <c r="A69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90">
        <v>10602</v>
      </c>
      <c r="C690" t="s">
        <v>297</v>
      </c>
      <c r="D690" s="46"/>
      <c r="E690" t="s">
        <v>2204</v>
      </c>
      <c r="F690" s="50"/>
      <c r="G690" t="s">
        <v>2295</v>
      </c>
      <c r="H690" t="s">
        <v>2302</v>
      </c>
      <c r="I690" t="s">
        <v>940</v>
      </c>
      <c r="J690" s="50" t="str">
        <f>IF(I690="","",_xlfn.XLOOKUP(TRIM(I690),'SkillMasterSkill ID'!$C:$C,'SkillMasterSkill ID'!$F:$F,"NOT FOUND",0))</f>
        <v>Ability to analyze performance and trends, evaluate execution quality, and identify issues early for action.</v>
      </c>
      <c r="K690" s="50"/>
      <c r="L690" s="50"/>
    </row>
    <row r="691" spans="1:12" x14ac:dyDescent="0.25">
      <c r="A69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91">
        <v>10602</v>
      </c>
      <c r="C691" t="s">
        <v>297</v>
      </c>
      <c r="D691" s="46"/>
      <c r="E691" t="s">
        <v>1448</v>
      </c>
      <c r="F691" s="50"/>
      <c r="G691" t="s">
        <v>1622</v>
      </c>
      <c r="H691" t="s">
        <v>1540</v>
      </c>
      <c r="I691" t="s">
        <v>2262</v>
      </c>
      <c r="J691" s="50" t="str">
        <f>IF(I691="","",_xlfn.XLOOKUP(TRIM(I691),'SkillMasterSkill ID'!$C:$C,'SkillMasterSkill ID'!$F:$F,"NOT FOUND",0))</f>
        <v>NOT FOUND</v>
      </c>
      <c r="K691" s="50"/>
      <c r="L691" s="50"/>
    </row>
    <row r="692" spans="1:12" x14ac:dyDescent="0.25">
      <c r="A69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92">
        <v>10602</v>
      </c>
      <c r="C692" t="s">
        <v>297</v>
      </c>
      <c r="D692" s="46"/>
      <c r="E692" t="s">
        <v>874</v>
      </c>
      <c r="F692" s="50"/>
      <c r="G692" t="s">
        <v>1622</v>
      </c>
      <c r="H692" t="s">
        <v>2271</v>
      </c>
      <c r="I692" t="s">
        <v>2272</v>
      </c>
      <c r="J692" s="50" t="str">
        <f>IF(I692="","",_xlfn.XLOOKUP(TRIM(I692),'SkillMasterSkill ID'!$C:$C,'SkillMasterSkill ID'!$F:$F,"NOT FOUND",0))</f>
        <v>NOT FOUND</v>
      </c>
      <c r="K692" s="50"/>
      <c r="L692" s="50"/>
    </row>
    <row r="693" spans="1:12" x14ac:dyDescent="0.25">
      <c r="A69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93">
        <v>10602</v>
      </c>
      <c r="C693" t="s">
        <v>297</v>
      </c>
      <c r="D693" s="46"/>
      <c r="E693" t="s">
        <v>871</v>
      </c>
      <c r="F693" s="50"/>
      <c r="G693" t="s">
        <v>2310</v>
      </c>
      <c r="H693" t="s">
        <v>2311</v>
      </c>
      <c r="I693" t="s">
        <v>2312</v>
      </c>
      <c r="J693" s="50" t="str">
        <f>IF(I693="","",_xlfn.XLOOKUP(TRIM(I693),'SkillMasterSkill ID'!$C:$C,'SkillMasterSkill ID'!$F:$F,"NOT FOUND",0))</f>
        <v>NOT FOUND</v>
      </c>
      <c r="K693" s="50"/>
      <c r="L693" s="50"/>
    </row>
    <row r="694" spans="1:12" x14ac:dyDescent="0.25">
      <c r="A69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94">
        <v>10602</v>
      </c>
      <c r="C694" t="s">
        <v>297</v>
      </c>
      <c r="D694" s="46"/>
      <c r="E694" t="s">
        <v>816</v>
      </c>
      <c r="F694" s="50"/>
      <c r="G694" t="s">
        <v>2303</v>
      </c>
      <c r="H694" t="s">
        <v>2308</v>
      </c>
      <c r="I694" t="s">
        <v>2309</v>
      </c>
      <c r="J694" s="50" t="str">
        <f>IF(I694="","",_xlfn.XLOOKUP(TRIM(I694),'SkillMasterSkill ID'!$C:$C,'SkillMasterSkill ID'!$F:$F,"NOT FOUND",0))</f>
        <v>NOT FOUND</v>
      </c>
      <c r="K694" s="50"/>
      <c r="L694" s="50"/>
    </row>
    <row r="695" spans="1:12" x14ac:dyDescent="0.25">
      <c r="A69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95">
        <v>10602</v>
      </c>
      <c r="C695" t="s">
        <v>297</v>
      </c>
      <c r="D695" s="46"/>
      <c r="E695" t="s">
        <v>2208</v>
      </c>
      <c r="F695" s="50"/>
      <c r="G695" t="s">
        <v>1622</v>
      </c>
      <c r="H695" t="s">
        <v>2267</v>
      </c>
      <c r="I695" t="s">
        <v>2268</v>
      </c>
      <c r="J695" s="50" t="str">
        <f>IF(I695="","",_xlfn.XLOOKUP(TRIM(I695),'SkillMasterSkill ID'!$C:$C,'SkillMasterSkill ID'!$F:$F,"NOT FOUND",0))</f>
        <v>NOT FOUND</v>
      </c>
      <c r="K695" s="50"/>
      <c r="L695" s="50"/>
    </row>
    <row r="696" spans="1:12" x14ac:dyDescent="0.25">
      <c r="A69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96">
        <v>10603</v>
      </c>
      <c r="C696" t="s">
        <v>146</v>
      </c>
      <c r="D696" s="46"/>
      <c r="E696" t="s">
        <v>874</v>
      </c>
      <c r="F696" s="50"/>
      <c r="G696" t="s">
        <v>1622</v>
      </c>
      <c r="H696" t="s">
        <v>2326</v>
      </c>
      <c r="I696" t="s">
        <v>2327</v>
      </c>
      <c r="J696" s="50" t="str">
        <f>IF(I696="","",_xlfn.XLOOKUP(TRIM(I696),'SkillMasterSkill ID'!$C:$C,'SkillMasterSkill ID'!$F:$F,"NOT FOUND",0))</f>
        <v>NOT FOUND</v>
      </c>
      <c r="K696" s="50"/>
      <c r="L696" s="50"/>
    </row>
    <row r="697" spans="1:12" x14ac:dyDescent="0.25">
      <c r="A69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97">
        <v>10603</v>
      </c>
      <c r="C697" t="s">
        <v>146</v>
      </c>
      <c r="D697" s="46"/>
      <c r="E697" t="s">
        <v>2281</v>
      </c>
      <c r="F697" s="50"/>
      <c r="G697" t="s">
        <v>2335</v>
      </c>
      <c r="H697" t="s">
        <v>2340</v>
      </c>
      <c r="I697" t="s">
        <v>2341</v>
      </c>
      <c r="J697" s="50" t="str">
        <f>IF(I697="","",_xlfn.XLOOKUP(TRIM(I697),'SkillMasterSkill ID'!$C:$C,'SkillMasterSkill ID'!$F:$F,"NOT FOUND",0))</f>
        <v>NOT FOUND</v>
      </c>
      <c r="K697" s="50"/>
      <c r="L697" s="50"/>
    </row>
    <row r="698" spans="1:12" x14ac:dyDescent="0.25">
      <c r="A69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98">
        <v>10603</v>
      </c>
      <c r="C698" t="s">
        <v>146</v>
      </c>
      <c r="D698" s="46"/>
      <c r="E698" t="s">
        <v>2281</v>
      </c>
      <c r="F698" s="50"/>
      <c r="G698" t="s">
        <v>2335</v>
      </c>
      <c r="H698" t="s">
        <v>2336</v>
      </c>
      <c r="I698" t="s">
        <v>2337</v>
      </c>
      <c r="J698" s="50" t="str">
        <f>IF(I698="","",_xlfn.XLOOKUP(TRIM(I698),'SkillMasterSkill ID'!$C:$C,'SkillMasterSkill ID'!$F:$F,"NOT FOUND",0))</f>
        <v>NOT FOUND</v>
      </c>
      <c r="K698" s="50"/>
      <c r="L698" s="50"/>
    </row>
    <row r="699" spans="1:12" x14ac:dyDescent="0.25">
      <c r="A69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699">
        <v>10603</v>
      </c>
      <c r="C699" t="s">
        <v>146</v>
      </c>
      <c r="D699" s="46"/>
      <c r="E699" t="s">
        <v>2204</v>
      </c>
      <c r="F699" s="50"/>
      <c r="G699" t="s">
        <v>2349</v>
      </c>
      <c r="H699" t="s">
        <v>2354</v>
      </c>
      <c r="I699" t="s">
        <v>2355</v>
      </c>
      <c r="J699" s="50" t="str">
        <f>IF(I699="","",_xlfn.XLOOKUP(TRIM(I699),'SkillMasterSkill ID'!$C:$C,'SkillMasterSkill ID'!$F:$F,"NOT FOUND",0))</f>
        <v>NOT FOUND</v>
      </c>
      <c r="K699" s="50"/>
      <c r="L699" s="50"/>
    </row>
    <row r="700" spans="1:12" x14ac:dyDescent="0.25">
      <c r="A70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00">
        <v>10603</v>
      </c>
      <c r="C700" t="s">
        <v>146</v>
      </c>
      <c r="D700" s="46"/>
      <c r="E700" t="s">
        <v>2202</v>
      </c>
      <c r="F700" s="50"/>
      <c r="G700" t="s">
        <v>2328</v>
      </c>
      <c r="H700" t="s">
        <v>2331</v>
      </c>
      <c r="I700" t="s">
        <v>2332</v>
      </c>
      <c r="J700" s="50" t="str">
        <f>IF(I700="","",_xlfn.XLOOKUP(TRIM(I700),'SkillMasterSkill ID'!$C:$C,'SkillMasterSkill ID'!$F:$F,"NOT FOUND",0))</f>
        <v>NOT FOUND</v>
      </c>
      <c r="K700" s="50"/>
      <c r="L700" s="50"/>
    </row>
    <row r="701" spans="1:12" x14ac:dyDescent="0.25">
      <c r="A70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01">
        <v>10603</v>
      </c>
      <c r="C701" t="s">
        <v>146</v>
      </c>
      <c r="D701" s="46"/>
      <c r="E701" t="s">
        <v>871</v>
      </c>
      <c r="F701" s="50"/>
      <c r="G701" t="s">
        <v>1622</v>
      </c>
      <c r="H701" t="s">
        <v>2320</v>
      </c>
      <c r="I701" t="s">
        <v>2321</v>
      </c>
      <c r="J701" s="50" t="str">
        <f>IF(I701="","",_xlfn.XLOOKUP(TRIM(I701),'SkillMasterSkill ID'!$C:$C,'SkillMasterSkill ID'!$F:$F,"NOT FOUND",0))</f>
        <v>NOT FOUND</v>
      </c>
      <c r="K701" s="50"/>
      <c r="L701" s="50"/>
    </row>
    <row r="702" spans="1:12" x14ac:dyDescent="0.25">
      <c r="A70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02">
        <v>10603</v>
      </c>
      <c r="C702" t="s">
        <v>146</v>
      </c>
      <c r="D702" s="46"/>
      <c r="E702" t="s">
        <v>1476</v>
      </c>
      <c r="F702" s="50"/>
      <c r="G702" t="s">
        <v>2363</v>
      </c>
      <c r="H702" t="s">
        <v>2257</v>
      </c>
      <c r="I702" t="s">
        <v>2366</v>
      </c>
      <c r="J702" s="50" t="str">
        <f>IF(I702="","",_xlfn.XLOOKUP(TRIM(I702),'SkillMasterSkill ID'!$C:$C,'SkillMasterSkill ID'!$F:$F,"NOT FOUND",0))</f>
        <v>NOT FOUND</v>
      </c>
      <c r="K702" s="50"/>
      <c r="L702" s="50"/>
    </row>
    <row r="703" spans="1:12" x14ac:dyDescent="0.25">
      <c r="A70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03">
        <v>10603</v>
      </c>
      <c r="C703" t="s">
        <v>146</v>
      </c>
      <c r="D703" s="46"/>
      <c r="E703" t="s">
        <v>816</v>
      </c>
      <c r="F703" s="50"/>
      <c r="G703" t="s">
        <v>2356</v>
      </c>
      <c r="H703" t="s">
        <v>2357</v>
      </c>
      <c r="I703" t="s">
        <v>2358</v>
      </c>
      <c r="J703" s="50" t="str">
        <f>IF(I703="","",_xlfn.XLOOKUP(TRIM(I703),'SkillMasterSkill ID'!$C:$C,'SkillMasterSkill ID'!$F:$F,"NOT FOUND",0))</f>
        <v>NOT FOUND</v>
      </c>
      <c r="K703" s="50"/>
      <c r="L703" s="50"/>
    </row>
    <row r="704" spans="1:12" x14ac:dyDescent="0.25">
      <c r="A70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04">
        <v>10603</v>
      </c>
      <c r="C704" t="s">
        <v>146</v>
      </c>
      <c r="D704" s="46"/>
      <c r="E704" t="s">
        <v>2202</v>
      </c>
      <c r="F704" s="50"/>
      <c r="G704" t="s">
        <v>2328</v>
      </c>
      <c r="H704" t="s">
        <v>2329</v>
      </c>
      <c r="I704" t="s">
        <v>2330</v>
      </c>
      <c r="J704" s="50" t="str">
        <f>IF(I704="","",_xlfn.XLOOKUP(TRIM(I704),'SkillMasterSkill ID'!$C:$C,'SkillMasterSkill ID'!$F:$F,"NOT FOUND",0))</f>
        <v>NOT FOUND</v>
      </c>
      <c r="K704" s="50"/>
      <c r="L704" s="50"/>
    </row>
    <row r="705" spans="1:12" x14ac:dyDescent="0.25">
      <c r="A70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05">
        <v>10603</v>
      </c>
      <c r="C705" t="s">
        <v>146</v>
      </c>
      <c r="D705" s="46"/>
      <c r="E705" t="s">
        <v>816</v>
      </c>
      <c r="F705" s="50"/>
      <c r="G705" t="s">
        <v>2356</v>
      </c>
      <c r="H705" t="s">
        <v>2359</v>
      </c>
      <c r="I705" t="s">
        <v>2360</v>
      </c>
      <c r="J705" s="50" t="str">
        <f>IF(I705="","",_xlfn.XLOOKUP(TRIM(I705),'SkillMasterSkill ID'!$C:$C,'SkillMasterSkill ID'!$F:$F,"NOT FOUND",0))</f>
        <v>NOT FOUND</v>
      </c>
      <c r="K705" s="50"/>
      <c r="L705" s="50"/>
    </row>
    <row r="706" spans="1:12" x14ac:dyDescent="0.25">
      <c r="A70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06">
        <v>10603</v>
      </c>
      <c r="C706" t="s">
        <v>146</v>
      </c>
      <c r="D706" s="46"/>
      <c r="E706" t="s">
        <v>951</v>
      </c>
      <c r="F706" s="50"/>
      <c r="G706" t="s">
        <v>2363</v>
      </c>
      <c r="H706" t="s">
        <v>2367</v>
      </c>
      <c r="I706" t="s">
        <v>2368</v>
      </c>
      <c r="J706" s="50" t="str">
        <f>IF(I706="","",_xlfn.XLOOKUP(TRIM(I706),'SkillMasterSkill ID'!$C:$C,'SkillMasterSkill ID'!$F:$F,"NOT FOUND",0))</f>
        <v>NOT FOUND</v>
      </c>
      <c r="K706" s="50"/>
      <c r="L706" s="50"/>
    </row>
    <row r="707" spans="1:12" x14ac:dyDescent="0.25">
      <c r="A70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07">
        <v>10603</v>
      </c>
      <c r="C707" t="s">
        <v>146</v>
      </c>
      <c r="D707" s="46"/>
      <c r="E707" t="s">
        <v>2202</v>
      </c>
      <c r="F707" s="50"/>
      <c r="G707" t="s">
        <v>2328</v>
      </c>
      <c r="H707" t="s">
        <v>2333</v>
      </c>
      <c r="I707" t="s">
        <v>2334</v>
      </c>
      <c r="J707" s="50" t="str">
        <f>IF(I707="","",_xlfn.XLOOKUP(TRIM(I707),'SkillMasterSkill ID'!$C:$C,'SkillMasterSkill ID'!$F:$F,"NOT FOUND",0))</f>
        <v>NOT FOUND</v>
      </c>
      <c r="K707" s="50"/>
      <c r="L707" s="50"/>
    </row>
    <row r="708" spans="1:12" x14ac:dyDescent="0.25">
      <c r="A70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08">
        <v>10603</v>
      </c>
      <c r="C708" t="s">
        <v>146</v>
      </c>
      <c r="D708" s="46"/>
      <c r="E708" t="s">
        <v>2296</v>
      </c>
      <c r="F708" s="50"/>
      <c r="G708" t="s">
        <v>2349</v>
      </c>
      <c r="H708" t="s">
        <v>2350</v>
      </c>
      <c r="I708" t="s">
        <v>2351</v>
      </c>
      <c r="J708" s="50" t="str">
        <f>IF(I708="","",_xlfn.XLOOKUP(TRIM(I708),'SkillMasterSkill ID'!$C:$C,'SkillMasterSkill ID'!$F:$F,"NOT FOUND",0))</f>
        <v>NOT FOUND</v>
      </c>
      <c r="K708" s="50"/>
      <c r="L708" s="50"/>
    </row>
    <row r="709" spans="1:12" x14ac:dyDescent="0.25">
      <c r="A70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09">
        <v>10603</v>
      </c>
      <c r="C709" t="s">
        <v>146</v>
      </c>
      <c r="D709" s="46"/>
      <c r="E709" t="s">
        <v>2296</v>
      </c>
      <c r="F709" s="50"/>
      <c r="G709" t="s">
        <v>2349</v>
      </c>
      <c r="H709" t="s">
        <v>2352</v>
      </c>
      <c r="I709" t="s">
        <v>2353</v>
      </c>
      <c r="J709" s="50" t="str">
        <f>IF(I709="","",_xlfn.XLOOKUP(TRIM(I709),'SkillMasterSkill ID'!$C:$C,'SkillMasterSkill ID'!$F:$F,"NOT FOUND",0))</f>
        <v>NOT FOUND</v>
      </c>
      <c r="K709" s="50"/>
      <c r="L709" s="50"/>
    </row>
    <row r="710" spans="1:12" x14ac:dyDescent="0.25">
      <c r="A71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10">
        <v>10603</v>
      </c>
      <c r="C710" t="s">
        <v>146</v>
      </c>
      <c r="D710" s="46"/>
      <c r="E710" t="s">
        <v>1441</v>
      </c>
      <c r="F710" s="50"/>
      <c r="G710" t="s">
        <v>2342</v>
      </c>
      <c r="H710" t="s">
        <v>2343</v>
      </c>
      <c r="I710" t="s">
        <v>2344</v>
      </c>
      <c r="J710" s="50" t="str">
        <f>IF(I710="","",_xlfn.XLOOKUP(TRIM(I710),'SkillMasterSkill ID'!$C:$C,'SkillMasterSkill ID'!$F:$F,"NOT FOUND",0))</f>
        <v>NOT FOUND</v>
      </c>
      <c r="K710" s="50"/>
      <c r="L710" s="50"/>
    </row>
    <row r="711" spans="1:12" x14ac:dyDescent="0.25">
      <c r="A71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11">
        <v>10603</v>
      </c>
      <c r="C711" t="s">
        <v>146</v>
      </c>
      <c r="D711" s="46"/>
      <c r="E711" t="s">
        <v>2215</v>
      </c>
      <c r="F711" s="50"/>
      <c r="G711" t="s">
        <v>1622</v>
      </c>
      <c r="H711" t="s">
        <v>2324</v>
      </c>
      <c r="I711" t="s">
        <v>2325</v>
      </c>
      <c r="J711" s="50" t="str">
        <f>IF(I711="","",_xlfn.XLOOKUP(TRIM(I711),'SkillMasterSkill ID'!$C:$C,'SkillMasterSkill ID'!$F:$F,"NOT FOUND",0))</f>
        <v>NOT FOUND</v>
      </c>
      <c r="K711" s="50"/>
      <c r="L711" s="50"/>
    </row>
    <row r="712" spans="1:12" x14ac:dyDescent="0.25">
      <c r="A71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12">
        <v>10603</v>
      </c>
      <c r="C712" t="s">
        <v>146</v>
      </c>
      <c r="D712" s="46"/>
      <c r="E712" t="s">
        <v>2208</v>
      </c>
      <c r="F712" s="50"/>
      <c r="G712" t="s">
        <v>1622</v>
      </c>
      <c r="H712" t="s">
        <v>2322</v>
      </c>
      <c r="I712" t="s">
        <v>2323</v>
      </c>
      <c r="J712" s="50" t="str">
        <f>IF(I712="","",_xlfn.XLOOKUP(TRIM(I712),'SkillMasterSkill ID'!$C:$C,'SkillMasterSkill ID'!$F:$F,"NOT FOUND",0))</f>
        <v>NOT FOUND</v>
      </c>
      <c r="K712" s="50"/>
      <c r="L712" s="50"/>
    </row>
    <row r="713" spans="1:12" x14ac:dyDescent="0.25">
      <c r="A71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13">
        <v>10603</v>
      </c>
      <c r="C713" t="s">
        <v>146</v>
      </c>
      <c r="D713" s="46"/>
      <c r="E713" t="s">
        <v>2281</v>
      </c>
      <c r="F713" s="50"/>
      <c r="G713" t="s">
        <v>2335</v>
      </c>
      <c r="H713" t="s">
        <v>2338</v>
      </c>
      <c r="I713" t="s">
        <v>2339</v>
      </c>
      <c r="J713" s="50" t="str">
        <f>IF(I713="","",_xlfn.XLOOKUP(TRIM(I713),'SkillMasterSkill ID'!$C:$C,'SkillMasterSkill ID'!$F:$F,"NOT FOUND",0))</f>
        <v>NOT FOUND</v>
      </c>
      <c r="K713" s="50"/>
      <c r="L713" s="50"/>
    </row>
    <row r="714" spans="1:12" x14ac:dyDescent="0.25">
      <c r="A71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14">
        <v>10603</v>
      </c>
      <c r="C714" t="s">
        <v>146</v>
      </c>
      <c r="D714" s="46"/>
      <c r="E714" t="s">
        <v>1448</v>
      </c>
      <c r="F714" s="50"/>
      <c r="G714" t="s">
        <v>1622</v>
      </c>
      <c r="H714" t="s">
        <v>2316</v>
      </c>
      <c r="I714" t="s">
        <v>2317</v>
      </c>
      <c r="J714" s="50" t="str">
        <f>IF(I714="","",_xlfn.XLOOKUP(TRIM(I714),'SkillMasterSkill ID'!$C:$C,'SkillMasterSkill ID'!$F:$F,"NOT FOUND",0))</f>
        <v>NOT FOUND</v>
      </c>
      <c r="K714" s="50"/>
      <c r="L714" s="50"/>
    </row>
    <row r="715" spans="1:12" x14ac:dyDescent="0.25">
      <c r="A71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15">
        <v>10603</v>
      </c>
      <c r="C715" t="s">
        <v>146</v>
      </c>
      <c r="D715" s="46"/>
      <c r="E715" t="s">
        <v>871</v>
      </c>
      <c r="F715" s="50"/>
      <c r="G715" t="s">
        <v>2363</v>
      </c>
      <c r="H715" t="s">
        <v>2364</v>
      </c>
      <c r="I715" t="s">
        <v>2365</v>
      </c>
      <c r="J715" s="50" t="str">
        <f>IF(I715="","",_xlfn.XLOOKUP(TRIM(I715),'SkillMasterSkill ID'!$C:$C,'SkillMasterSkill ID'!$F:$F,"NOT FOUND",0))</f>
        <v>NOT FOUND</v>
      </c>
      <c r="K715" s="50"/>
      <c r="L715" s="50"/>
    </row>
    <row r="716" spans="1:12" x14ac:dyDescent="0.25">
      <c r="A71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16">
        <v>10603</v>
      </c>
      <c r="C716" t="s">
        <v>146</v>
      </c>
      <c r="D716" s="46"/>
      <c r="E716" t="s">
        <v>2203</v>
      </c>
      <c r="F716" s="50"/>
      <c r="G716" t="s">
        <v>2342</v>
      </c>
      <c r="H716" t="s">
        <v>2345</v>
      </c>
      <c r="I716" t="s">
        <v>2346</v>
      </c>
      <c r="J716" s="50" t="str">
        <f>IF(I716="","",_xlfn.XLOOKUP(TRIM(I716),'SkillMasterSkill ID'!$C:$C,'SkillMasterSkill ID'!$F:$F,"NOT FOUND",0))</f>
        <v>NOT FOUND</v>
      </c>
      <c r="K716" s="50"/>
      <c r="L716" s="50"/>
    </row>
    <row r="717" spans="1:12" x14ac:dyDescent="0.25">
      <c r="A71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17">
        <v>10603</v>
      </c>
      <c r="C717" t="s">
        <v>146</v>
      </c>
      <c r="D717" s="46"/>
      <c r="E717" t="s">
        <v>2203</v>
      </c>
      <c r="F717" s="50"/>
      <c r="G717" t="s">
        <v>2342</v>
      </c>
      <c r="H717" t="s">
        <v>2347</v>
      </c>
      <c r="I717" t="s">
        <v>2348</v>
      </c>
      <c r="J717" s="50" t="str">
        <f>IF(I717="","",_xlfn.XLOOKUP(TRIM(I717),'SkillMasterSkill ID'!$C:$C,'SkillMasterSkill ID'!$F:$F,"NOT FOUND",0))</f>
        <v>NOT FOUND</v>
      </c>
      <c r="K717" s="50"/>
      <c r="L717" s="50"/>
    </row>
    <row r="718" spans="1:12" x14ac:dyDescent="0.25">
      <c r="A71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18">
        <v>10603</v>
      </c>
      <c r="C718" t="s">
        <v>146</v>
      </c>
      <c r="D718" s="46"/>
      <c r="E718" t="s">
        <v>816</v>
      </c>
      <c r="F718" s="50"/>
      <c r="G718" t="s">
        <v>2356</v>
      </c>
      <c r="H718" t="s">
        <v>2361</v>
      </c>
      <c r="I718" t="s">
        <v>2362</v>
      </c>
      <c r="J718" s="50" t="str">
        <f>IF(I718="","",_xlfn.XLOOKUP(TRIM(I718),'SkillMasterSkill ID'!$C:$C,'SkillMasterSkill ID'!$F:$F,"NOT FOUND",0))</f>
        <v>NOT FOUND</v>
      </c>
      <c r="K718" s="50"/>
      <c r="L718" s="50"/>
    </row>
    <row r="719" spans="1:12" x14ac:dyDescent="0.25">
      <c r="A71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19">
        <v>10603</v>
      </c>
      <c r="C719" t="s">
        <v>146</v>
      </c>
      <c r="D719" s="46"/>
      <c r="E719" t="s">
        <v>2207</v>
      </c>
      <c r="F719" s="50"/>
      <c r="G719" t="s">
        <v>1622</v>
      </c>
      <c r="H719" t="s">
        <v>2318</v>
      </c>
      <c r="I719" t="s">
        <v>2319</v>
      </c>
      <c r="J719" s="50" t="str">
        <f>IF(I719="","",_xlfn.XLOOKUP(TRIM(I719),'SkillMasterSkill ID'!$C:$C,'SkillMasterSkill ID'!$F:$F,"NOT FOUND",0))</f>
        <v>NOT FOUND</v>
      </c>
      <c r="K719" s="50"/>
      <c r="L719" s="50"/>
    </row>
    <row r="720" spans="1:12" x14ac:dyDescent="0.25">
      <c r="A72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20">
        <v>10604</v>
      </c>
      <c r="C720" t="s">
        <v>2369</v>
      </c>
      <c r="D720" s="46"/>
      <c r="E720" t="s">
        <v>2202</v>
      </c>
      <c r="F720" s="50"/>
      <c r="G720" t="s">
        <v>2382</v>
      </c>
      <c r="H720" t="s">
        <v>2385</v>
      </c>
      <c r="I720" t="s">
        <v>2386</v>
      </c>
      <c r="J720" s="50" t="str">
        <f>IF(I720="","",_xlfn.XLOOKUP(TRIM(I720),'SkillMasterSkill ID'!$C:$C,'SkillMasterSkill ID'!$F:$F,"NOT FOUND",0))</f>
        <v>NOT FOUND</v>
      </c>
      <c r="K720" s="50"/>
      <c r="L720" s="50"/>
    </row>
    <row r="721" spans="1:12" x14ac:dyDescent="0.25">
      <c r="A72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21">
        <v>10604</v>
      </c>
      <c r="C721" t="s">
        <v>2369</v>
      </c>
      <c r="D721" s="46"/>
      <c r="E721" t="s">
        <v>1476</v>
      </c>
      <c r="F721" s="50"/>
      <c r="G721" t="s">
        <v>2416</v>
      </c>
      <c r="H721" t="s">
        <v>2419</v>
      </c>
      <c r="I721" t="s">
        <v>2313</v>
      </c>
      <c r="J721" s="50" t="str">
        <f>IF(I721="","",_xlfn.XLOOKUP(TRIM(I721),'SkillMasterSkill ID'!$C:$C,'SkillMasterSkill ID'!$F:$F,"NOT FOUND",0))</f>
        <v>NOT FOUND</v>
      </c>
      <c r="K721" s="50"/>
      <c r="L721" s="50"/>
    </row>
    <row r="722" spans="1:12" x14ac:dyDescent="0.25">
      <c r="A72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22">
        <v>10604</v>
      </c>
      <c r="C722" t="s">
        <v>2369</v>
      </c>
      <c r="D722" s="46"/>
      <c r="E722" t="s">
        <v>2296</v>
      </c>
      <c r="F722" s="50"/>
      <c r="G722" t="s">
        <v>2403</v>
      </c>
      <c r="H722" t="s">
        <v>2404</v>
      </c>
      <c r="I722" t="s">
        <v>2405</v>
      </c>
      <c r="J722" s="50" t="str">
        <f>IF(I722="","",_xlfn.XLOOKUP(TRIM(I722),'SkillMasterSkill ID'!$C:$C,'SkillMasterSkill ID'!$F:$F,"NOT FOUND",0))</f>
        <v>NOT FOUND</v>
      </c>
      <c r="K722" s="50"/>
      <c r="L722" s="50"/>
    </row>
    <row r="723" spans="1:12" x14ac:dyDescent="0.25">
      <c r="A72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23">
        <v>10604</v>
      </c>
      <c r="C723" t="s">
        <v>2369</v>
      </c>
      <c r="D723" s="46"/>
      <c r="E723" t="s">
        <v>871</v>
      </c>
      <c r="F723" s="50"/>
      <c r="G723" t="s">
        <v>1622</v>
      </c>
      <c r="H723" t="s">
        <v>2374</v>
      </c>
      <c r="I723" t="s">
        <v>2375</v>
      </c>
      <c r="J723" s="50" t="str">
        <f>IF(I723="","",_xlfn.XLOOKUP(TRIM(I723),'SkillMasterSkill ID'!$C:$C,'SkillMasterSkill ID'!$F:$F,"NOT FOUND",0))</f>
        <v>NOT FOUND</v>
      </c>
      <c r="K723" s="50"/>
      <c r="L723" s="50"/>
    </row>
    <row r="724" spans="1:12" x14ac:dyDescent="0.25">
      <c r="A72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24">
        <v>10604</v>
      </c>
      <c r="C724" t="s">
        <v>2369</v>
      </c>
      <c r="D724" s="46"/>
      <c r="E724" t="s">
        <v>816</v>
      </c>
      <c r="F724" s="50"/>
      <c r="G724" t="s">
        <v>2410</v>
      </c>
      <c r="H724" t="s">
        <v>2413</v>
      </c>
      <c r="I724" t="s">
        <v>2414</v>
      </c>
      <c r="J724" s="50" t="str">
        <f>IF(I724="","",_xlfn.XLOOKUP(TRIM(I724),'SkillMasterSkill ID'!$C:$C,'SkillMasterSkill ID'!$F:$F,"NOT FOUND",0))</f>
        <v>NOT FOUND</v>
      </c>
      <c r="K724" s="50"/>
      <c r="L724" s="50"/>
    </row>
    <row r="725" spans="1:12" x14ac:dyDescent="0.25">
      <c r="A72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25">
        <v>10604</v>
      </c>
      <c r="C725" t="s">
        <v>2369</v>
      </c>
      <c r="D725" s="46"/>
      <c r="E725" t="s">
        <v>2203</v>
      </c>
      <c r="F725" s="50"/>
      <c r="G725" t="s">
        <v>2396</v>
      </c>
      <c r="H725" t="s">
        <v>2401</v>
      </c>
      <c r="I725" t="s">
        <v>2402</v>
      </c>
      <c r="J725" s="50" t="str">
        <f>IF(I725="","",_xlfn.XLOOKUP(TRIM(I725),'SkillMasterSkill ID'!$C:$C,'SkillMasterSkill ID'!$F:$F,"NOT FOUND",0))</f>
        <v>NOT FOUND</v>
      </c>
      <c r="K725" s="50"/>
      <c r="L725" s="50"/>
    </row>
    <row r="726" spans="1:12" x14ac:dyDescent="0.25">
      <c r="A72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26">
        <v>10604</v>
      </c>
      <c r="C726" t="s">
        <v>2369</v>
      </c>
      <c r="D726" s="46"/>
      <c r="E726" t="s">
        <v>2207</v>
      </c>
      <c r="F726" s="50"/>
      <c r="G726" t="s">
        <v>1622</v>
      </c>
      <c r="H726" t="s">
        <v>2372</v>
      </c>
      <c r="I726" t="s">
        <v>2373</v>
      </c>
      <c r="J726" s="50" t="str">
        <f>IF(I726="","",_xlfn.XLOOKUP(TRIM(I726),'SkillMasterSkill ID'!$C:$C,'SkillMasterSkill ID'!$F:$F,"NOT FOUND",0))</f>
        <v>NOT FOUND</v>
      </c>
      <c r="K726" s="50"/>
      <c r="L726" s="50"/>
    </row>
    <row r="727" spans="1:12" x14ac:dyDescent="0.25">
      <c r="A72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27">
        <v>10604</v>
      </c>
      <c r="C727" t="s">
        <v>2369</v>
      </c>
      <c r="D727" s="46"/>
      <c r="E727" t="s">
        <v>2202</v>
      </c>
      <c r="F727" s="50"/>
      <c r="G727" t="s">
        <v>2382</v>
      </c>
      <c r="H727" t="s">
        <v>2383</v>
      </c>
      <c r="I727" t="s">
        <v>2384</v>
      </c>
      <c r="J727" s="50" t="str">
        <f>IF(I727="","",_xlfn.XLOOKUP(TRIM(I727),'SkillMasterSkill ID'!$C:$C,'SkillMasterSkill ID'!$F:$F,"NOT FOUND",0))</f>
        <v>NOT FOUND</v>
      </c>
      <c r="K727" s="50"/>
      <c r="L727" s="50"/>
    </row>
    <row r="728" spans="1:12" x14ac:dyDescent="0.25">
      <c r="A72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28">
        <v>10604</v>
      </c>
      <c r="C728" t="s">
        <v>2369</v>
      </c>
      <c r="D728" s="46"/>
      <c r="E728" t="s">
        <v>2204</v>
      </c>
      <c r="F728" s="50"/>
      <c r="G728" t="s">
        <v>2403</v>
      </c>
      <c r="H728" t="s">
        <v>2406</v>
      </c>
      <c r="I728" t="s">
        <v>2407</v>
      </c>
      <c r="J728" s="50" t="str">
        <f>IF(I728="","",_xlfn.XLOOKUP(TRIM(I728),'SkillMasterSkill ID'!$C:$C,'SkillMasterSkill ID'!$F:$F,"NOT FOUND",0))</f>
        <v>NOT FOUND</v>
      </c>
      <c r="K728" s="50"/>
      <c r="L728" s="50"/>
    </row>
    <row r="729" spans="1:12" x14ac:dyDescent="0.25">
      <c r="A72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29">
        <v>10604</v>
      </c>
      <c r="C729" t="s">
        <v>2369</v>
      </c>
      <c r="D729" s="46"/>
      <c r="E729" t="s">
        <v>816</v>
      </c>
      <c r="F729" s="50"/>
      <c r="G729" t="s">
        <v>2410</v>
      </c>
      <c r="H729" t="s">
        <v>2308</v>
      </c>
      <c r="I729" t="s">
        <v>2415</v>
      </c>
      <c r="J729" s="50" t="str">
        <f>IF(I729="","",_xlfn.XLOOKUP(TRIM(I729),'SkillMasterSkill ID'!$C:$C,'SkillMasterSkill ID'!$F:$F,"NOT FOUND",0))</f>
        <v>NOT FOUND</v>
      </c>
      <c r="K729" s="50"/>
      <c r="L729" s="50"/>
    </row>
    <row r="730" spans="1:12" x14ac:dyDescent="0.25">
      <c r="A73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30">
        <v>10604</v>
      </c>
      <c r="C730" t="s">
        <v>2369</v>
      </c>
      <c r="D730" s="46"/>
      <c r="E730" t="s">
        <v>2281</v>
      </c>
      <c r="F730" s="50"/>
      <c r="G730" t="s">
        <v>2389</v>
      </c>
      <c r="H730" t="s">
        <v>2390</v>
      </c>
      <c r="I730" t="s">
        <v>2391</v>
      </c>
      <c r="J730" s="50" t="str">
        <f>IF(I730="","",_xlfn.XLOOKUP(TRIM(I730),'SkillMasterSkill ID'!$C:$C,'SkillMasterSkill ID'!$F:$F,"NOT FOUND",0))</f>
        <v>NOT FOUND</v>
      </c>
      <c r="K730" s="50"/>
      <c r="L730" s="50"/>
    </row>
    <row r="731" spans="1:12" x14ac:dyDescent="0.25">
      <c r="A73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31">
        <v>10604</v>
      </c>
      <c r="C731" t="s">
        <v>2369</v>
      </c>
      <c r="D731" s="46"/>
      <c r="E731" t="s">
        <v>874</v>
      </c>
      <c r="F731" s="50"/>
      <c r="G731" t="s">
        <v>1622</v>
      </c>
      <c r="H731" t="s">
        <v>2380</v>
      </c>
      <c r="I731" t="s">
        <v>2381</v>
      </c>
      <c r="J731" s="50" t="str">
        <f>IF(I731="","",_xlfn.XLOOKUP(TRIM(I731),'SkillMasterSkill ID'!$C:$C,'SkillMasterSkill ID'!$F:$F,"NOT FOUND",0))</f>
        <v>NOT FOUND</v>
      </c>
      <c r="K731" s="50"/>
      <c r="L731" s="50"/>
    </row>
    <row r="732" spans="1:12" x14ac:dyDescent="0.25">
      <c r="A73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32">
        <v>10604</v>
      </c>
      <c r="C732" t="s">
        <v>2369</v>
      </c>
      <c r="D732" s="46"/>
      <c r="E732" t="s">
        <v>951</v>
      </c>
      <c r="F732" s="50"/>
      <c r="G732" t="s">
        <v>2416</v>
      </c>
      <c r="H732" t="s">
        <v>2420</v>
      </c>
      <c r="I732" t="s">
        <v>2421</v>
      </c>
      <c r="J732" s="50" t="str">
        <f>IF(I732="","",_xlfn.XLOOKUP(TRIM(I732),'SkillMasterSkill ID'!$C:$C,'SkillMasterSkill ID'!$F:$F,"NOT FOUND",0))</f>
        <v>NOT FOUND</v>
      </c>
      <c r="K732" s="50"/>
      <c r="L732" s="50"/>
    </row>
    <row r="733" spans="1:12" x14ac:dyDescent="0.25">
      <c r="A73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33">
        <v>10604</v>
      </c>
      <c r="C733" t="s">
        <v>2369</v>
      </c>
      <c r="D733" s="46"/>
      <c r="E733" t="s">
        <v>2202</v>
      </c>
      <c r="F733" s="50"/>
      <c r="G733" t="s">
        <v>2382</v>
      </c>
      <c r="H733" t="s">
        <v>2387</v>
      </c>
      <c r="I733" t="s">
        <v>2388</v>
      </c>
      <c r="J733" s="50" t="str">
        <f>IF(I733="","",_xlfn.XLOOKUP(TRIM(I733),'SkillMasterSkill ID'!$C:$C,'SkillMasterSkill ID'!$F:$F,"NOT FOUND",0))</f>
        <v>NOT FOUND</v>
      </c>
      <c r="K733" s="50"/>
      <c r="L733" s="50"/>
    </row>
    <row r="734" spans="1:12" x14ac:dyDescent="0.25">
      <c r="A73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34">
        <v>10604</v>
      </c>
      <c r="C734" t="s">
        <v>2369</v>
      </c>
      <c r="D734" s="46"/>
      <c r="E734" t="s">
        <v>2204</v>
      </c>
      <c r="F734" s="50"/>
      <c r="G734" t="s">
        <v>2403</v>
      </c>
      <c r="H734" t="s">
        <v>2408</v>
      </c>
      <c r="I734" t="s">
        <v>2409</v>
      </c>
      <c r="J734" s="50" t="str">
        <f>IF(I734="","",_xlfn.XLOOKUP(TRIM(I734),'SkillMasterSkill ID'!$C:$C,'SkillMasterSkill ID'!$F:$F,"NOT FOUND",0))</f>
        <v>NOT FOUND</v>
      </c>
      <c r="K734" s="50"/>
      <c r="L734" s="50"/>
    </row>
    <row r="735" spans="1:12" x14ac:dyDescent="0.25">
      <c r="A73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35">
        <v>10604</v>
      </c>
      <c r="C735" t="s">
        <v>2369</v>
      </c>
      <c r="D735" s="46"/>
      <c r="E735" t="s">
        <v>1448</v>
      </c>
      <c r="F735" s="50"/>
      <c r="G735" t="s">
        <v>1622</v>
      </c>
      <c r="H735" t="s">
        <v>2370</v>
      </c>
      <c r="I735" t="s">
        <v>2371</v>
      </c>
      <c r="J735" s="50" t="str">
        <f>IF(I735="","",_xlfn.XLOOKUP(TRIM(I735),'SkillMasterSkill ID'!$C:$C,'SkillMasterSkill ID'!$F:$F,"NOT FOUND",0))</f>
        <v>NOT FOUND</v>
      </c>
      <c r="K735" s="50"/>
      <c r="L735" s="50"/>
    </row>
    <row r="736" spans="1:12" x14ac:dyDescent="0.25">
      <c r="A73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36">
        <v>10604</v>
      </c>
      <c r="C736" t="s">
        <v>2369</v>
      </c>
      <c r="D736" s="46"/>
      <c r="E736" t="s">
        <v>2208</v>
      </c>
      <c r="F736" s="50"/>
      <c r="G736" t="s">
        <v>1622</v>
      </c>
      <c r="H736" t="s">
        <v>2376</v>
      </c>
      <c r="I736" t="s">
        <v>2377</v>
      </c>
      <c r="J736" s="50" t="str">
        <f>IF(I736="","",_xlfn.XLOOKUP(TRIM(I736),'SkillMasterSkill ID'!$C:$C,'SkillMasterSkill ID'!$F:$F,"NOT FOUND",0))</f>
        <v>NOT FOUND</v>
      </c>
      <c r="K736" s="50"/>
      <c r="L736" s="50"/>
    </row>
    <row r="737" spans="1:12" x14ac:dyDescent="0.25">
      <c r="A73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37">
        <v>10604</v>
      </c>
      <c r="C737" t="s">
        <v>2369</v>
      </c>
      <c r="D737" s="46"/>
      <c r="E737" t="s">
        <v>2281</v>
      </c>
      <c r="F737" s="50"/>
      <c r="G737" t="s">
        <v>2389</v>
      </c>
      <c r="H737" t="s">
        <v>2394</v>
      </c>
      <c r="I737" t="s">
        <v>2395</v>
      </c>
      <c r="J737" s="50" t="str">
        <f>IF(I737="","",_xlfn.XLOOKUP(TRIM(I737),'SkillMasterSkill ID'!$C:$C,'SkillMasterSkill ID'!$F:$F,"NOT FOUND",0))</f>
        <v>NOT FOUND</v>
      </c>
      <c r="K737" s="50"/>
      <c r="L737" s="50"/>
    </row>
    <row r="738" spans="1:12" x14ac:dyDescent="0.25">
      <c r="A73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38">
        <v>10604</v>
      </c>
      <c r="C738" t="s">
        <v>2369</v>
      </c>
      <c r="D738" s="46"/>
      <c r="E738" t="s">
        <v>2281</v>
      </c>
      <c r="F738" s="50"/>
      <c r="G738" t="s">
        <v>2389</v>
      </c>
      <c r="H738" t="s">
        <v>2392</v>
      </c>
      <c r="I738" t="s">
        <v>2393</v>
      </c>
      <c r="J738" s="50" t="str">
        <f>IF(I738="","",_xlfn.XLOOKUP(TRIM(I738),'SkillMasterSkill ID'!$C:$C,'SkillMasterSkill ID'!$F:$F,"NOT FOUND",0))</f>
        <v>NOT FOUND</v>
      </c>
      <c r="K738" s="50"/>
      <c r="L738" s="50"/>
    </row>
    <row r="739" spans="1:12" x14ac:dyDescent="0.25">
      <c r="A73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39">
        <v>10604</v>
      </c>
      <c r="C739" t="s">
        <v>2369</v>
      </c>
      <c r="D739" s="46"/>
      <c r="E739" t="s">
        <v>871</v>
      </c>
      <c r="F739" s="50"/>
      <c r="G739" t="s">
        <v>2416</v>
      </c>
      <c r="H739" t="s">
        <v>2417</v>
      </c>
      <c r="I739" t="s">
        <v>2418</v>
      </c>
      <c r="J739" s="50" t="str">
        <f>IF(I739="","",_xlfn.XLOOKUP(TRIM(I739),'SkillMasterSkill ID'!$C:$C,'SkillMasterSkill ID'!$F:$F,"NOT FOUND",0))</f>
        <v>NOT FOUND</v>
      </c>
      <c r="K739" s="50"/>
      <c r="L739" s="50"/>
    </row>
    <row r="740" spans="1:12" x14ac:dyDescent="0.25">
      <c r="A74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40">
        <v>10604</v>
      </c>
      <c r="C740" t="s">
        <v>2369</v>
      </c>
      <c r="D740" s="46"/>
      <c r="E740" t="s">
        <v>1441</v>
      </c>
      <c r="F740" s="50"/>
      <c r="G740" t="s">
        <v>2396</v>
      </c>
      <c r="H740" t="s">
        <v>2397</v>
      </c>
      <c r="I740" t="s">
        <v>2398</v>
      </c>
      <c r="J740" s="50" t="str">
        <f>IF(I740="","",_xlfn.XLOOKUP(TRIM(I740),'SkillMasterSkill ID'!$C:$C,'SkillMasterSkill ID'!$F:$F,"NOT FOUND",0))</f>
        <v>NOT FOUND</v>
      </c>
      <c r="K740" s="50"/>
      <c r="L740" s="50"/>
    </row>
    <row r="741" spans="1:12" x14ac:dyDescent="0.25">
      <c r="A74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41">
        <v>10604</v>
      </c>
      <c r="C741" t="s">
        <v>2369</v>
      </c>
      <c r="D741" s="46"/>
      <c r="E741" t="s">
        <v>2203</v>
      </c>
      <c r="F741" s="50"/>
      <c r="G741" t="s">
        <v>2396</v>
      </c>
      <c r="H741" t="s">
        <v>2399</v>
      </c>
      <c r="I741" t="s">
        <v>2400</v>
      </c>
      <c r="J741" s="50" t="str">
        <f>IF(I741="","",_xlfn.XLOOKUP(TRIM(I741),'SkillMasterSkill ID'!$C:$C,'SkillMasterSkill ID'!$F:$F,"NOT FOUND",0))</f>
        <v>NOT FOUND</v>
      </c>
      <c r="K741" s="50"/>
      <c r="L741" s="50"/>
    </row>
    <row r="742" spans="1:12" x14ac:dyDescent="0.25">
      <c r="A74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42">
        <v>10604</v>
      </c>
      <c r="C742" t="s">
        <v>2369</v>
      </c>
      <c r="D742" s="46"/>
      <c r="E742" t="s">
        <v>816</v>
      </c>
      <c r="F742" s="50"/>
      <c r="G742" t="s">
        <v>2410</v>
      </c>
      <c r="H742" t="s">
        <v>2411</v>
      </c>
      <c r="I742" t="s">
        <v>2412</v>
      </c>
      <c r="J742" s="50" t="str">
        <f>IF(I742="","",_xlfn.XLOOKUP(TRIM(I742),'SkillMasterSkill ID'!$C:$C,'SkillMasterSkill ID'!$F:$F,"NOT FOUND",0))</f>
        <v>NOT FOUND</v>
      </c>
      <c r="K742" s="50"/>
      <c r="L742" s="50"/>
    </row>
    <row r="743" spans="1:12" x14ac:dyDescent="0.25">
      <c r="A74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43">
        <v>10604</v>
      </c>
      <c r="C743" t="s">
        <v>2369</v>
      </c>
      <c r="D743" s="46"/>
      <c r="E743" t="s">
        <v>2215</v>
      </c>
      <c r="F743" s="50"/>
      <c r="G743" t="s">
        <v>1622</v>
      </c>
      <c r="H743" t="s">
        <v>2378</v>
      </c>
      <c r="I743" t="s">
        <v>2379</v>
      </c>
      <c r="J743" s="50" t="str">
        <f>IF(I743="","",_xlfn.XLOOKUP(TRIM(I743),'SkillMasterSkill ID'!$C:$C,'SkillMasterSkill ID'!$F:$F,"NOT FOUND",0))</f>
        <v>NOT FOUND</v>
      </c>
      <c r="K743" s="50"/>
      <c r="L743" s="50"/>
    </row>
    <row r="744" spans="1:12" x14ac:dyDescent="0.25">
      <c r="A74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44">
        <v>40104</v>
      </c>
      <c r="C744" t="s">
        <v>753</v>
      </c>
      <c r="D744" s="46"/>
      <c r="E744" t="s">
        <v>2207</v>
      </c>
      <c r="F744" s="50"/>
      <c r="G744" t="s">
        <v>3805</v>
      </c>
      <c r="H744" t="s">
        <v>3867</v>
      </c>
      <c r="I744" t="s">
        <v>3868</v>
      </c>
      <c r="J744" s="50" t="str">
        <f>IF(I744="","",_xlfn.XLOOKUP(TRIM(I744),'SkillMasterSkill ID'!$C:$C,'SkillMasterSkill ID'!$F:$F,"NOT FOUND",0))</f>
        <v>NOT FOUND</v>
      </c>
      <c r="K744" s="50"/>
      <c r="L744" s="50"/>
    </row>
    <row r="745" spans="1:12" x14ac:dyDescent="0.25">
      <c r="A74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45">
        <v>40104</v>
      </c>
      <c r="C745" t="s">
        <v>753</v>
      </c>
      <c r="D745" s="46"/>
      <c r="E745" t="s">
        <v>3698</v>
      </c>
      <c r="F745" s="50"/>
      <c r="G745" t="s">
        <v>3805</v>
      </c>
      <c r="H745" t="s">
        <v>3865</v>
      </c>
      <c r="I745" t="s">
        <v>3866</v>
      </c>
      <c r="J745" s="50" t="str">
        <f>IF(I745="","",_xlfn.XLOOKUP(TRIM(I745),'SkillMasterSkill ID'!$C:$C,'SkillMasterSkill ID'!$F:$F,"NOT FOUND",0))</f>
        <v>NOT FOUND</v>
      </c>
      <c r="K745" s="50"/>
      <c r="L745" s="50"/>
    </row>
    <row r="746" spans="1:12" x14ac:dyDescent="0.25">
      <c r="A74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46">
        <v>40104</v>
      </c>
      <c r="C746" t="s">
        <v>753</v>
      </c>
      <c r="D746" s="46"/>
      <c r="E746" t="s">
        <v>3843</v>
      </c>
      <c r="F746" s="50"/>
      <c r="G746" t="s">
        <v>3805</v>
      </c>
      <c r="H746" t="s">
        <v>3871</v>
      </c>
      <c r="I746" t="s">
        <v>3872</v>
      </c>
      <c r="J746" s="50" t="str">
        <f>IF(I746="","",_xlfn.XLOOKUP(TRIM(I746),'SkillMasterSkill ID'!$C:$C,'SkillMasterSkill ID'!$F:$F,"NOT FOUND",0))</f>
        <v>NOT FOUND</v>
      </c>
      <c r="K746" s="50"/>
      <c r="L746" s="50"/>
    </row>
    <row r="747" spans="1:12" x14ac:dyDescent="0.25">
      <c r="A74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47">
        <v>40104</v>
      </c>
      <c r="C747" t="s">
        <v>753</v>
      </c>
      <c r="D747" s="46"/>
      <c r="E747" t="s">
        <v>1371</v>
      </c>
      <c r="F747" s="50"/>
      <c r="G747" t="s">
        <v>3805</v>
      </c>
      <c r="H747" t="s">
        <v>3869</v>
      </c>
      <c r="I747" t="s">
        <v>3870</v>
      </c>
      <c r="J747" s="50" t="str">
        <f>IF(I747="","",_xlfn.XLOOKUP(TRIM(I747),'SkillMasterSkill ID'!$C:$C,'SkillMasterSkill ID'!$F:$F,"NOT FOUND",0))</f>
        <v>NOT FOUND</v>
      </c>
      <c r="K747" s="50"/>
      <c r="L747" s="50"/>
    </row>
    <row r="748" spans="1:12" x14ac:dyDescent="0.25">
      <c r="A74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48">
        <v>40105</v>
      </c>
      <c r="C748" t="s">
        <v>754</v>
      </c>
      <c r="D748" s="46"/>
      <c r="E748" t="s">
        <v>2207</v>
      </c>
      <c r="F748" s="50"/>
      <c r="G748" t="s">
        <v>3805</v>
      </c>
      <c r="H748" t="s">
        <v>3875</v>
      </c>
      <c r="I748" t="s">
        <v>3876</v>
      </c>
      <c r="J748" s="50" t="str">
        <f>IF(I748="","",_xlfn.XLOOKUP(TRIM(I748),'SkillMasterSkill ID'!$C:$C,'SkillMasterSkill ID'!$F:$F,"NOT FOUND",0))</f>
        <v>NOT FOUND</v>
      </c>
      <c r="K748" s="50"/>
      <c r="L748" s="50"/>
    </row>
    <row r="749" spans="1:12" x14ac:dyDescent="0.25">
      <c r="A74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49">
        <v>40105</v>
      </c>
      <c r="C749" t="s">
        <v>754</v>
      </c>
      <c r="D749" s="46"/>
      <c r="E749" t="s">
        <v>3698</v>
      </c>
      <c r="F749" s="50"/>
      <c r="G749" t="s">
        <v>3805</v>
      </c>
      <c r="H749" t="s">
        <v>3873</v>
      </c>
      <c r="I749" t="s">
        <v>3874</v>
      </c>
      <c r="J749" s="50" t="str">
        <f>IF(I749="","",_xlfn.XLOOKUP(TRIM(I749),'SkillMasterSkill ID'!$C:$C,'SkillMasterSkill ID'!$F:$F,"NOT FOUND",0))</f>
        <v>NOT FOUND</v>
      </c>
      <c r="K749" s="50"/>
      <c r="L749" s="50"/>
    </row>
    <row r="750" spans="1:12" x14ac:dyDescent="0.25">
      <c r="A75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50">
        <v>40105</v>
      </c>
      <c r="C750" t="s">
        <v>754</v>
      </c>
      <c r="D750" s="46"/>
      <c r="E750" t="s">
        <v>3843</v>
      </c>
      <c r="F750" s="50"/>
      <c r="G750" t="s">
        <v>3805</v>
      </c>
      <c r="H750" t="s">
        <v>3879</v>
      </c>
      <c r="I750" t="s">
        <v>3880</v>
      </c>
      <c r="J750" s="50" t="str">
        <f>IF(I750="","",_xlfn.XLOOKUP(TRIM(I750),'SkillMasterSkill ID'!$C:$C,'SkillMasterSkill ID'!$F:$F,"NOT FOUND",0))</f>
        <v>NOT FOUND</v>
      </c>
      <c r="K750" s="50"/>
      <c r="L750" s="50"/>
    </row>
    <row r="751" spans="1:12" x14ac:dyDescent="0.25">
      <c r="A75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51">
        <v>40105</v>
      </c>
      <c r="C751" t="s">
        <v>754</v>
      </c>
      <c r="D751" s="46"/>
      <c r="E751" t="s">
        <v>1371</v>
      </c>
      <c r="F751" s="50"/>
      <c r="G751" t="s">
        <v>3805</v>
      </c>
      <c r="H751" t="s">
        <v>3877</v>
      </c>
      <c r="I751" t="s">
        <v>3878</v>
      </c>
      <c r="J751" s="50" t="str">
        <f>IF(I751="","",_xlfn.XLOOKUP(TRIM(I751),'SkillMasterSkill ID'!$C:$C,'SkillMasterSkill ID'!$F:$F,"NOT FOUND",0))</f>
        <v>NOT FOUND</v>
      </c>
      <c r="K751" s="50"/>
      <c r="L751" s="50"/>
    </row>
    <row r="752" spans="1:12" x14ac:dyDescent="0.25">
      <c r="A75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52">
        <v>10501</v>
      </c>
      <c r="C752" t="s">
        <v>156</v>
      </c>
      <c r="D752" s="46"/>
      <c r="E752" t="s">
        <v>874</v>
      </c>
      <c r="F752" s="50"/>
      <c r="G752" t="s">
        <v>1622</v>
      </c>
      <c r="H752" t="s">
        <v>2497</v>
      </c>
      <c r="I752" t="s">
        <v>2498</v>
      </c>
      <c r="J752" s="50" t="str">
        <f>IF(I752="","",_xlfn.XLOOKUP(TRIM(I752),'SkillMasterSkill ID'!$C:$C,'SkillMasterSkill ID'!$F:$F,"NOT FOUND",0))</f>
        <v>NOT FOUND</v>
      </c>
      <c r="K752" s="50"/>
      <c r="L752" s="50"/>
    </row>
    <row r="753" spans="1:12" x14ac:dyDescent="0.25">
      <c r="A75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53">
        <v>10501</v>
      </c>
      <c r="C753" t="s">
        <v>156</v>
      </c>
      <c r="D753" s="46"/>
      <c r="E753" t="s">
        <v>953</v>
      </c>
      <c r="F753" s="50"/>
      <c r="G753" t="s">
        <v>2256</v>
      </c>
      <c r="H753" t="s">
        <v>2517</v>
      </c>
      <c r="I753" t="s">
        <v>2518</v>
      </c>
      <c r="J753" s="50" t="str">
        <f>IF(I753="","",_xlfn.XLOOKUP(TRIM(I753),'SkillMasterSkill ID'!$C:$C,'SkillMasterSkill ID'!$F:$F,"NOT FOUND",0))</f>
        <v>NOT FOUND</v>
      </c>
      <c r="K753" s="50"/>
      <c r="L753" s="50"/>
    </row>
    <row r="754" spans="1:12" x14ac:dyDescent="0.25">
      <c r="A75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54">
        <v>10501</v>
      </c>
      <c r="C754" t="s">
        <v>156</v>
      </c>
      <c r="D754" s="46"/>
      <c r="E754" t="s">
        <v>2519</v>
      </c>
      <c r="F754" s="50"/>
      <c r="G754" t="s">
        <v>2256</v>
      </c>
      <c r="H754" t="s">
        <v>2520</v>
      </c>
      <c r="I754" t="s">
        <v>2521</v>
      </c>
      <c r="J754" s="50" t="str">
        <f>IF(I754="","",_xlfn.XLOOKUP(TRIM(I754),'SkillMasterSkill ID'!$C:$C,'SkillMasterSkill ID'!$F:$F,"NOT FOUND",0))</f>
        <v>NOT FOUND</v>
      </c>
      <c r="K754" s="50"/>
      <c r="L754" s="50"/>
    </row>
    <row r="755" spans="1:12" x14ac:dyDescent="0.25">
      <c r="A75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55">
        <v>10501</v>
      </c>
      <c r="C755" t="s">
        <v>156</v>
      </c>
      <c r="D755" s="46"/>
      <c r="E755" t="s">
        <v>871</v>
      </c>
      <c r="F755" s="50"/>
      <c r="G755" t="s">
        <v>1622</v>
      </c>
      <c r="H755" t="s">
        <v>1281</v>
      </c>
      <c r="I755" t="s">
        <v>2491</v>
      </c>
      <c r="J755" s="50" t="str">
        <f>IF(I755="","",_xlfn.XLOOKUP(TRIM(I755),'SkillMasterSkill ID'!$C:$C,'SkillMasterSkill ID'!$F:$F,"NOT FOUND",0))</f>
        <v>NOT FOUND</v>
      </c>
      <c r="K755" s="50"/>
      <c r="L755" s="50"/>
    </row>
    <row r="756" spans="1:12" x14ac:dyDescent="0.25">
      <c r="A75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56">
        <v>10501</v>
      </c>
      <c r="C756" t="s">
        <v>156</v>
      </c>
      <c r="D756" s="46"/>
      <c r="E756" t="s">
        <v>872</v>
      </c>
      <c r="F756" s="50"/>
      <c r="G756" t="s">
        <v>2499</v>
      </c>
      <c r="H756" t="s">
        <v>2500</v>
      </c>
      <c r="I756" t="s">
        <v>2501</v>
      </c>
      <c r="J756" s="50" t="str">
        <f>IF(I756="","",_xlfn.XLOOKUP(TRIM(I756),'SkillMasterSkill ID'!$C:$C,'SkillMasterSkill ID'!$F:$F,"NOT FOUND",0))</f>
        <v>NOT FOUND</v>
      </c>
      <c r="K756" s="50"/>
      <c r="L756" s="50"/>
    </row>
    <row r="757" spans="1:12" x14ac:dyDescent="0.25">
      <c r="A75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57">
        <v>10501</v>
      </c>
      <c r="C757" t="s">
        <v>156</v>
      </c>
      <c r="D757" s="46"/>
      <c r="E757" t="s">
        <v>2522</v>
      </c>
      <c r="F757" s="50"/>
      <c r="G757" t="s">
        <v>2483</v>
      </c>
      <c r="H757" t="s">
        <v>2523</v>
      </c>
      <c r="I757" t="s">
        <v>2524</v>
      </c>
      <c r="J757" s="50" t="str">
        <f>IF(I757="","",_xlfn.XLOOKUP(TRIM(I757),'SkillMasterSkill ID'!$C:$C,'SkillMasterSkill ID'!$F:$F,"NOT FOUND",0))</f>
        <v>NOT FOUND</v>
      </c>
      <c r="K757" s="50"/>
      <c r="L757" s="50"/>
    </row>
    <row r="758" spans="1:12" x14ac:dyDescent="0.25">
      <c r="A75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58">
        <v>10501</v>
      </c>
      <c r="C758" t="s">
        <v>156</v>
      </c>
      <c r="D758" s="46"/>
      <c r="E758" t="s">
        <v>2215</v>
      </c>
      <c r="F758" s="50"/>
      <c r="G758" t="s">
        <v>1622</v>
      </c>
      <c r="H758" t="s">
        <v>2495</v>
      </c>
      <c r="I758" t="s">
        <v>2496</v>
      </c>
      <c r="J758" s="50" t="str">
        <f>IF(I758="","",_xlfn.XLOOKUP(TRIM(I758),'SkillMasterSkill ID'!$C:$C,'SkillMasterSkill ID'!$F:$F,"NOT FOUND",0))</f>
        <v>NOT FOUND</v>
      </c>
      <c r="K758" s="50"/>
      <c r="L758" s="50"/>
    </row>
    <row r="759" spans="1:12" x14ac:dyDescent="0.25">
      <c r="A75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59">
        <v>10501</v>
      </c>
      <c r="C759" t="s">
        <v>156</v>
      </c>
      <c r="D759" s="46"/>
      <c r="E759" t="s">
        <v>874</v>
      </c>
      <c r="F759" s="50"/>
      <c r="G759" t="s">
        <v>2483</v>
      </c>
      <c r="H759" t="s">
        <v>2525</v>
      </c>
      <c r="I759" t="s">
        <v>2526</v>
      </c>
      <c r="J759" s="50" t="str">
        <f>IF(I759="","",_xlfn.XLOOKUP(TRIM(I759),'SkillMasterSkill ID'!$C:$C,'SkillMasterSkill ID'!$F:$F,"NOT FOUND",0))</f>
        <v>NOT FOUND</v>
      </c>
      <c r="K759" s="50"/>
      <c r="L759" s="50"/>
    </row>
    <row r="760" spans="1:12" x14ac:dyDescent="0.25">
      <c r="A76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60">
        <v>10501</v>
      </c>
      <c r="C760" t="s">
        <v>156</v>
      </c>
      <c r="D760" s="46"/>
      <c r="E760" t="s">
        <v>1457</v>
      </c>
      <c r="F760" s="50"/>
      <c r="G760" t="s">
        <v>2507</v>
      </c>
      <c r="H760" t="s">
        <v>2512</v>
      </c>
      <c r="I760" t="s">
        <v>2513</v>
      </c>
      <c r="J760" s="50" t="str">
        <f>IF(I760="","",_xlfn.XLOOKUP(TRIM(I760),'SkillMasterSkill ID'!$C:$C,'SkillMasterSkill ID'!$F:$F,"NOT FOUND",0))</f>
        <v>NOT FOUND</v>
      </c>
      <c r="K760" s="50"/>
      <c r="L760" s="50"/>
    </row>
    <row r="761" spans="1:12" x14ac:dyDescent="0.25">
      <c r="A76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61">
        <v>10501</v>
      </c>
      <c r="C761" t="s">
        <v>156</v>
      </c>
      <c r="D761" s="46"/>
      <c r="E761" t="s">
        <v>2207</v>
      </c>
      <c r="F761" s="50"/>
      <c r="G761" t="s">
        <v>1622</v>
      </c>
      <c r="H761" t="s">
        <v>2489</v>
      </c>
      <c r="I761" t="s">
        <v>2490</v>
      </c>
      <c r="J761" s="50" t="str">
        <f>IF(I761="","",_xlfn.XLOOKUP(TRIM(I761),'SkillMasterSkill ID'!$C:$C,'SkillMasterSkill ID'!$F:$F,"NOT FOUND",0))</f>
        <v>NOT FOUND</v>
      </c>
      <c r="K761" s="50"/>
      <c r="L761" s="50"/>
    </row>
    <row r="762" spans="1:12" x14ac:dyDescent="0.25">
      <c r="A76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62">
        <v>10501</v>
      </c>
      <c r="C762" t="s">
        <v>156</v>
      </c>
      <c r="D762" s="46"/>
      <c r="E762" t="s">
        <v>947</v>
      </c>
      <c r="F762" s="50"/>
      <c r="G762" t="s">
        <v>2507</v>
      </c>
      <c r="H762" t="s">
        <v>2510</v>
      </c>
      <c r="I762" t="s">
        <v>1430</v>
      </c>
      <c r="J762" s="50" t="str">
        <f>IF(I762="","",_xlfn.XLOOKUP(TRIM(I762),'SkillMasterSkill ID'!$C:$C,'SkillMasterSkill ID'!$F:$F,"NOT FOUND",0))</f>
        <v>NOT FOUND</v>
      </c>
      <c r="K762" s="50"/>
      <c r="L762" s="50"/>
    </row>
    <row r="763" spans="1:12" x14ac:dyDescent="0.25">
      <c r="A76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63">
        <v>10501</v>
      </c>
      <c r="C763" t="s">
        <v>156</v>
      </c>
      <c r="D763" s="46"/>
      <c r="E763" t="s">
        <v>1448</v>
      </c>
      <c r="F763" s="50"/>
      <c r="G763" t="s">
        <v>1724</v>
      </c>
      <c r="H763" t="s">
        <v>1285</v>
      </c>
      <c r="I763" t="s">
        <v>2514</v>
      </c>
      <c r="J763" s="50" t="str">
        <f>IF(I763="","",_xlfn.XLOOKUP(TRIM(I763),'SkillMasterSkill ID'!$C:$C,'SkillMasterSkill ID'!$F:$F,"NOT FOUND",0))</f>
        <v>NOT FOUND</v>
      </c>
      <c r="K763" s="50"/>
      <c r="L763" s="50"/>
    </row>
    <row r="764" spans="1:12" x14ac:dyDescent="0.25">
      <c r="A76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64">
        <v>10501</v>
      </c>
      <c r="C764" t="s">
        <v>156</v>
      </c>
      <c r="D764" s="46"/>
      <c r="E764" t="s">
        <v>1448</v>
      </c>
      <c r="F764" s="50"/>
      <c r="G764" t="s">
        <v>1724</v>
      </c>
      <c r="H764" t="s">
        <v>2515</v>
      </c>
      <c r="I764" t="s">
        <v>2516</v>
      </c>
      <c r="J764" s="50" t="str">
        <f>IF(I764="","",_xlfn.XLOOKUP(TRIM(I764),'SkillMasterSkill ID'!$C:$C,'SkillMasterSkill ID'!$F:$F,"NOT FOUND",0))</f>
        <v>NOT FOUND</v>
      </c>
      <c r="K764" s="50"/>
      <c r="L764" s="50"/>
    </row>
    <row r="765" spans="1:12" x14ac:dyDescent="0.25">
      <c r="A76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65">
        <v>10501</v>
      </c>
      <c r="C765" t="s">
        <v>156</v>
      </c>
      <c r="D765" s="46"/>
      <c r="E765" t="s">
        <v>1448</v>
      </c>
      <c r="F765" s="50"/>
      <c r="G765" t="s">
        <v>1622</v>
      </c>
      <c r="H765" t="s">
        <v>1285</v>
      </c>
      <c r="I765" t="s">
        <v>1447</v>
      </c>
      <c r="J765" s="50" t="str">
        <f>IF(I765="","",_xlfn.XLOOKUP(TRIM(I765),'SkillMasterSkill ID'!$C:$C,'SkillMasterSkill ID'!$F:$F,"NOT FOUND",0))</f>
        <v>NOT FOUND</v>
      </c>
      <c r="K765" s="50"/>
      <c r="L765" s="50"/>
    </row>
    <row r="766" spans="1:12" x14ac:dyDescent="0.25">
      <c r="A76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66">
        <v>10501</v>
      </c>
      <c r="C766" t="s">
        <v>156</v>
      </c>
      <c r="D766" s="46"/>
      <c r="E766" t="s">
        <v>961</v>
      </c>
      <c r="F766" s="50"/>
      <c r="G766" t="s">
        <v>2499</v>
      </c>
      <c r="H766" t="s">
        <v>2502</v>
      </c>
      <c r="I766" t="s">
        <v>2503</v>
      </c>
      <c r="J766" s="50" t="str">
        <f>IF(I766="","",_xlfn.XLOOKUP(TRIM(I766),'SkillMasterSkill ID'!$C:$C,'SkillMasterSkill ID'!$F:$F,"NOT FOUND",0))</f>
        <v>NOT FOUND</v>
      </c>
      <c r="K766" s="50"/>
      <c r="L766" s="50"/>
    </row>
    <row r="767" spans="1:12" x14ac:dyDescent="0.25">
      <c r="A76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67">
        <v>10501</v>
      </c>
      <c r="C767" t="s">
        <v>156</v>
      </c>
      <c r="D767" s="46"/>
      <c r="E767" t="s">
        <v>947</v>
      </c>
      <c r="F767" s="50"/>
      <c r="G767" t="s">
        <v>2507</v>
      </c>
      <c r="H767" t="s">
        <v>2508</v>
      </c>
      <c r="I767" t="s">
        <v>2509</v>
      </c>
      <c r="J767" s="50" t="str">
        <f>IF(I767="","",_xlfn.XLOOKUP(TRIM(I767),'SkillMasterSkill ID'!$C:$C,'SkillMasterSkill ID'!$F:$F,"NOT FOUND",0))</f>
        <v>NOT FOUND</v>
      </c>
      <c r="K767" s="50"/>
      <c r="L767" s="50"/>
    </row>
    <row r="768" spans="1:12" x14ac:dyDescent="0.25">
      <c r="A76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68">
        <v>10501</v>
      </c>
      <c r="C768" t="s">
        <v>156</v>
      </c>
      <c r="D768" s="46"/>
      <c r="E768" t="s">
        <v>965</v>
      </c>
      <c r="F768" s="50"/>
      <c r="G768" t="s">
        <v>2499</v>
      </c>
      <c r="H768" t="s">
        <v>2506</v>
      </c>
      <c r="I768" t="s">
        <v>1412</v>
      </c>
      <c r="J768" s="50" t="str">
        <f>IF(I768="","",_xlfn.XLOOKUP(TRIM(I768),'SkillMasterSkill ID'!$C:$C,'SkillMasterSkill ID'!$F:$F,"NOT FOUND",0))</f>
        <v>NOT FOUND</v>
      </c>
      <c r="K768" s="50"/>
      <c r="L768" s="50"/>
    </row>
    <row r="769" spans="1:12" x14ac:dyDescent="0.25">
      <c r="A76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69">
        <v>10501</v>
      </c>
      <c r="C769" t="s">
        <v>156</v>
      </c>
      <c r="D769" s="46"/>
      <c r="E769" t="s">
        <v>873</v>
      </c>
      <c r="F769" s="50"/>
      <c r="G769" t="s">
        <v>2499</v>
      </c>
      <c r="H769" t="s">
        <v>2504</v>
      </c>
      <c r="I769" t="s">
        <v>2505</v>
      </c>
      <c r="J769" s="50" t="str">
        <f>IF(I769="","",_xlfn.XLOOKUP(TRIM(I769),'SkillMasterSkill ID'!$C:$C,'SkillMasterSkill ID'!$F:$F,"NOT FOUND",0))</f>
        <v>NOT FOUND</v>
      </c>
      <c r="K769" s="50"/>
      <c r="L769" s="50"/>
    </row>
    <row r="770" spans="1:12" x14ac:dyDescent="0.25">
      <c r="A77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70">
        <v>10501</v>
      </c>
      <c r="C770" t="s">
        <v>156</v>
      </c>
      <c r="D770" s="46"/>
      <c r="E770" t="s">
        <v>2208</v>
      </c>
      <c r="F770" s="50"/>
      <c r="G770" t="s">
        <v>1622</v>
      </c>
      <c r="H770" t="s">
        <v>2492</v>
      </c>
      <c r="I770" t="s">
        <v>2493</v>
      </c>
      <c r="J770" s="50" t="str">
        <f>IF(I770="","",_xlfn.XLOOKUP(TRIM(I770),'SkillMasterSkill ID'!$C:$C,'SkillMasterSkill ID'!$F:$F,"NOT FOUND",0))</f>
        <v>NOT FOUND</v>
      </c>
      <c r="K770" s="50"/>
      <c r="L770" s="50"/>
    </row>
    <row r="771" spans="1:12" x14ac:dyDescent="0.25">
      <c r="A77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71">
        <v>10502</v>
      </c>
      <c r="C771" t="s">
        <v>187</v>
      </c>
      <c r="D771" s="46"/>
      <c r="E771" t="s">
        <v>873</v>
      </c>
      <c r="F771" s="50"/>
      <c r="G771" t="s">
        <v>2539</v>
      </c>
      <c r="H771" t="s">
        <v>1292</v>
      </c>
      <c r="I771" t="s">
        <v>2542</v>
      </c>
      <c r="J771" s="50" t="str">
        <f>IF(I771="","",_xlfn.XLOOKUP(TRIM(I771),'SkillMasterSkill ID'!$C:$C,'SkillMasterSkill ID'!$F:$F,"NOT FOUND",0))</f>
        <v>NOT FOUND</v>
      </c>
      <c r="K771" s="50"/>
      <c r="L771" s="50"/>
    </row>
    <row r="772" spans="1:12" x14ac:dyDescent="0.25">
      <c r="A77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72">
        <v>10502</v>
      </c>
      <c r="C772" t="s">
        <v>187</v>
      </c>
      <c r="D772" s="46"/>
      <c r="E772" t="s">
        <v>1476</v>
      </c>
      <c r="F772" s="50"/>
      <c r="G772" t="s">
        <v>2256</v>
      </c>
      <c r="H772" t="s">
        <v>2257</v>
      </c>
      <c r="I772" t="s">
        <v>2258</v>
      </c>
      <c r="J772" s="50" t="str">
        <f>IF(I772="","",_xlfn.XLOOKUP(TRIM(I772),'SkillMasterSkill ID'!$C:$C,'SkillMasterSkill ID'!$F:$F,"NOT FOUND",0))</f>
        <v>NOT FOUND</v>
      </c>
      <c r="K772" s="50"/>
      <c r="L772" s="50"/>
    </row>
    <row r="773" spans="1:12" x14ac:dyDescent="0.25">
      <c r="A77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73">
        <v>10502</v>
      </c>
      <c r="C773" t="s">
        <v>187</v>
      </c>
      <c r="D773" s="46"/>
      <c r="E773" t="s">
        <v>2215</v>
      </c>
      <c r="F773" s="50"/>
      <c r="G773" t="s">
        <v>1622</v>
      </c>
      <c r="H773" t="s">
        <v>2535</v>
      </c>
      <c r="I773" t="s">
        <v>2536</v>
      </c>
      <c r="J773" s="50" t="str">
        <f>IF(I773="","",_xlfn.XLOOKUP(TRIM(I773),'SkillMasterSkill ID'!$C:$C,'SkillMasterSkill ID'!$F:$F,"NOT FOUND",0))</f>
        <v>NOT FOUND</v>
      </c>
      <c r="K773" s="50"/>
      <c r="L773" s="50"/>
    </row>
    <row r="774" spans="1:12" x14ac:dyDescent="0.25">
      <c r="A77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74">
        <v>10502</v>
      </c>
      <c r="C774" t="s">
        <v>187</v>
      </c>
      <c r="D774" s="46"/>
      <c r="E774" t="s">
        <v>2522</v>
      </c>
      <c r="F774" s="50"/>
      <c r="G774" t="s">
        <v>2559</v>
      </c>
      <c r="H774" t="s">
        <v>2560</v>
      </c>
      <c r="I774" t="s">
        <v>2561</v>
      </c>
      <c r="J774" s="50" t="str">
        <f>IF(I774="","",_xlfn.XLOOKUP(TRIM(I774),'SkillMasterSkill ID'!$C:$C,'SkillMasterSkill ID'!$F:$F,"NOT FOUND",0))</f>
        <v>NOT FOUND</v>
      </c>
      <c r="K774" s="50"/>
      <c r="L774" s="50"/>
    </row>
    <row r="775" spans="1:12" x14ac:dyDescent="0.25">
      <c r="A77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75">
        <v>10502</v>
      </c>
      <c r="C775" t="s">
        <v>187</v>
      </c>
      <c r="D775" s="46"/>
      <c r="E775" t="s">
        <v>872</v>
      </c>
      <c r="F775" s="50"/>
      <c r="G775" t="s">
        <v>2539</v>
      </c>
      <c r="H775" t="s">
        <v>2540</v>
      </c>
      <c r="I775" t="s">
        <v>2541</v>
      </c>
      <c r="J775" s="50" t="str">
        <f>IF(I775="","",_xlfn.XLOOKUP(TRIM(I775),'SkillMasterSkill ID'!$C:$C,'SkillMasterSkill ID'!$F:$F,"NOT FOUND",0))</f>
        <v>NOT FOUND</v>
      </c>
      <c r="K775" s="50"/>
      <c r="L775" s="50"/>
    </row>
    <row r="776" spans="1:12" x14ac:dyDescent="0.25">
      <c r="A77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76">
        <v>10502</v>
      </c>
      <c r="C776" t="s">
        <v>187</v>
      </c>
      <c r="D776" s="46"/>
      <c r="E776" t="s">
        <v>2208</v>
      </c>
      <c r="F776" s="50"/>
      <c r="G776" t="s">
        <v>1622</v>
      </c>
      <c r="H776" t="s">
        <v>2533</v>
      </c>
      <c r="I776" t="s">
        <v>2534</v>
      </c>
      <c r="J776" s="50" t="str">
        <f>IF(I776="","",_xlfn.XLOOKUP(TRIM(I776),'SkillMasterSkill ID'!$C:$C,'SkillMasterSkill ID'!$F:$F,"NOT FOUND",0))</f>
        <v>NOT FOUND</v>
      </c>
      <c r="K776" s="50"/>
      <c r="L776" s="50"/>
    </row>
    <row r="777" spans="1:12" x14ac:dyDescent="0.25">
      <c r="A77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77">
        <v>10502</v>
      </c>
      <c r="C777" t="s">
        <v>187</v>
      </c>
      <c r="D777" s="46"/>
      <c r="E777" t="s">
        <v>951</v>
      </c>
      <c r="F777" s="50"/>
      <c r="G777" t="s">
        <v>2256</v>
      </c>
      <c r="H777" t="s">
        <v>2566</v>
      </c>
      <c r="I777" t="s">
        <v>2567</v>
      </c>
      <c r="J777" s="50" t="str">
        <f>IF(I777="","",_xlfn.XLOOKUP(TRIM(I777),'SkillMasterSkill ID'!$C:$C,'SkillMasterSkill ID'!$F:$F,"NOT FOUND",0))</f>
        <v>NOT FOUND</v>
      </c>
      <c r="K777" s="50"/>
      <c r="L777" s="50"/>
    </row>
    <row r="778" spans="1:12" x14ac:dyDescent="0.25">
      <c r="A77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78">
        <v>10502</v>
      </c>
      <c r="C778" t="s">
        <v>187</v>
      </c>
      <c r="D778" s="46"/>
      <c r="E778" t="s">
        <v>2519</v>
      </c>
      <c r="F778" s="50"/>
      <c r="G778" t="s">
        <v>2553</v>
      </c>
      <c r="H778" t="s">
        <v>2555</v>
      </c>
      <c r="I778" t="s">
        <v>2556</v>
      </c>
      <c r="J778" s="50" t="str">
        <f>IF(I778="","",_xlfn.XLOOKUP(TRIM(I778),'SkillMasterSkill ID'!$C:$C,'SkillMasterSkill ID'!$F:$F,"NOT FOUND",0))</f>
        <v>NOT FOUND</v>
      </c>
      <c r="K778" s="50"/>
      <c r="L778" s="50"/>
    </row>
    <row r="779" spans="1:12" x14ac:dyDescent="0.25">
      <c r="A77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79">
        <v>10502</v>
      </c>
      <c r="C779" t="s">
        <v>187</v>
      </c>
      <c r="D779" s="46"/>
      <c r="E779" t="s">
        <v>816</v>
      </c>
      <c r="F779" s="50"/>
      <c r="G779" t="s">
        <v>2546</v>
      </c>
      <c r="H779" t="s">
        <v>2549</v>
      </c>
      <c r="I779" t="s">
        <v>2550</v>
      </c>
      <c r="J779" s="50" t="str">
        <f>IF(I779="","",_xlfn.XLOOKUP(TRIM(I779),'SkillMasterSkill ID'!$C:$C,'SkillMasterSkill ID'!$F:$F,"NOT FOUND",0))</f>
        <v>NOT FOUND</v>
      </c>
      <c r="K779" s="50"/>
      <c r="L779" s="50"/>
    </row>
    <row r="780" spans="1:12" x14ac:dyDescent="0.25">
      <c r="A78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80">
        <v>10502</v>
      </c>
      <c r="C780" t="s">
        <v>187</v>
      </c>
      <c r="D780" s="46"/>
      <c r="E780" t="s">
        <v>2207</v>
      </c>
      <c r="F780" s="50"/>
      <c r="G780" t="s">
        <v>1622</v>
      </c>
      <c r="H780" t="s">
        <v>2529</v>
      </c>
      <c r="I780" t="s">
        <v>2530</v>
      </c>
      <c r="J780" s="50" t="str">
        <f>IF(I780="","",_xlfn.XLOOKUP(TRIM(I780),'SkillMasterSkill ID'!$C:$C,'SkillMasterSkill ID'!$F:$F,"NOT FOUND",0))</f>
        <v>NOT FOUND</v>
      </c>
      <c r="K780" s="50"/>
      <c r="L780" s="50"/>
    </row>
    <row r="781" spans="1:12" x14ac:dyDescent="0.25">
      <c r="A78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81">
        <v>10502</v>
      </c>
      <c r="C781" t="s">
        <v>187</v>
      </c>
      <c r="D781" s="46"/>
      <c r="E781" t="s">
        <v>965</v>
      </c>
      <c r="F781" s="50"/>
      <c r="G781" t="s">
        <v>2539</v>
      </c>
      <c r="H781" t="s">
        <v>2545</v>
      </c>
      <c r="I781" t="s">
        <v>2388</v>
      </c>
      <c r="J781" s="50" t="str">
        <f>IF(I781="","",_xlfn.XLOOKUP(TRIM(I781),'SkillMasterSkill ID'!$C:$C,'SkillMasterSkill ID'!$F:$F,"NOT FOUND",0))</f>
        <v>NOT FOUND</v>
      </c>
      <c r="K781" s="50"/>
      <c r="L781" s="50"/>
    </row>
    <row r="782" spans="1:12" x14ac:dyDescent="0.25">
      <c r="A78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82">
        <v>10502</v>
      </c>
      <c r="C782" t="s">
        <v>187</v>
      </c>
      <c r="D782" s="46"/>
      <c r="E782" t="s">
        <v>874</v>
      </c>
      <c r="F782" s="50"/>
      <c r="G782" t="s">
        <v>2559</v>
      </c>
      <c r="H782" t="s">
        <v>2562</v>
      </c>
      <c r="I782" t="s">
        <v>2563</v>
      </c>
      <c r="J782" s="50" t="str">
        <f>IF(I782="","",_xlfn.XLOOKUP(TRIM(I782),'SkillMasterSkill ID'!$C:$C,'SkillMasterSkill ID'!$F:$F,"NOT FOUND",0))</f>
        <v>NOT FOUND</v>
      </c>
      <c r="K782" s="50"/>
      <c r="L782" s="50"/>
    </row>
    <row r="783" spans="1:12" x14ac:dyDescent="0.25">
      <c r="A78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83">
        <v>10502</v>
      </c>
      <c r="C783" t="s">
        <v>187</v>
      </c>
      <c r="D783" s="46"/>
      <c r="E783" t="s">
        <v>1457</v>
      </c>
      <c r="F783" s="50"/>
      <c r="G783" t="s">
        <v>2546</v>
      </c>
      <c r="H783" t="s">
        <v>2551</v>
      </c>
      <c r="I783" t="s">
        <v>2552</v>
      </c>
      <c r="J783" s="50" t="str">
        <f>IF(I783="","",_xlfn.XLOOKUP(TRIM(I783),'SkillMasterSkill ID'!$C:$C,'SkillMasterSkill ID'!$F:$F,"NOT FOUND",0))</f>
        <v>NOT FOUND</v>
      </c>
      <c r="K783" s="50"/>
      <c r="L783" s="50"/>
    </row>
    <row r="784" spans="1:12" x14ac:dyDescent="0.25">
      <c r="A78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84">
        <v>10502</v>
      </c>
      <c r="C784" t="s">
        <v>187</v>
      </c>
      <c r="D784" s="46"/>
      <c r="E784" t="s">
        <v>871</v>
      </c>
      <c r="F784" s="50"/>
      <c r="G784" t="s">
        <v>1622</v>
      </c>
      <c r="H784" t="s">
        <v>2531</v>
      </c>
      <c r="I784" t="s">
        <v>2532</v>
      </c>
      <c r="J784" s="50" t="str">
        <f>IF(I784="","",_xlfn.XLOOKUP(TRIM(I784),'SkillMasterSkill ID'!$C:$C,'SkillMasterSkill ID'!$F:$F,"NOT FOUND",0))</f>
        <v>NOT FOUND</v>
      </c>
      <c r="K784" s="50"/>
      <c r="L784" s="50"/>
    </row>
    <row r="785" spans="1:12" x14ac:dyDescent="0.25">
      <c r="A78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85">
        <v>10502</v>
      </c>
      <c r="C785" t="s">
        <v>187</v>
      </c>
      <c r="D785" s="46"/>
      <c r="E785" t="s">
        <v>1448</v>
      </c>
      <c r="F785" s="50"/>
      <c r="G785" t="s">
        <v>2553</v>
      </c>
      <c r="H785" t="s">
        <v>1295</v>
      </c>
      <c r="I785" t="s">
        <v>2554</v>
      </c>
      <c r="J785" s="50" t="str">
        <f>IF(I785="","",_xlfn.XLOOKUP(TRIM(I785),'SkillMasterSkill ID'!$C:$C,'SkillMasterSkill ID'!$F:$F,"NOT FOUND",0))</f>
        <v>NOT FOUND</v>
      </c>
      <c r="K785" s="50"/>
      <c r="L785" s="50"/>
    </row>
    <row r="786" spans="1:12" x14ac:dyDescent="0.25">
      <c r="A78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86">
        <v>10502</v>
      </c>
      <c r="C786" t="s">
        <v>187</v>
      </c>
      <c r="D786" s="46"/>
      <c r="E786" t="s">
        <v>1448</v>
      </c>
      <c r="F786" s="50"/>
      <c r="G786" t="s">
        <v>1622</v>
      </c>
      <c r="H786" t="s">
        <v>2527</v>
      </c>
      <c r="I786" t="s">
        <v>2528</v>
      </c>
      <c r="J786" s="50" t="str">
        <f>IF(I786="","",_xlfn.XLOOKUP(TRIM(I786),'SkillMasterSkill ID'!$C:$C,'SkillMasterSkill ID'!$F:$F,"NOT FOUND",0))</f>
        <v>NOT FOUND</v>
      </c>
      <c r="K786" s="50"/>
      <c r="L786" s="50"/>
    </row>
    <row r="787" spans="1:12" x14ac:dyDescent="0.25">
      <c r="A78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87">
        <v>10502</v>
      </c>
      <c r="C787" t="s">
        <v>187</v>
      </c>
      <c r="D787" s="46"/>
      <c r="E787" t="s">
        <v>816</v>
      </c>
      <c r="F787" s="50"/>
      <c r="G787" t="s">
        <v>2546</v>
      </c>
      <c r="H787" t="s">
        <v>2547</v>
      </c>
      <c r="I787" t="s">
        <v>2548</v>
      </c>
      <c r="J787" s="50" t="str">
        <f>IF(I787="","",_xlfn.XLOOKUP(TRIM(I787),'SkillMasterSkill ID'!$C:$C,'SkillMasterSkill ID'!$F:$F,"NOT FOUND",0))</f>
        <v>NOT FOUND</v>
      </c>
      <c r="K787" s="50"/>
      <c r="L787" s="50"/>
    </row>
    <row r="788" spans="1:12" x14ac:dyDescent="0.25">
      <c r="A78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88">
        <v>10502</v>
      </c>
      <c r="C788" t="s">
        <v>187</v>
      </c>
      <c r="D788" s="46"/>
      <c r="E788" t="s">
        <v>874</v>
      </c>
      <c r="F788" s="50"/>
      <c r="G788" t="s">
        <v>1622</v>
      </c>
      <c r="H788" t="s">
        <v>2537</v>
      </c>
      <c r="I788" t="s">
        <v>2538</v>
      </c>
      <c r="J788" s="50" t="str">
        <f>IF(I788="","",_xlfn.XLOOKUP(TRIM(I788),'SkillMasterSkill ID'!$C:$C,'SkillMasterSkill ID'!$F:$F,"NOT FOUND",0))</f>
        <v>NOT FOUND</v>
      </c>
      <c r="K788" s="50"/>
      <c r="L788" s="50"/>
    </row>
    <row r="789" spans="1:12" x14ac:dyDescent="0.25">
      <c r="A78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89">
        <v>10502</v>
      </c>
      <c r="C789" t="s">
        <v>187</v>
      </c>
      <c r="D789" s="46"/>
      <c r="E789" t="s">
        <v>953</v>
      </c>
      <c r="F789" s="50"/>
      <c r="G789" t="s">
        <v>2553</v>
      </c>
      <c r="H789" t="s">
        <v>2557</v>
      </c>
      <c r="I789" t="s">
        <v>2558</v>
      </c>
      <c r="J789" s="50" t="str">
        <f>IF(I789="","",_xlfn.XLOOKUP(TRIM(I789),'SkillMasterSkill ID'!$C:$C,'SkillMasterSkill ID'!$F:$F,"NOT FOUND",0))</f>
        <v>NOT FOUND</v>
      </c>
      <c r="K789" s="50"/>
      <c r="L789" s="50"/>
    </row>
    <row r="790" spans="1:12" x14ac:dyDescent="0.25">
      <c r="A79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90">
        <v>10502</v>
      </c>
      <c r="C790" t="s">
        <v>187</v>
      </c>
      <c r="D790" s="46"/>
      <c r="E790" t="s">
        <v>871</v>
      </c>
      <c r="F790" s="50"/>
      <c r="G790" t="s">
        <v>2559</v>
      </c>
      <c r="H790" t="s">
        <v>2564</v>
      </c>
      <c r="I790" t="s">
        <v>2565</v>
      </c>
      <c r="J790" s="50" t="str">
        <f>IF(I790="","",_xlfn.XLOOKUP(TRIM(I790),'SkillMasterSkill ID'!$C:$C,'SkillMasterSkill ID'!$F:$F,"NOT FOUND",0))</f>
        <v>NOT FOUND</v>
      </c>
      <c r="K790" s="50"/>
      <c r="L790" s="50"/>
    </row>
    <row r="791" spans="1:12" x14ac:dyDescent="0.25">
      <c r="A79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91">
        <v>10502</v>
      </c>
      <c r="C791" t="s">
        <v>187</v>
      </c>
      <c r="D791" s="46"/>
      <c r="E791" t="s">
        <v>961</v>
      </c>
      <c r="F791" s="50"/>
      <c r="G791" t="s">
        <v>2539</v>
      </c>
      <c r="H791" t="s">
        <v>2543</v>
      </c>
      <c r="I791" t="s">
        <v>2544</v>
      </c>
      <c r="J791" s="50" t="str">
        <f>IF(I791="","",_xlfn.XLOOKUP(TRIM(I791),'SkillMasterSkill ID'!$C:$C,'SkillMasterSkill ID'!$F:$F,"NOT FOUND",0))</f>
        <v>NOT FOUND</v>
      </c>
      <c r="K791" s="50"/>
      <c r="L791" s="50"/>
    </row>
    <row r="792" spans="1:12" x14ac:dyDescent="0.25">
      <c r="A79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92">
        <v>10503</v>
      </c>
      <c r="C792" t="s">
        <v>164</v>
      </c>
      <c r="D792" s="46"/>
      <c r="E792" t="s">
        <v>2582</v>
      </c>
      <c r="F792" s="50"/>
      <c r="G792" t="s">
        <v>2577</v>
      </c>
      <c r="H792" t="s">
        <v>2583</v>
      </c>
      <c r="I792" t="s">
        <v>885</v>
      </c>
      <c r="J792" s="50" t="str">
        <f>IF(I792="","",_xlfn.XLOOKUP(TRIM(I792),'SkillMasterSkill ID'!$C:$C,'SkillMasterSkill ID'!$F:$F,"NOT FOUND",0))</f>
        <v>Ability to set expectations, enforce accountability, and initiate timely corrective action when performance deviates.</v>
      </c>
      <c r="K792" s="50"/>
      <c r="L792" s="50"/>
    </row>
    <row r="793" spans="1:12" x14ac:dyDescent="0.25">
      <c r="A79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93">
        <v>10503</v>
      </c>
      <c r="C793" t="s">
        <v>164</v>
      </c>
      <c r="D793" s="46"/>
      <c r="E793" t="s">
        <v>874</v>
      </c>
      <c r="F793" s="50"/>
      <c r="G793" t="s">
        <v>1622</v>
      </c>
      <c r="H793" t="s">
        <v>2537</v>
      </c>
      <c r="I793" t="s">
        <v>2576</v>
      </c>
      <c r="J793" s="50" t="str">
        <f>IF(I793="","",_xlfn.XLOOKUP(TRIM(I793),'SkillMasterSkill ID'!$C:$C,'SkillMasterSkill ID'!$F:$F,"NOT FOUND",0))</f>
        <v>NOT FOUND</v>
      </c>
      <c r="K793" s="50"/>
      <c r="L793" s="50"/>
    </row>
    <row r="794" spans="1:12" x14ac:dyDescent="0.25">
      <c r="A79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94">
        <v>10503</v>
      </c>
      <c r="C794" t="s">
        <v>164</v>
      </c>
      <c r="D794" s="46"/>
      <c r="E794" t="s">
        <v>1476</v>
      </c>
      <c r="F794" s="50"/>
      <c r="G794" t="s">
        <v>2603</v>
      </c>
      <c r="H794" t="s">
        <v>2257</v>
      </c>
      <c r="I794" t="s">
        <v>2313</v>
      </c>
      <c r="J794" s="50" t="str">
        <f>IF(I794="","",_xlfn.XLOOKUP(TRIM(I794),'SkillMasterSkill ID'!$C:$C,'SkillMasterSkill ID'!$F:$F,"NOT FOUND",0))</f>
        <v>NOT FOUND</v>
      </c>
      <c r="K794" s="50"/>
      <c r="L794" s="50"/>
    </row>
    <row r="795" spans="1:12" x14ac:dyDescent="0.25">
      <c r="A79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95">
        <v>10503</v>
      </c>
      <c r="C795" t="s">
        <v>164</v>
      </c>
      <c r="D795" s="46"/>
      <c r="E795" t="s">
        <v>961</v>
      </c>
      <c r="F795" s="50"/>
      <c r="G795" t="s">
        <v>2591</v>
      </c>
      <c r="H795" t="s">
        <v>2594</v>
      </c>
      <c r="I795" t="s">
        <v>2595</v>
      </c>
      <c r="J795" s="50" t="str">
        <f>IF(I795="","",_xlfn.XLOOKUP(TRIM(I795),'SkillMasterSkill ID'!$C:$C,'SkillMasterSkill ID'!$F:$F,"NOT FOUND",0))</f>
        <v>NOT FOUND</v>
      </c>
      <c r="K795" s="50"/>
      <c r="L795" s="50"/>
    </row>
    <row r="796" spans="1:12" x14ac:dyDescent="0.25">
      <c r="A79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96">
        <v>10503</v>
      </c>
      <c r="C796" t="s">
        <v>164</v>
      </c>
      <c r="D796" s="46"/>
      <c r="E796" t="s">
        <v>873</v>
      </c>
      <c r="F796" s="50"/>
      <c r="G796" t="s">
        <v>2591</v>
      </c>
      <c r="H796" t="s">
        <v>2592</v>
      </c>
      <c r="I796" t="s">
        <v>2593</v>
      </c>
      <c r="J796" s="50" t="str">
        <f>IF(I796="","",_xlfn.XLOOKUP(TRIM(I796),'SkillMasterSkill ID'!$C:$C,'SkillMasterSkill ID'!$F:$F,"NOT FOUND",0))</f>
        <v>NOT FOUND</v>
      </c>
      <c r="K796" s="50"/>
      <c r="L796" s="50"/>
    </row>
    <row r="797" spans="1:12" x14ac:dyDescent="0.25">
      <c r="A79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97">
        <v>10503</v>
      </c>
      <c r="C797" t="s">
        <v>164</v>
      </c>
      <c r="D797" s="46"/>
      <c r="E797" t="s">
        <v>2208</v>
      </c>
      <c r="F797" s="50"/>
      <c r="G797" t="s">
        <v>1622</v>
      </c>
      <c r="H797" t="s">
        <v>2573</v>
      </c>
      <c r="I797" t="s">
        <v>2574</v>
      </c>
      <c r="J797" s="50" t="str">
        <f>IF(I797="","",_xlfn.XLOOKUP(TRIM(I797),'SkillMasterSkill ID'!$C:$C,'SkillMasterSkill ID'!$F:$F,"NOT FOUND",0))</f>
        <v>NOT FOUND</v>
      </c>
      <c r="K797" s="50"/>
      <c r="L797" s="50"/>
    </row>
    <row r="798" spans="1:12" x14ac:dyDescent="0.25">
      <c r="A79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98">
        <v>10503</v>
      </c>
      <c r="C798" t="s">
        <v>164</v>
      </c>
      <c r="D798" s="46"/>
      <c r="E798" t="s">
        <v>872</v>
      </c>
      <c r="F798" s="50"/>
      <c r="G798" t="s">
        <v>2577</v>
      </c>
      <c r="H798" t="s">
        <v>2578</v>
      </c>
      <c r="I798" t="s">
        <v>2579</v>
      </c>
      <c r="J798" s="50" t="str">
        <f>IF(I798="","",_xlfn.XLOOKUP(TRIM(I798),'SkillMasterSkill ID'!$C:$C,'SkillMasterSkill ID'!$F:$F,"NOT FOUND",0))</f>
        <v>NOT FOUND</v>
      </c>
      <c r="K798" s="50"/>
      <c r="L798" s="50"/>
    </row>
    <row r="799" spans="1:12" x14ac:dyDescent="0.25">
      <c r="A79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799">
        <v>10503</v>
      </c>
      <c r="C799" t="s">
        <v>164</v>
      </c>
      <c r="D799" s="46"/>
      <c r="E799" t="s">
        <v>1457</v>
      </c>
      <c r="F799" s="50"/>
      <c r="G799" t="s">
        <v>2584</v>
      </c>
      <c r="H799" t="s">
        <v>2585</v>
      </c>
      <c r="I799" t="s">
        <v>2586</v>
      </c>
      <c r="J799" s="50" t="str">
        <f>IF(I799="","",_xlfn.XLOOKUP(TRIM(I799),'SkillMasterSkill ID'!$C:$C,'SkillMasterSkill ID'!$F:$F,"NOT FOUND",0))</f>
        <v>NOT FOUND</v>
      </c>
      <c r="K799" s="50"/>
      <c r="L799" s="50"/>
    </row>
    <row r="800" spans="1:12" x14ac:dyDescent="0.25">
      <c r="A80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00">
        <v>10503</v>
      </c>
      <c r="C800" t="s">
        <v>164</v>
      </c>
      <c r="D800" s="46"/>
      <c r="E800" t="s">
        <v>2522</v>
      </c>
      <c r="F800" s="50"/>
      <c r="G800" t="s">
        <v>2598</v>
      </c>
      <c r="H800" t="s">
        <v>2599</v>
      </c>
      <c r="I800" t="s">
        <v>942</v>
      </c>
      <c r="J800" s="50" t="str">
        <f>IF(I800="","",_xlfn.XLOOKUP(TRIM(I800),'SkillMasterSkill ID'!$C:$C,'SkillMasterSkill ID'!$F:$F,"NOT FOUND",0))</f>
        <v>Ability to lead effectively through presence, standards, and influenceâ€”aligning teams without micromanaging.</v>
      </c>
      <c r="K800" s="50"/>
      <c r="L800" s="50"/>
    </row>
    <row r="801" spans="1:12" x14ac:dyDescent="0.25">
      <c r="A80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01">
        <v>10503</v>
      </c>
      <c r="C801" t="s">
        <v>164</v>
      </c>
      <c r="D801" s="46"/>
      <c r="E801" t="s">
        <v>965</v>
      </c>
      <c r="F801" s="50"/>
      <c r="G801" t="s">
        <v>2591</v>
      </c>
      <c r="H801" t="s">
        <v>2596</v>
      </c>
      <c r="I801" t="s">
        <v>2597</v>
      </c>
      <c r="J801" s="50" t="str">
        <f>IF(I801="","",_xlfn.XLOOKUP(TRIM(I801),'SkillMasterSkill ID'!$C:$C,'SkillMasterSkill ID'!$F:$F,"NOT FOUND",0))</f>
        <v>NOT FOUND</v>
      </c>
      <c r="K801" s="50"/>
      <c r="L801" s="50"/>
    </row>
    <row r="802" spans="1:12" x14ac:dyDescent="0.25">
      <c r="A80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02">
        <v>10503</v>
      </c>
      <c r="C802" t="s">
        <v>164</v>
      </c>
      <c r="D802" s="46"/>
      <c r="E802" t="s">
        <v>2215</v>
      </c>
      <c r="F802" s="50"/>
      <c r="G802" t="s">
        <v>1622</v>
      </c>
      <c r="H802" t="s">
        <v>2575</v>
      </c>
      <c r="I802" t="s">
        <v>2496</v>
      </c>
      <c r="J802" s="50" t="str">
        <f>IF(I802="","",_xlfn.XLOOKUP(TRIM(I802),'SkillMasterSkill ID'!$C:$C,'SkillMasterSkill ID'!$F:$F,"NOT FOUND",0))</f>
        <v>NOT FOUND</v>
      </c>
      <c r="K802" s="50"/>
      <c r="L802" s="50"/>
    </row>
    <row r="803" spans="1:12" x14ac:dyDescent="0.25">
      <c r="A80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03">
        <v>10503</v>
      </c>
      <c r="C803" t="s">
        <v>164</v>
      </c>
      <c r="D803" s="46"/>
      <c r="E803" t="s">
        <v>2519</v>
      </c>
      <c r="F803" s="50"/>
      <c r="G803" t="s">
        <v>2603</v>
      </c>
      <c r="H803" t="s">
        <v>2604</v>
      </c>
      <c r="I803" t="s">
        <v>2567</v>
      </c>
      <c r="J803" s="50" t="str">
        <f>IF(I803="","",_xlfn.XLOOKUP(TRIM(I803),'SkillMasterSkill ID'!$C:$C,'SkillMasterSkill ID'!$F:$F,"NOT FOUND",0))</f>
        <v>NOT FOUND</v>
      </c>
      <c r="K803" s="50"/>
      <c r="L803" s="50"/>
    </row>
    <row r="804" spans="1:12" x14ac:dyDescent="0.25">
      <c r="A80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04">
        <v>10503</v>
      </c>
      <c r="C804" t="s">
        <v>164</v>
      </c>
      <c r="D804" s="46"/>
      <c r="E804" t="s">
        <v>947</v>
      </c>
      <c r="F804" s="50"/>
      <c r="G804" t="s">
        <v>2598</v>
      </c>
      <c r="H804" t="s">
        <v>2601</v>
      </c>
      <c r="I804" t="s">
        <v>2602</v>
      </c>
      <c r="J804" s="50" t="str">
        <f>IF(I804="","",_xlfn.XLOOKUP(TRIM(I804),'SkillMasterSkill ID'!$C:$C,'SkillMasterSkill ID'!$F:$F,"NOT FOUND",0))</f>
        <v>NOT FOUND</v>
      </c>
      <c r="K804" s="50"/>
      <c r="L804" s="50"/>
    </row>
    <row r="805" spans="1:12" x14ac:dyDescent="0.25">
      <c r="A80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05">
        <v>10503</v>
      </c>
      <c r="C805" t="s">
        <v>164</v>
      </c>
      <c r="D805" s="46"/>
      <c r="E805" t="s">
        <v>874</v>
      </c>
      <c r="F805" s="50"/>
      <c r="G805" t="s">
        <v>2598</v>
      </c>
      <c r="H805" t="s">
        <v>2600</v>
      </c>
      <c r="I805" t="s">
        <v>2563</v>
      </c>
      <c r="J805" s="50" t="str">
        <f>IF(I805="","",_xlfn.XLOOKUP(TRIM(I805),'SkillMasterSkill ID'!$C:$C,'SkillMasterSkill ID'!$F:$F,"NOT FOUND",0))</f>
        <v>NOT FOUND</v>
      </c>
      <c r="K805" s="50"/>
      <c r="L805" s="50"/>
    </row>
    <row r="806" spans="1:12" x14ac:dyDescent="0.25">
      <c r="A80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06">
        <v>10503</v>
      </c>
      <c r="C806" t="s">
        <v>164</v>
      </c>
      <c r="D806" s="46"/>
      <c r="E806" t="s">
        <v>1457</v>
      </c>
      <c r="F806" s="50"/>
      <c r="G806" t="s">
        <v>2584</v>
      </c>
      <c r="H806" t="s">
        <v>2589</v>
      </c>
      <c r="I806" t="s">
        <v>2590</v>
      </c>
      <c r="J806" s="50" t="str">
        <f>IF(I806="","",_xlfn.XLOOKUP(TRIM(I806),'SkillMasterSkill ID'!$C:$C,'SkillMasterSkill ID'!$F:$F,"NOT FOUND",0))</f>
        <v>NOT FOUND</v>
      </c>
      <c r="K806" s="50"/>
      <c r="L806" s="50"/>
    </row>
    <row r="807" spans="1:12" x14ac:dyDescent="0.25">
      <c r="A80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07">
        <v>10503</v>
      </c>
      <c r="C807" t="s">
        <v>164</v>
      </c>
      <c r="D807" s="46"/>
      <c r="E807" t="s">
        <v>872</v>
      </c>
      <c r="F807" s="50"/>
      <c r="G807" t="s">
        <v>2577</v>
      </c>
      <c r="H807" t="s">
        <v>2580</v>
      </c>
      <c r="I807" t="s">
        <v>2581</v>
      </c>
      <c r="J807" s="50" t="str">
        <f>IF(I807="","",_xlfn.XLOOKUP(TRIM(I807),'SkillMasterSkill ID'!$C:$C,'SkillMasterSkill ID'!$F:$F,"NOT FOUND",0))</f>
        <v>NOT FOUND</v>
      </c>
      <c r="K807" s="50"/>
      <c r="L807" s="50"/>
    </row>
    <row r="808" spans="1:12" x14ac:dyDescent="0.25">
      <c r="A80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08">
        <v>10503</v>
      </c>
      <c r="C808" t="s">
        <v>164</v>
      </c>
      <c r="D808" s="46"/>
      <c r="E808" t="s">
        <v>871</v>
      </c>
      <c r="F808" s="50"/>
      <c r="G808" t="s">
        <v>1622</v>
      </c>
      <c r="H808" t="s">
        <v>2571</v>
      </c>
      <c r="I808" t="s">
        <v>2572</v>
      </c>
      <c r="J808" s="50" t="str">
        <f>IF(I808="","",_xlfn.XLOOKUP(TRIM(I808),'SkillMasterSkill ID'!$C:$C,'SkillMasterSkill ID'!$F:$F,"NOT FOUND",0))</f>
        <v>NOT FOUND</v>
      </c>
      <c r="K808" s="50"/>
      <c r="L808" s="50"/>
    </row>
    <row r="809" spans="1:12" x14ac:dyDescent="0.25">
      <c r="A80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09">
        <v>10503</v>
      </c>
      <c r="C809" t="s">
        <v>164</v>
      </c>
      <c r="D809" s="46"/>
      <c r="E809" t="s">
        <v>1457</v>
      </c>
      <c r="F809" s="50"/>
      <c r="G809" t="s">
        <v>2584</v>
      </c>
      <c r="H809" t="s">
        <v>2587</v>
      </c>
      <c r="I809" t="s">
        <v>2588</v>
      </c>
      <c r="J809" s="50" t="str">
        <f>IF(I809="","",_xlfn.XLOOKUP(TRIM(I809),'SkillMasterSkill ID'!$C:$C,'SkillMasterSkill ID'!$F:$F,"NOT FOUND",0))</f>
        <v>NOT FOUND</v>
      </c>
      <c r="K809" s="50"/>
      <c r="L809" s="50"/>
    </row>
    <row r="810" spans="1:12" x14ac:dyDescent="0.25">
      <c r="A81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10">
        <v>10503</v>
      </c>
      <c r="C810" t="s">
        <v>164</v>
      </c>
      <c r="D810" s="46"/>
      <c r="E810" t="s">
        <v>951</v>
      </c>
      <c r="F810" s="50"/>
      <c r="G810" t="s">
        <v>2603</v>
      </c>
      <c r="H810" t="s">
        <v>2607</v>
      </c>
      <c r="I810" t="s">
        <v>2608</v>
      </c>
      <c r="J810" s="50" t="str">
        <f>IF(I810="","",_xlfn.XLOOKUP(TRIM(I810),'SkillMasterSkill ID'!$C:$C,'SkillMasterSkill ID'!$F:$F,"NOT FOUND",0))</f>
        <v>NOT FOUND</v>
      </c>
      <c r="K810" s="50"/>
      <c r="L810" s="50"/>
    </row>
    <row r="811" spans="1:12" x14ac:dyDescent="0.25">
      <c r="A81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11">
        <v>10503</v>
      </c>
      <c r="C811" t="s">
        <v>164</v>
      </c>
      <c r="D811" s="46"/>
      <c r="E811" t="s">
        <v>2207</v>
      </c>
      <c r="F811" s="50"/>
      <c r="G811" t="s">
        <v>1622</v>
      </c>
      <c r="H811" t="s">
        <v>2569</v>
      </c>
      <c r="I811" t="s">
        <v>2570</v>
      </c>
      <c r="J811" s="50" t="str">
        <f>IF(I811="","",_xlfn.XLOOKUP(TRIM(I811),'SkillMasterSkill ID'!$C:$C,'SkillMasterSkill ID'!$F:$F,"NOT FOUND",0))</f>
        <v>NOT FOUND</v>
      </c>
      <c r="K811" s="50"/>
      <c r="L811" s="50"/>
    </row>
    <row r="812" spans="1:12" x14ac:dyDescent="0.25">
      <c r="A81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12">
        <v>10503</v>
      </c>
      <c r="C812" t="s">
        <v>164</v>
      </c>
      <c r="D812" s="46"/>
      <c r="E812" t="s">
        <v>1448</v>
      </c>
      <c r="F812" s="50"/>
      <c r="G812" t="s">
        <v>1622</v>
      </c>
      <c r="H812" t="s">
        <v>2568</v>
      </c>
      <c r="I812" t="s">
        <v>2528</v>
      </c>
      <c r="J812" s="50" t="str">
        <f>IF(I812="","",_xlfn.XLOOKUP(TRIM(I812),'SkillMasterSkill ID'!$C:$C,'SkillMasterSkill ID'!$F:$F,"NOT FOUND",0))</f>
        <v>NOT FOUND</v>
      </c>
      <c r="K812" s="50"/>
      <c r="L812" s="50"/>
    </row>
    <row r="813" spans="1:12" x14ac:dyDescent="0.25">
      <c r="A81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13">
        <v>10503</v>
      </c>
      <c r="C813" t="s">
        <v>164</v>
      </c>
      <c r="D813" s="46"/>
      <c r="E813" t="s">
        <v>953</v>
      </c>
      <c r="F813" s="50"/>
      <c r="G813" t="s">
        <v>2603</v>
      </c>
      <c r="H813" t="s">
        <v>2605</v>
      </c>
      <c r="I813" t="s">
        <v>2606</v>
      </c>
      <c r="J813" s="50" t="str">
        <f>IF(I813="","",_xlfn.XLOOKUP(TRIM(I813),'SkillMasterSkill ID'!$C:$C,'SkillMasterSkill ID'!$F:$F,"NOT FOUND",0))</f>
        <v>NOT FOUND</v>
      </c>
      <c r="K813" s="50"/>
      <c r="L813" s="50"/>
    </row>
    <row r="814" spans="1:12" x14ac:dyDescent="0.25">
      <c r="A81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14">
        <v>2110</v>
      </c>
      <c r="C814" t="s">
        <v>672</v>
      </c>
      <c r="D814" s="46"/>
      <c r="E814" t="s">
        <v>4098</v>
      </c>
      <c r="F814" s="50"/>
      <c r="G814" t="s">
        <v>3805</v>
      </c>
      <c r="H814" t="s">
        <v>4091</v>
      </c>
      <c r="I814" t="s">
        <v>4100</v>
      </c>
      <c r="J814" s="50" t="str">
        <f>IF(I814="","",_xlfn.XLOOKUP(TRIM(I814),'SkillMasterSkill ID'!$C:$C,'SkillMasterSkill ID'!$F:$F,"NOT FOUND",0))</f>
        <v>NOT FOUND</v>
      </c>
      <c r="K814" s="50"/>
      <c r="L814" s="50"/>
    </row>
    <row r="815" spans="1:12" x14ac:dyDescent="0.25">
      <c r="A81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15">
        <v>2110</v>
      </c>
      <c r="C815" t="s">
        <v>672</v>
      </c>
      <c r="D815" s="46"/>
      <c r="E815" t="s">
        <v>4085</v>
      </c>
      <c r="F815" s="50"/>
      <c r="G815" t="s">
        <v>3805</v>
      </c>
      <c r="H815" t="s">
        <v>4082</v>
      </c>
      <c r="I815" t="s">
        <v>4087</v>
      </c>
      <c r="J815" s="50" t="str">
        <f>IF(I815="","",_xlfn.XLOOKUP(TRIM(I815),'SkillMasterSkill ID'!$C:$C,'SkillMasterSkill ID'!$F:$F,"NOT FOUND",0))</f>
        <v>NOT FOUND</v>
      </c>
      <c r="K815" s="50"/>
      <c r="L815" s="50"/>
    </row>
    <row r="816" spans="1:12" x14ac:dyDescent="0.25">
      <c r="A81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16">
        <v>2110</v>
      </c>
      <c r="C816" t="s">
        <v>672</v>
      </c>
      <c r="D816" s="46"/>
      <c r="E816" t="s">
        <v>4045</v>
      </c>
      <c r="F816" s="50"/>
      <c r="G816" t="s">
        <v>3805</v>
      </c>
      <c r="H816" t="s">
        <v>4047</v>
      </c>
      <c r="I816" t="s">
        <v>4048</v>
      </c>
      <c r="J816" s="50" t="str">
        <f>IF(I816="","",_xlfn.XLOOKUP(TRIM(I816),'SkillMasterSkill ID'!$C:$C,'SkillMasterSkill ID'!$F:$F,"NOT FOUND",0))</f>
        <v>NOT FOUND</v>
      </c>
      <c r="K816" s="50"/>
      <c r="L816" s="50"/>
    </row>
    <row r="817" spans="1:12" x14ac:dyDescent="0.25">
      <c r="A81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17">
        <v>2110</v>
      </c>
      <c r="C817" t="s">
        <v>672</v>
      </c>
      <c r="D817" s="46"/>
      <c r="E817" t="s">
        <v>4064</v>
      </c>
      <c r="F817" s="50"/>
      <c r="G817" t="s">
        <v>3805</v>
      </c>
      <c r="H817" t="s">
        <v>4066</v>
      </c>
      <c r="I817" t="s">
        <v>4071</v>
      </c>
      <c r="J817" s="50" t="str">
        <f>IF(I817="","",_xlfn.XLOOKUP(TRIM(I817),'SkillMasterSkill ID'!$C:$C,'SkillMasterSkill ID'!$F:$F,"NOT FOUND",0))</f>
        <v>NOT FOUND</v>
      </c>
      <c r="K817" s="50"/>
      <c r="L817" s="50"/>
    </row>
    <row r="818" spans="1:12" x14ac:dyDescent="0.25">
      <c r="A81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18">
        <v>2110</v>
      </c>
      <c r="C818" t="s">
        <v>672</v>
      </c>
      <c r="D818" s="46"/>
      <c r="E818" t="s">
        <v>4052</v>
      </c>
      <c r="F818" s="50"/>
      <c r="G818" t="s">
        <v>3805</v>
      </c>
      <c r="H818" t="s">
        <v>4047</v>
      </c>
      <c r="I818" t="s">
        <v>4054</v>
      </c>
      <c r="J818" s="50" t="str">
        <f>IF(I818="","",_xlfn.XLOOKUP(TRIM(I818),'SkillMasterSkill ID'!$C:$C,'SkillMasterSkill ID'!$F:$F,"NOT FOUND",0))</f>
        <v>NOT FOUND</v>
      </c>
      <c r="K818" s="50"/>
      <c r="L818" s="50"/>
    </row>
    <row r="819" spans="1:12" x14ac:dyDescent="0.25">
      <c r="A81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19">
        <v>2110</v>
      </c>
      <c r="C819" t="s">
        <v>672</v>
      </c>
      <c r="D819" s="46"/>
      <c r="E819" t="s">
        <v>4064</v>
      </c>
      <c r="F819" s="50"/>
      <c r="G819" t="s">
        <v>3805</v>
      </c>
      <c r="H819" t="s">
        <v>4066</v>
      </c>
      <c r="I819" t="s">
        <v>4069</v>
      </c>
      <c r="J819" s="50" t="str">
        <f>IF(I819="","",_xlfn.XLOOKUP(TRIM(I819),'SkillMasterSkill ID'!$C:$C,'SkillMasterSkill ID'!$F:$F,"NOT FOUND",0))</f>
        <v>NOT FOUND</v>
      </c>
      <c r="K819" s="50"/>
      <c r="L819" s="50"/>
    </row>
    <row r="820" spans="1:12" x14ac:dyDescent="0.25">
      <c r="A82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20">
        <v>2110</v>
      </c>
      <c r="C820" t="s">
        <v>672</v>
      </c>
      <c r="D820" s="46"/>
      <c r="E820" t="s">
        <v>4110</v>
      </c>
      <c r="F820" s="50"/>
      <c r="G820" t="s">
        <v>3805</v>
      </c>
      <c r="H820" t="s">
        <v>4112</v>
      </c>
      <c r="I820" t="s">
        <v>4113</v>
      </c>
      <c r="J820" s="50" t="str">
        <f>IF(I820="","",_xlfn.XLOOKUP(TRIM(I820),'SkillMasterSkill ID'!$C:$C,'SkillMasterSkill ID'!$F:$F,"NOT FOUND",0))</f>
        <v>NOT FOUND</v>
      </c>
      <c r="K820" s="50"/>
      <c r="L820" s="50"/>
    </row>
    <row r="821" spans="1:12" x14ac:dyDescent="0.25">
      <c r="A82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21">
        <v>2110</v>
      </c>
      <c r="C821" t="s">
        <v>672</v>
      </c>
      <c r="D821" s="46"/>
      <c r="E821" t="s">
        <v>4064</v>
      </c>
      <c r="F821" s="50"/>
      <c r="G821" t="s">
        <v>3805</v>
      </c>
      <c r="H821" t="s">
        <v>4066</v>
      </c>
      <c r="I821" t="s">
        <v>4067</v>
      </c>
      <c r="J821" s="50" t="str">
        <f>IF(I821="","",_xlfn.XLOOKUP(TRIM(I821),'SkillMasterSkill ID'!$C:$C,'SkillMasterSkill ID'!$F:$F,"NOT FOUND",0))</f>
        <v>NOT FOUND</v>
      </c>
      <c r="K821" s="50"/>
      <c r="L821" s="50"/>
    </row>
    <row r="822" spans="1:12" x14ac:dyDescent="0.25">
      <c r="A82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22">
        <v>2110</v>
      </c>
      <c r="C822" t="s">
        <v>672</v>
      </c>
      <c r="D822" s="46"/>
      <c r="E822" t="s">
        <v>3621</v>
      </c>
      <c r="F822" s="50"/>
      <c r="G822" t="s">
        <v>3805</v>
      </c>
      <c r="H822" t="s">
        <v>4047</v>
      </c>
      <c r="I822" t="s">
        <v>4050</v>
      </c>
      <c r="J822" s="50" t="str">
        <f>IF(I822="","",_xlfn.XLOOKUP(TRIM(I822),'SkillMasterSkill ID'!$C:$C,'SkillMasterSkill ID'!$F:$F,"NOT FOUND",0))</f>
        <v>NOT FOUND</v>
      </c>
      <c r="K822" s="50"/>
      <c r="L822" s="50"/>
    </row>
    <row r="823" spans="1:12" x14ac:dyDescent="0.25">
      <c r="A82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23">
        <v>2110</v>
      </c>
      <c r="C823" t="s">
        <v>672</v>
      </c>
      <c r="D823" s="46"/>
      <c r="E823" t="s">
        <v>4056</v>
      </c>
      <c r="F823" s="50"/>
      <c r="G823" t="s">
        <v>3805</v>
      </c>
      <c r="H823" t="s">
        <v>4047</v>
      </c>
      <c r="I823" t="s">
        <v>4058</v>
      </c>
      <c r="J823" s="50" t="str">
        <f>IF(I823="","",_xlfn.XLOOKUP(TRIM(I823),'SkillMasterSkill ID'!$C:$C,'SkillMasterSkill ID'!$F:$F,"NOT FOUND",0))</f>
        <v>NOT FOUND</v>
      </c>
      <c r="K823" s="50"/>
      <c r="L823" s="50"/>
    </row>
    <row r="824" spans="1:12" x14ac:dyDescent="0.25">
      <c r="A82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24">
        <v>2110</v>
      </c>
      <c r="C824" t="s">
        <v>672</v>
      </c>
      <c r="D824" s="46"/>
      <c r="E824" t="s">
        <v>873</v>
      </c>
      <c r="F824" s="50"/>
      <c r="G824" t="s">
        <v>3805</v>
      </c>
      <c r="H824" t="s">
        <v>4108</v>
      </c>
      <c r="I824" t="s">
        <v>4109</v>
      </c>
      <c r="J824" s="50" t="str">
        <f>IF(I824="","",_xlfn.XLOOKUP(TRIM(I824),'SkillMasterSkill ID'!$C:$C,'SkillMasterSkill ID'!$F:$F,"NOT FOUND",0))</f>
        <v>NOT FOUND</v>
      </c>
      <c r="K824" s="50"/>
      <c r="L824" s="50"/>
    </row>
    <row r="825" spans="1:12" x14ac:dyDescent="0.25">
      <c r="A82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25">
        <v>2110</v>
      </c>
      <c r="C825" t="s">
        <v>672</v>
      </c>
      <c r="D825" s="46"/>
      <c r="E825" t="s">
        <v>2215</v>
      </c>
      <c r="F825" s="50"/>
      <c r="G825" t="s">
        <v>3805</v>
      </c>
      <c r="H825" t="s">
        <v>4112</v>
      </c>
      <c r="I825" t="s">
        <v>4123</v>
      </c>
      <c r="J825" s="50" t="str">
        <f>IF(I825="","",_xlfn.XLOOKUP(TRIM(I825),'SkillMasterSkill ID'!$C:$C,'SkillMasterSkill ID'!$F:$F,"NOT FOUND",0))</f>
        <v>NOT FOUND</v>
      </c>
      <c r="K825" s="50"/>
      <c r="L825" s="50"/>
    </row>
    <row r="826" spans="1:12" x14ac:dyDescent="0.25">
      <c r="A82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26">
        <v>2110</v>
      </c>
      <c r="C826" t="s">
        <v>672</v>
      </c>
      <c r="D826" s="46"/>
      <c r="E826" t="s">
        <v>4102</v>
      </c>
      <c r="F826" s="50"/>
      <c r="G826" t="s">
        <v>3805</v>
      </c>
      <c r="H826" t="s">
        <v>4104</v>
      </c>
      <c r="I826" t="s">
        <v>4105</v>
      </c>
      <c r="J826" s="50" t="str">
        <f>IF(I826="","",_xlfn.XLOOKUP(TRIM(I826),'SkillMasterSkill ID'!$C:$C,'SkillMasterSkill ID'!$F:$F,"NOT FOUND",0))</f>
        <v>NOT FOUND</v>
      </c>
      <c r="K826" s="50"/>
      <c r="L826" s="50"/>
    </row>
    <row r="827" spans="1:12" x14ac:dyDescent="0.25">
      <c r="A82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27">
        <v>2110</v>
      </c>
      <c r="C827" t="s">
        <v>672</v>
      </c>
      <c r="D827" s="46"/>
      <c r="E827" t="s">
        <v>3071</v>
      </c>
      <c r="F827" s="50"/>
      <c r="G827" t="s">
        <v>3805</v>
      </c>
      <c r="H827" t="s">
        <v>4112</v>
      </c>
      <c r="I827" t="s">
        <v>4115</v>
      </c>
      <c r="J827" s="50" t="str">
        <f>IF(I827="","",_xlfn.XLOOKUP(TRIM(I827),'SkillMasterSkill ID'!$C:$C,'SkillMasterSkill ID'!$F:$F,"NOT FOUND",0))</f>
        <v>NOT FOUND</v>
      </c>
      <c r="K827" s="50"/>
      <c r="L827" s="50"/>
    </row>
    <row r="828" spans="1:12" x14ac:dyDescent="0.25">
      <c r="A82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28">
        <v>2110</v>
      </c>
      <c r="C828" t="s">
        <v>672</v>
      </c>
      <c r="D828" s="46"/>
      <c r="E828" t="s">
        <v>4060</v>
      </c>
      <c r="F828" s="50"/>
      <c r="G828" t="s">
        <v>3805</v>
      </c>
      <c r="H828" t="s">
        <v>4047</v>
      </c>
      <c r="I828" t="s">
        <v>4062</v>
      </c>
      <c r="J828" s="50" t="str">
        <f>IF(I828="","",_xlfn.XLOOKUP(TRIM(I828),'SkillMasterSkill ID'!$C:$C,'SkillMasterSkill ID'!$F:$F,"NOT FOUND",0))</f>
        <v>NOT FOUND</v>
      </c>
      <c r="K828" s="50"/>
      <c r="L828" s="50"/>
    </row>
    <row r="829" spans="1:12" x14ac:dyDescent="0.25">
      <c r="A82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29">
        <v>2110</v>
      </c>
      <c r="C829" t="s">
        <v>672</v>
      </c>
      <c r="D829" s="46"/>
      <c r="E829" t="s">
        <v>4073</v>
      </c>
      <c r="F829" s="50"/>
      <c r="G829" t="s">
        <v>3805</v>
      </c>
      <c r="H829" t="s">
        <v>4066</v>
      </c>
      <c r="I829" t="s">
        <v>4075</v>
      </c>
      <c r="J829" s="50" t="str">
        <f>IF(I829="","",_xlfn.XLOOKUP(TRIM(I829),'SkillMasterSkill ID'!$C:$C,'SkillMasterSkill ID'!$F:$F,"NOT FOUND",0))</f>
        <v>NOT FOUND</v>
      </c>
      <c r="K829" s="50"/>
      <c r="L829" s="50"/>
    </row>
    <row r="830" spans="1:12" x14ac:dyDescent="0.25">
      <c r="A83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30">
        <v>2110</v>
      </c>
      <c r="C830" t="s">
        <v>672</v>
      </c>
      <c r="D830" s="46"/>
      <c r="E830" t="s">
        <v>4119</v>
      </c>
      <c r="F830" s="50"/>
      <c r="G830" t="s">
        <v>3805</v>
      </c>
      <c r="H830" t="s">
        <v>4112</v>
      </c>
      <c r="I830" t="s">
        <v>4121</v>
      </c>
      <c r="J830" s="50" t="str">
        <f>IF(I830="","",_xlfn.XLOOKUP(TRIM(I830),'SkillMasterSkill ID'!$C:$C,'SkillMasterSkill ID'!$F:$F,"NOT FOUND",0))</f>
        <v>NOT FOUND</v>
      </c>
      <c r="K830" s="50"/>
      <c r="L830" s="50"/>
    </row>
    <row r="831" spans="1:12" x14ac:dyDescent="0.25">
      <c r="A83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31">
        <v>2110</v>
      </c>
      <c r="C831" t="s">
        <v>672</v>
      </c>
      <c r="D831" s="46"/>
      <c r="E831" t="s">
        <v>4089</v>
      </c>
      <c r="F831" s="50"/>
      <c r="G831" t="s">
        <v>3805</v>
      </c>
      <c r="H831" t="s">
        <v>4091</v>
      </c>
      <c r="I831" t="s">
        <v>4092</v>
      </c>
      <c r="J831" s="50" t="str">
        <f>IF(I831="","",_xlfn.XLOOKUP(TRIM(I831),'SkillMasterSkill ID'!$C:$C,'SkillMasterSkill ID'!$F:$F,"NOT FOUND",0))</f>
        <v>NOT FOUND</v>
      </c>
      <c r="K831" s="50"/>
      <c r="L831" s="50"/>
    </row>
    <row r="832" spans="1:12" x14ac:dyDescent="0.25">
      <c r="A83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32">
        <v>2110</v>
      </c>
      <c r="C832" t="s">
        <v>672</v>
      </c>
      <c r="D832" s="46"/>
      <c r="E832" t="s">
        <v>4094</v>
      </c>
      <c r="F832" s="50"/>
      <c r="G832" t="s">
        <v>3805</v>
      </c>
      <c r="H832" t="s">
        <v>4091</v>
      </c>
      <c r="I832" t="s">
        <v>4096</v>
      </c>
      <c r="J832" s="50" t="str">
        <f>IF(I832="","",_xlfn.XLOOKUP(TRIM(I832),'SkillMasterSkill ID'!$C:$C,'SkillMasterSkill ID'!$F:$F,"NOT FOUND",0))</f>
        <v>NOT FOUND</v>
      </c>
      <c r="K832" s="50"/>
      <c r="L832" s="50"/>
    </row>
    <row r="833" spans="1:12" x14ac:dyDescent="0.25">
      <c r="A83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33">
        <v>2110</v>
      </c>
      <c r="C833" t="s">
        <v>672</v>
      </c>
      <c r="D833" s="46"/>
      <c r="E833" t="s">
        <v>3036</v>
      </c>
      <c r="F833" s="50"/>
      <c r="G833" t="s">
        <v>3805</v>
      </c>
      <c r="H833" t="s">
        <v>4066</v>
      </c>
      <c r="I833" t="s">
        <v>4078</v>
      </c>
      <c r="J833" s="50" t="str">
        <f>IF(I833="","",_xlfn.XLOOKUP(TRIM(I833),'SkillMasterSkill ID'!$C:$C,'SkillMasterSkill ID'!$F:$F,"NOT FOUND",0))</f>
        <v>NOT FOUND</v>
      </c>
      <c r="K833" s="50"/>
      <c r="L833" s="50"/>
    </row>
    <row r="834" spans="1:12" x14ac:dyDescent="0.25">
      <c r="A83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34">
        <v>2110</v>
      </c>
      <c r="C834" t="s">
        <v>672</v>
      </c>
      <c r="D834" s="46"/>
      <c r="E834" t="s">
        <v>4080</v>
      </c>
      <c r="F834" s="50"/>
      <c r="G834" t="s">
        <v>3805</v>
      </c>
      <c r="H834" t="s">
        <v>4082</v>
      </c>
      <c r="I834" t="s">
        <v>4083</v>
      </c>
      <c r="J834" s="50" t="str">
        <f>IF(I834="","",_xlfn.XLOOKUP(TRIM(I834),'SkillMasterSkill ID'!$C:$C,'SkillMasterSkill ID'!$F:$F,"NOT FOUND",0))</f>
        <v>NOT FOUND</v>
      </c>
      <c r="K834" s="50"/>
      <c r="L834" s="50"/>
    </row>
    <row r="835" spans="1:12" x14ac:dyDescent="0.25">
      <c r="A83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35">
        <v>2110</v>
      </c>
      <c r="C835" t="s">
        <v>672</v>
      </c>
      <c r="D835" s="46"/>
      <c r="E835" t="s">
        <v>953</v>
      </c>
      <c r="F835" s="50"/>
      <c r="G835" t="s">
        <v>3805</v>
      </c>
      <c r="H835" t="s">
        <v>4112</v>
      </c>
      <c r="I835" t="s">
        <v>4117</v>
      </c>
      <c r="J835" s="50" t="str">
        <f>IF(I835="","",_xlfn.XLOOKUP(TRIM(I835),'SkillMasterSkill ID'!$C:$C,'SkillMasterSkill ID'!$F:$F,"NOT FOUND",0))</f>
        <v>NOT FOUND</v>
      </c>
      <c r="K835" s="50"/>
      <c r="L835" s="50"/>
    </row>
    <row r="836" spans="1:12" x14ac:dyDescent="0.25">
      <c r="A83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36">
        <v>1120</v>
      </c>
      <c r="C836" t="s">
        <v>2422</v>
      </c>
      <c r="D836" s="46"/>
      <c r="E836" t="s">
        <v>2436</v>
      </c>
      <c r="F836" s="50"/>
      <c r="G836" t="s">
        <v>4224</v>
      </c>
      <c r="H836" t="s">
        <v>2438</v>
      </c>
      <c r="I836" t="s">
        <v>2439</v>
      </c>
      <c r="J836" s="50" t="str">
        <f>IF(I836="","",_xlfn.XLOOKUP(TRIM(I836),'SkillMasterSkill ID'!$C:$C,'SkillMasterSkill ID'!$F:$F,"NOT FOUND",0))</f>
        <v>NOT FOUND</v>
      </c>
      <c r="K836" s="50"/>
      <c r="L836" s="50"/>
    </row>
    <row r="837" spans="1:12" x14ac:dyDescent="0.25">
      <c r="A83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37">
        <v>1120</v>
      </c>
      <c r="C837" t="s">
        <v>2422</v>
      </c>
      <c r="D837" s="46"/>
      <c r="E837" t="s">
        <v>2451</v>
      </c>
      <c r="F837" s="50"/>
      <c r="G837" t="s">
        <v>4224</v>
      </c>
      <c r="H837" t="s">
        <v>2453</v>
      </c>
      <c r="I837" t="s">
        <v>2454</v>
      </c>
      <c r="J837" s="50" t="str">
        <f>IF(I837="","",_xlfn.XLOOKUP(TRIM(I837),'SkillMasterSkill ID'!$C:$C,'SkillMasterSkill ID'!$F:$F,"NOT FOUND",0))</f>
        <v>NOT FOUND</v>
      </c>
      <c r="K837" s="50"/>
      <c r="L837" s="50"/>
    </row>
    <row r="838" spans="1:12" x14ac:dyDescent="0.25">
      <c r="A83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38">
        <v>1120</v>
      </c>
      <c r="C838" t="s">
        <v>2422</v>
      </c>
      <c r="D838" s="46"/>
      <c r="E838" t="s">
        <v>2459</v>
      </c>
      <c r="F838" s="50"/>
      <c r="G838" t="s">
        <v>4224</v>
      </c>
      <c r="H838" t="s">
        <v>2463</v>
      </c>
      <c r="I838" t="s">
        <v>2464</v>
      </c>
      <c r="J838" s="50" t="str">
        <f>IF(I838="","",_xlfn.XLOOKUP(TRIM(I838),'SkillMasterSkill ID'!$C:$C,'SkillMasterSkill ID'!$F:$F,"NOT FOUND",0))</f>
        <v>NOT FOUND</v>
      </c>
      <c r="K838" s="50"/>
      <c r="L838" s="50"/>
    </row>
    <row r="839" spans="1:12" x14ac:dyDescent="0.25">
      <c r="A83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39">
        <v>1120</v>
      </c>
      <c r="C839" t="s">
        <v>2422</v>
      </c>
      <c r="D839" s="46"/>
      <c r="E839" t="s">
        <v>963</v>
      </c>
      <c r="F839" s="50"/>
      <c r="G839" t="s">
        <v>4224</v>
      </c>
      <c r="H839" t="s">
        <v>2449</v>
      </c>
      <c r="I839" t="s">
        <v>2450</v>
      </c>
      <c r="J839" s="50" t="str">
        <f>IF(I839="","",_xlfn.XLOOKUP(TRIM(I839),'SkillMasterSkill ID'!$C:$C,'SkillMasterSkill ID'!$F:$F,"NOT FOUND",0))</f>
        <v>NOT FOUND</v>
      </c>
      <c r="K839" s="50"/>
      <c r="L839" s="50"/>
    </row>
    <row r="840" spans="1:12" x14ac:dyDescent="0.25">
      <c r="A84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40">
        <v>1120</v>
      </c>
      <c r="C840" t="s">
        <v>2422</v>
      </c>
      <c r="D840" s="46"/>
      <c r="E840" t="s">
        <v>873</v>
      </c>
      <c r="F840" s="50"/>
      <c r="G840" t="s">
        <v>4224</v>
      </c>
      <c r="H840" t="s">
        <v>2471</v>
      </c>
      <c r="I840" t="s">
        <v>2472</v>
      </c>
      <c r="J840" s="50" t="str">
        <f>IF(I840="","",_xlfn.XLOOKUP(TRIM(I840),'SkillMasterSkill ID'!$C:$C,'SkillMasterSkill ID'!$F:$F,"NOT FOUND",0))</f>
        <v>NOT FOUND</v>
      </c>
      <c r="K840" s="50"/>
      <c r="L840" s="50"/>
    </row>
    <row r="841" spans="1:12" x14ac:dyDescent="0.25">
      <c r="A84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41">
        <v>1120</v>
      </c>
      <c r="C841" t="s">
        <v>2422</v>
      </c>
      <c r="D841" s="46"/>
      <c r="E841" t="s">
        <v>2430</v>
      </c>
      <c r="F841" s="50"/>
      <c r="G841" t="s">
        <v>4224</v>
      </c>
      <c r="H841" t="s">
        <v>2432</v>
      </c>
      <c r="I841" t="s">
        <v>2433</v>
      </c>
      <c r="J841" s="50" t="str">
        <f>IF(I841="","",_xlfn.XLOOKUP(TRIM(I841),'SkillMasterSkill ID'!$C:$C,'SkillMasterSkill ID'!$F:$F,"NOT FOUND",0))</f>
        <v>NOT FOUND</v>
      </c>
      <c r="K841" s="50"/>
      <c r="L841" s="50"/>
    </row>
    <row r="842" spans="1:12" x14ac:dyDescent="0.25">
      <c r="A84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42">
        <v>1120</v>
      </c>
      <c r="C842" t="s">
        <v>2422</v>
      </c>
      <c r="D842" s="46"/>
      <c r="E842" t="s">
        <v>1448</v>
      </c>
      <c r="F842" s="50"/>
      <c r="G842" t="s">
        <v>4224</v>
      </c>
      <c r="H842" t="s">
        <v>2424</v>
      </c>
      <c r="I842" t="s">
        <v>2425</v>
      </c>
      <c r="J842" s="50" t="str">
        <f>IF(I842="","",_xlfn.XLOOKUP(TRIM(I842),'SkillMasterSkill ID'!$C:$C,'SkillMasterSkill ID'!$F:$F,"NOT FOUND",0))</f>
        <v>NOT FOUND</v>
      </c>
      <c r="K842" s="50"/>
      <c r="L842" s="50"/>
    </row>
    <row r="843" spans="1:12" x14ac:dyDescent="0.25">
      <c r="A84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43">
        <v>1120</v>
      </c>
      <c r="C843" t="s">
        <v>2422</v>
      </c>
      <c r="D843" s="46"/>
      <c r="E843" t="s">
        <v>2430</v>
      </c>
      <c r="F843" s="50"/>
      <c r="G843" t="s">
        <v>4224</v>
      </c>
      <c r="H843" t="s">
        <v>2434</v>
      </c>
      <c r="I843" t="s">
        <v>2435</v>
      </c>
      <c r="J843" s="50" t="str">
        <f>IF(I843="","",_xlfn.XLOOKUP(TRIM(I843),'SkillMasterSkill ID'!$C:$C,'SkillMasterSkill ID'!$F:$F,"NOT FOUND",0))</f>
        <v>NOT FOUND</v>
      </c>
      <c r="K843" s="50"/>
      <c r="L843" s="50"/>
    </row>
    <row r="844" spans="1:12" x14ac:dyDescent="0.25">
      <c r="A84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44">
        <v>1120</v>
      </c>
      <c r="C844" t="s">
        <v>2422</v>
      </c>
      <c r="D844" s="46"/>
      <c r="E844" t="s">
        <v>2473</v>
      </c>
      <c r="F844" s="50"/>
      <c r="G844" t="s">
        <v>4224</v>
      </c>
      <c r="H844" t="s">
        <v>2475</v>
      </c>
      <c r="I844" t="s">
        <v>2476</v>
      </c>
      <c r="J844" s="50" t="str">
        <f>IF(I844="","",_xlfn.XLOOKUP(TRIM(I844),'SkillMasterSkill ID'!$C:$C,'SkillMasterSkill ID'!$F:$F,"NOT FOUND",0))</f>
        <v>NOT FOUND</v>
      </c>
      <c r="K844" s="50"/>
      <c r="L844" s="50"/>
    </row>
    <row r="845" spans="1:12" x14ac:dyDescent="0.25">
      <c r="A84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45">
        <v>1120</v>
      </c>
      <c r="C845" t="s">
        <v>2422</v>
      </c>
      <c r="D845" s="46"/>
      <c r="E845" t="s">
        <v>2442</v>
      </c>
      <c r="F845" s="50"/>
      <c r="G845" t="s">
        <v>4224</v>
      </c>
      <c r="H845" t="s">
        <v>2444</v>
      </c>
      <c r="I845" t="s">
        <v>2445</v>
      </c>
      <c r="J845" s="50" t="str">
        <f>IF(I845="","",_xlfn.XLOOKUP(TRIM(I845),'SkillMasterSkill ID'!$C:$C,'SkillMasterSkill ID'!$F:$F,"NOT FOUND",0))</f>
        <v>NOT FOUND</v>
      </c>
      <c r="K845" s="50"/>
      <c r="L845" s="50"/>
    </row>
    <row r="846" spans="1:12" x14ac:dyDescent="0.25">
      <c r="A84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46">
        <v>1120</v>
      </c>
      <c r="C846" t="s">
        <v>2422</v>
      </c>
      <c r="D846" s="46"/>
      <c r="E846" t="s">
        <v>2465</v>
      </c>
      <c r="F846" s="50"/>
      <c r="G846" t="s">
        <v>4224</v>
      </c>
      <c r="H846" t="s">
        <v>2467</v>
      </c>
      <c r="I846" t="s">
        <v>2468</v>
      </c>
      <c r="J846" s="50" t="str">
        <f>IF(I846="","",_xlfn.XLOOKUP(TRIM(I846),'SkillMasterSkill ID'!$C:$C,'SkillMasterSkill ID'!$F:$F,"NOT FOUND",0))</f>
        <v>NOT FOUND</v>
      </c>
      <c r="K846" s="50"/>
      <c r="L846" s="50"/>
    </row>
    <row r="847" spans="1:12" x14ac:dyDescent="0.25">
      <c r="A84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47">
        <v>1120</v>
      </c>
      <c r="C847" t="s">
        <v>2422</v>
      </c>
      <c r="D847" s="46"/>
      <c r="E847" t="s">
        <v>2465</v>
      </c>
      <c r="F847" s="50"/>
      <c r="G847" t="s">
        <v>4224</v>
      </c>
      <c r="H847" t="s">
        <v>2469</v>
      </c>
      <c r="I847" t="s">
        <v>2470</v>
      </c>
      <c r="J847" s="50" t="str">
        <f>IF(I847="","",_xlfn.XLOOKUP(TRIM(I847),'SkillMasterSkill ID'!$C:$C,'SkillMasterSkill ID'!$F:$F,"NOT FOUND",0))</f>
        <v>NOT FOUND</v>
      </c>
      <c r="K847" s="50"/>
      <c r="L847" s="50"/>
    </row>
    <row r="848" spans="1:12" x14ac:dyDescent="0.25">
      <c r="A84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48">
        <v>1120</v>
      </c>
      <c r="C848" t="s">
        <v>2422</v>
      </c>
      <c r="D848" s="46"/>
      <c r="E848" t="s">
        <v>2455</v>
      </c>
      <c r="F848" s="50"/>
      <c r="G848" t="s">
        <v>4224</v>
      </c>
      <c r="H848" t="s">
        <v>2457</v>
      </c>
      <c r="I848" t="s">
        <v>2458</v>
      </c>
      <c r="J848" s="50" t="str">
        <f>IF(I848="","",_xlfn.XLOOKUP(TRIM(I848),'SkillMasterSkill ID'!$C:$C,'SkillMasterSkill ID'!$F:$F,"NOT FOUND",0))</f>
        <v>NOT FOUND</v>
      </c>
      <c r="K848" s="50"/>
      <c r="L848" s="50"/>
    </row>
    <row r="849" spans="1:12" x14ac:dyDescent="0.25">
      <c r="A84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49">
        <v>1120</v>
      </c>
      <c r="C849" t="s">
        <v>2422</v>
      </c>
      <c r="D849" s="46"/>
      <c r="E849" t="s">
        <v>2436</v>
      </c>
      <c r="F849" s="50"/>
      <c r="G849" t="s">
        <v>4224</v>
      </c>
      <c r="H849" t="s">
        <v>2440</v>
      </c>
      <c r="I849" t="s">
        <v>2441</v>
      </c>
      <c r="J849" s="50" t="str">
        <f>IF(I849="","",_xlfn.XLOOKUP(TRIM(I849),'SkillMasterSkill ID'!$C:$C,'SkillMasterSkill ID'!$F:$F,"NOT FOUND",0))</f>
        <v>NOT FOUND</v>
      </c>
      <c r="K849" s="50"/>
      <c r="L849" s="50"/>
    </row>
    <row r="850" spans="1:12" x14ac:dyDescent="0.25">
      <c r="A85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50">
        <v>1120</v>
      </c>
      <c r="C850" t="s">
        <v>2422</v>
      </c>
      <c r="D850" s="46"/>
      <c r="E850" t="s">
        <v>1470</v>
      </c>
      <c r="F850" s="50"/>
      <c r="G850" t="s">
        <v>4224</v>
      </c>
      <c r="H850" t="s">
        <v>2427</v>
      </c>
      <c r="I850" t="s">
        <v>1453</v>
      </c>
      <c r="J850" s="50" t="str">
        <f>IF(I850="","",_xlfn.XLOOKUP(TRIM(I850),'SkillMasterSkill ID'!$C:$C,'SkillMasterSkill ID'!$F:$F,"NOT FOUND",0))</f>
        <v>NOT FOUND</v>
      </c>
      <c r="K850" s="50"/>
      <c r="L850" s="50"/>
    </row>
    <row r="851" spans="1:12" x14ac:dyDescent="0.25">
      <c r="A85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51">
        <v>1120</v>
      </c>
      <c r="C851" t="s">
        <v>2422</v>
      </c>
      <c r="D851" s="46"/>
      <c r="E851" t="s">
        <v>2459</v>
      </c>
      <c r="F851" s="50"/>
      <c r="G851" t="s">
        <v>4224</v>
      </c>
      <c r="H851" t="s">
        <v>2461</v>
      </c>
      <c r="I851" t="s">
        <v>2462</v>
      </c>
      <c r="J851" s="50" t="str">
        <f>IF(I851="","",_xlfn.XLOOKUP(TRIM(I851),'SkillMasterSkill ID'!$C:$C,'SkillMasterSkill ID'!$F:$F,"NOT FOUND",0))</f>
        <v>NOT FOUND</v>
      </c>
      <c r="K851" s="50"/>
      <c r="L851" s="50"/>
    </row>
    <row r="852" spans="1:12" x14ac:dyDescent="0.25">
      <c r="A85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52">
        <v>1120</v>
      </c>
      <c r="C852" t="s">
        <v>2422</v>
      </c>
      <c r="D852" s="46"/>
      <c r="E852" t="s">
        <v>1470</v>
      </c>
      <c r="F852" s="50"/>
      <c r="G852" t="s">
        <v>4224</v>
      </c>
      <c r="H852" t="s">
        <v>2428</v>
      </c>
      <c r="I852" t="s">
        <v>2429</v>
      </c>
      <c r="J852" s="50" t="str">
        <f>IF(I852="","",_xlfn.XLOOKUP(TRIM(I852),'SkillMasterSkill ID'!$C:$C,'SkillMasterSkill ID'!$F:$F,"NOT FOUND",0))</f>
        <v>NOT FOUND</v>
      </c>
      <c r="K852" s="50"/>
      <c r="L852" s="50"/>
    </row>
    <row r="853" spans="1:12" x14ac:dyDescent="0.25">
      <c r="A85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53">
        <v>1120</v>
      </c>
      <c r="C853" t="s">
        <v>2422</v>
      </c>
      <c r="D853" s="46"/>
      <c r="E853" t="s">
        <v>2442</v>
      </c>
      <c r="F853" s="50"/>
      <c r="G853" t="s">
        <v>4224</v>
      </c>
      <c r="H853" t="s">
        <v>2446</v>
      </c>
      <c r="I853" t="s">
        <v>2447</v>
      </c>
      <c r="J853" s="50" t="str">
        <f>IF(I853="","",_xlfn.XLOOKUP(TRIM(I853),'SkillMasterSkill ID'!$C:$C,'SkillMasterSkill ID'!$F:$F,"NOT FOUND",0))</f>
        <v>NOT FOUND</v>
      </c>
      <c r="K853" s="50"/>
      <c r="L853" s="50"/>
    </row>
    <row r="854" spans="1:12" x14ac:dyDescent="0.25">
      <c r="A85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54">
        <v>2100</v>
      </c>
      <c r="C854" t="s">
        <v>737</v>
      </c>
      <c r="D854" s="46"/>
      <c r="E854" t="s">
        <v>3612</v>
      </c>
      <c r="F854" s="50"/>
      <c r="G854" t="s">
        <v>3611</v>
      </c>
      <c r="H854" t="s">
        <v>3616</v>
      </c>
      <c r="I854" t="s">
        <v>3617</v>
      </c>
      <c r="J854" s="50" t="str">
        <f>IF(I854="","",_xlfn.XLOOKUP(TRIM(I854),'SkillMasterSkill ID'!$C:$C,'SkillMasterSkill ID'!$F:$F,"NOT FOUND",0))</f>
        <v>NOT FOUND</v>
      </c>
      <c r="K854" s="50"/>
      <c r="L854" s="50"/>
    </row>
    <row r="855" spans="1:12" x14ac:dyDescent="0.25">
      <c r="A85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55">
        <v>2100</v>
      </c>
      <c r="C855" t="s">
        <v>737</v>
      </c>
      <c r="D855" s="46"/>
      <c r="E855" t="s">
        <v>3605</v>
      </c>
      <c r="F855" s="50"/>
      <c r="G855" t="s">
        <v>3604</v>
      </c>
      <c r="H855" t="s">
        <v>3609</v>
      </c>
      <c r="I855" t="s">
        <v>3610</v>
      </c>
      <c r="J855" s="50" t="str">
        <f>IF(I855="","",_xlfn.XLOOKUP(TRIM(I855),'SkillMasterSkill ID'!$C:$C,'SkillMasterSkill ID'!$F:$F,"NOT FOUND",0))</f>
        <v>NOT FOUND</v>
      </c>
      <c r="K855" s="50"/>
      <c r="L855" s="50"/>
    </row>
    <row r="856" spans="1:12" x14ac:dyDescent="0.25">
      <c r="A85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56">
        <v>2100</v>
      </c>
      <c r="C856" t="s">
        <v>737</v>
      </c>
      <c r="D856" s="46"/>
      <c r="E856" t="s">
        <v>3612</v>
      </c>
      <c r="F856" s="50"/>
      <c r="G856" t="s">
        <v>3611</v>
      </c>
      <c r="H856" t="s">
        <v>3618</v>
      </c>
      <c r="I856" t="s">
        <v>3619</v>
      </c>
      <c r="J856" s="50" t="str">
        <f>IF(I856="","",_xlfn.XLOOKUP(TRIM(I856),'SkillMasterSkill ID'!$C:$C,'SkillMasterSkill ID'!$F:$F,"NOT FOUND",0))</f>
        <v>NOT FOUND</v>
      </c>
      <c r="K856" s="50"/>
      <c r="L856" s="50"/>
    </row>
    <row r="857" spans="1:12" x14ac:dyDescent="0.25">
      <c r="A85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57">
        <v>2100</v>
      </c>
      <c r="C857" t="s">
        <v>737</v>
      </c>
      <c r="D857" s="46"/>
      <c r="E857" t="s">
        <v>873</v>
      </c>
      <c r="F857" s="50"/>
      <c r="G857" t="s">
        <v>3635</v>
      </c>
      <c r="H857" t="s">
        <v>3636</v>
      </c>
      <c r="I857" t="s">
        <v>3637</v>
      </c>
      <c r="J857" s="50" t="str">
        <f>IF(I857="","",_xlfn.XLOOKUP(TRIM(I857),'SkillMasterSkill ID'!$C:$C,'SkillMasterSkill ID'!$F:$F,"NOT FOUND",0))</f>
        <v>NOT FOUND</v>
      </c>
      <c r="K857" s="50"/>
      <c r="L857" s="50"/>
    </row>
    <row r="858" spans="1:12" x14ac:dyDescent="0.25">
      <c r="A85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58">
        <v>2100</v>
      </c>
      <c r="C858" t="s">
        <v>737</v>
      </c>
      <c r="D858" s="46"/>
      <c r="E858" t="s">
        <v>2691</v>
      </c>
      <c r="F858" s="50"/>
      <c r="G858" t="s">
        <v>3620</v>
      </c>
      <c r="H858" t="s">
        <v>3625</v>
      </c>
      <c r="I858" t="s">
        <v>3626</v>
      </c>
      <c r="J858" s="50" t="str">
        <f>IF(I858="","",_xlfn.XLOOKUP(TRIM(I858),'SkillMasterSkill ID'!$C:$C,'SkillMasterSkill ID'!$F:$F,"NOT FOUND",0))</f>
        <v>NOT FOUND</v>
      </c>
      <c r="K858" s="50"/>
      <c r="L858" s="50"/>
    </row>
    <row r="859" spans="1:12" x14ac:dyDescent="0.25">
      <c r="A85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59">
        <v>2100</v>
      </c>
      <c r="C859" t="s">
        <v>737</v>
      </c>
      <c r="D859" s="46"/>
      <c r="E859" t="s">
        <v>3580</v>
      </c>
      <c r="F859" s="50"/>
      <c r="G859" t="s">
        <v>3627</v>
      </c>
      <c r="H859" t="s">
        <v>3629</v>
      </c>
      <c r="I859" t="s">
        <v>3630</v>
      </c>
      <c r="J859" s="50" t="str">
        <f>IF(I859="","",_xlfn.XLOOKUP(TRIM(I859),'SkillMasterSkill ID'!$C:$C,'SkillMasterSkill ID'!$F:$F,"NOT FOUND",0))</f>
        <v>NOT FOUND</v>
      </c>
      <c r="K859" s="50"/>
      <c r="L859" s="50"/>
    </row>
    <row r="860" spans="1:12" x14ac:dyDescent="0.25">
      <c r="A86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60">
        <v>2100</v>
      </c>
      <c r="C860" t="s">
        <v>737</v>
      </c>
      <c r="D860" s="46"/>
      <c r="E860" t="s">
        <v>3612</v>
      </c>
      <c r="F860" s="50"/>
      <c r="G860" t="s">
        <v>3611</v>
      </c>
      <c r="H860" t="s">
        <v>3614</v>
      </c>
      <c r="I860" t="s">
        <v>3615</v>
      </c>
      <c r="J860" s="50" t="str">
        <f>IF(I860="","",_xlfn.XLOOKUP(TRIM(I860),'SkillMasterSkill ID'!$C:$C,'SkillMasterSkill ID'!$F:$F,"NOT FOUND",0))</f>
        <v>NOT FOUND</v>
      </c>
      <c r="K860" s="50"/>
      <c r="L860" s="50"/>
    </row>
    <row r="861" spans="1:12" x14ac:dyDescent="0.25">
      <c r="A86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61">
        <v>2100</v>
      </c>
      <c r="C861" t="s">
        <v>737</v>
      </c>
      <c r="D861" s="46"/>
      <c r="E861" t="s">
        <v>3240</v>
      </c>
      <c r="F861" s="50"/>
      <c r="G861" t="s">
        <v>3635</v>
      </c>
      <c r="H861" t="s">
        <v>3602</v>
      </c>
      <c r="I861" t="s">
        <v>3638</v>
      </c>
      <c r="J861" s="50" t="str">
        <f>IF(I861="","",_xlfn.XLOOKUP(TRIM(I861),'SkillMasterSkill ID'!$C:$C,'SkillMasterSkill ID'!$F:$F,"NOT FOUND",0))</f>
        <v>NOT FOUND</v>
      </c>
      <c r="K861" s="50"/>
      <c r="L861" s="50"/>
    </row>
    <row r="862" spans="1:12" x14ac:dyDescent="0.25">
      <c r="A86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62">
        <v>2100</v>
      </c>
      <c r="C862" t="s">
        <v>737</v>
      </c>
      <c r="D862" s="46"/>
      <c r="E862" t="s">
        <v>3605</v>
      </c>
      <c r="F862" s="50"/>
      <c r="G862" t="s">
        <v>3604</v>
      </c>
      <c r="H862" t="s">
        <v>3607</v>
      </c>
      <c r="I862" t="s">
        <v>3608</v>
      </c>
      <c r="J862" s="50" t="str">
        <f>IF(I862="","",_xlfn.XLOOKUP(TRIM(I862),'SkillMasterSkill ID'!$C:$C,'SkillMasterSkill ID'!$F:$F,"NOT FOUND",0))</f>
        <v>NOT FOUND</v>
      </c>
      <c r="K862" s="50"/>
      <c r="L862" s="50"/>
    </row>
    <row r="863" spans="1:12" x14ac:dyDescent="0.25">
      <c r="A86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63">
        <v>2100</v>
      </c>
      <c r="C863" t="s">
        <v>737</v>
      </c>
      <c r="D863" s="46"/>
      <c r="E863" t="s">
        <v>3621</v>
      </c>
      <c r="F863" s="50"/>
      <c r="G863" t="s">
        <v>3620</v>
      </c>
      <c r="H863" t="s">
        <v>3623</v>
      </c>
      <c r="I863" t="s">
        <v>3624</v>
      </c>
      <c r="J863" s="50" t="str">
        <f>IF(I863="","",_xlfn.XLOOKUP(TRIM(I863),'SkillMasterSkill ID'!$C:$C,'SkillMasterSkill ID'!$F:$F,"NOT FOUND",0))</f>
        <v>NOT FOUND</v>
      </c>
      <c r="K863" s="50"/>
      <c r="L863" s="50"/>
    </row>
    <row r="864" spans="1:12" x14ac:dyDescent="0.25">
      <c r="A86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64">
        <v>2100</v>
      </c>
      <c r="C864" t="s">
        <v>737</v>
      </c>
      <c r="D864" s="46"/>
      <c r="E864" t="s">
        <v>1448</v>
      </c>
      <c r="F864" s="50"/>
      <c r="G864" t="s">
        <v>3627</v>
      </c>
      <c r="H864" t="s">
        <v>3633</v>
      </c>
      <c r="I864" t="s">
        <v>3634</v>
      </c>
      <c r="J864" s="50" t="str">
        <f>IF(I864="","",_xlfn.XLOOKUP(TRIM(I864),'SkillMasterSkill ID'!$C:$C,'SkillMasterSkill ID'!$F:$F,"NOT FOUND",0))</f>
        <v>NOT FOUND</v>
      </c>
      <c r="K864" s="50"/>
      <c r="L864" s="50"/>
    </row>
    <row r="865" spans="1:12" x14ac:dyDescent="0.25">
      <c r="A86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65">
        <v>2100</v>
      </c>
      <c r="C865" t="s">
        <v>737</v>
      </c>
      <c r="D865" s="46"/>
      <c r="E865" t="s">
        <v>1448</v>
      </c>
      <c r="F865" s="50"/>
      <c r="G865" t="s">
        <v>3627</v>
      </c>
      <c r="H865" t="s">
        <v>3632</v>
      </c>
      <c r="I865" t="s">
        <v>1447</v>
      </c>
      <c r="J865" s="50" t="str">
        <f>IF(I865="","",_xlfn.XLOOKUP(TRIM(I865),'SkillMasterSkill ID'!$C:$C,'SkillMasterSkill ID'!$F:$F,"NOT FOUND",0))</f>
        <v>NOT FOUND</v>
      </c>
      <c r="K865" s="50"/>
      <c r="L865" s="50"/>
    </row>
    <row r="866" spans="1:12" x14ac:dyDescent="0.25">
      <c r="A86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66">
        <v>10201</v>
      </c>
      <c r="C866" t="s">
        <v>752</v>
      </c>
      <c r="D866" s="46"/>
      <c r="E866" t="s">
        <v>3156</v>
      </c>
      <c r="F866" s="50"/>
      <c r="G866" t="s">
        <v>3155</v>
      </c>
      <c r="H866" t="s">
        <v>3158</v>
      </c>
      <c r="I866" t="s">
        <v>3159</v>
      </c>
      <c r="J866" s="50" t="str">
        <f>IF(I866="","",_xlfn.XLOOKUP(TRIM(I866),'SkillMasterSkill ID'!$C:$C,'SkillMasterSkill ID'!$F:$F,"NOT FOUND",0))</f>
        <v>NOT FOUND</v>
      </c>
      <c r="K866" s="50"/>
      <c r="L866" s="50"/>
    </row>
    <row r="867" spans="1:12" x14ac:dyDescent="0.25">
      <c r="A86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67">
        <v>10201</v>
      </c>
      <c r="C867" t="s">
        <v>752</v>
      </c>
      <c r="D867" s="46"/>
      <c r="E867" t="s">
        <v>3156</v>
      </c>
      <c r="F867" s="50"/>
      <c r="G867" t="s">
        <v>3155</v>
      </c>
      <c r="H867" t="s">
        <v>3160</v>
      </c>
      <c r="I867" t="s">
        <v>3161</v>
      </c>
      <c r="J867" s="50" t="str">
        <f>IF(I867="","",_xlfn.XLOOKUP(TRIM(I867),'SkillMasterSkill ID'!$C:$C,'SkillMasterSkill ID'!$F:$F,"NOT FOUND",0))</f>
        <v>NOT FOUND</v>
      </c>
      <c r="K867" s="50"/>
      <c r="L867" s="50"/>
    </row>
    <row r="868" spans="1:12" x14ac:dyDescent="0.25">
      <c r="A86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68">
        <v>10201</v>
      </c>
      <c r="C868" t="s">
        <v>752</v>
      </c>
      <c r="D868" s="46"/>
      <c r="E868" t="s">
        <v>2654</v>
      </c>
      <c r="F868" s="50"/>
      <c r="G868" t="s">
        <v>3135</v>
      </c>
      <c r="H868" t="s">
        <v>3140</v>
      </c>
      <c r="I868" t="s">
        <v>3141</v>
      </c>
      <c r="J868" s="50" t="str">
        <f>IF(I868="","",_xlfn.XLOOKUP(TRIM(I868),'SkillMasterSkill ID'!$C:$C,'SkillMasterSkill ID'!$F:$F,"NOT FOUND",0))</f>
        <v>NOT FOUND</v>
      </c>
      <c r="K868" s="50"/>
      <c r="L868" s="50"/>
    </row>
    <row r="869" spans="1:12" x14ac:dyDescent="0.25">
      <c r="A86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69">
        <v>10201</v>
      </c>
      <c r="C869" t="s">
        <v>752</v>
      </c>
      <c r="D869" s="46"/>
      <c r="E869" t="s">
        <v>2654</v>
      </c>
      <c r="F869" s="50"/>
      <c r="G869" t="s">
        <v>3135</v>
      </c>
      <c r="H869" t="s">
        <v>3136</v>
      </c>
      <c r="I869" t="s">
        <v>3137</v>
      </c>
      <c r="J869" s="50" t="str">
        <f>IF(I869="","",_xlfn.XLOOKUP(TRIM(I869),'SkillMasterSkill ID'!$C:$C,'SkillMasterSkill ID'!$F:$F,"NOT FOUND",0))</f>
        <v>NOT FOUND</v>
      </c>
      <c r="K869" s="50"/>
      <c r="L869" s="50"/>
    </row>
    <row r="870" spans="1:12" x14ac:dyDescent="0.25">
      <c r="A87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70">
        <v>10201</v>
      </c>
      <c r="C870" t="s">
        <v>752</v>
      </c>
      <c r="D870" s="46"/>
      <c r="E870" t="s">
        <v>1415</v>
      </c>
      <c r="F870" s="50"/>
      <c r="G870" t="s">
        <v>3165</v>
      </c>
      <c r="H870" t="s">
        <v>3166</v>
      </c>
      <c r="I870" t="s">
        <v>3167</v>
      </c>
      <c r="J870" s="50" t="str">
        <f>IF(I870="","",_xlfn.XLOOKUP(TRIM(I870),'SkillMasterSkill ID'!$C:$C,'SkillMasterSkill ID'!$F:$F,"NOT FOUND",0))</f>
        <v>NOT FOUND</v>
      </c>
      <c r="K870" s="50"/>
      <c r="L870" s="50"/>
    </row>
    <row r="871" spans="1:12" x14ac:dyDescent="0.25">
      <c r="A87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71">
        <v>10201</v>
      </c>
      <c r="C871" t="s">
        <v>752</v>
      </c>
      <c r="D871" s="46"/>
      <c r="E871" t="s">
        <v>1415</v>
      </c>
      <c r="F871" s="50"/>
      <c r="G871" t="s">
        <v>3165</v>
      </c>
      <c r="H871" t="s">
        <v>3168</v>
      </c>
      <c r="I871" t="s">
        <v>3169</v>
      </c>
      <c r="J871" s="50" t="str">
        <f>IF(I871="","",_xlfn.XLOOKUP(TRIM(I871),'SkillMasterSkill ID'!$C:$C,'SkillMasterSkill ID'!$F:$F,"NOT FOUND",0))</f>
        <v>NOT FOUND</v>
      </c>
      <c r="K871" s="50"/>
      <c r="L871" s="50"/>
    </row>
    <row r="872" spans="1:12" x14ac:dyDescent="0.25">
      <c r="A87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72">
        <v>10201</v>
      </c>
      <c r="C872" t="s">
        <v>752</v>
      </c>
      <c r="D872" s="46"/>
      <c r="E872" t="s">
        <v>1415</v>
      </c>
      <c r="F872" s="50"/>
      <c r="G872" t="s">
        <v>1622</v>
      </c>
      <c r="H872" t="s">
        <v>3034</v>
      </c>
      <c r="I872" t="s">
        <v>3035</v>
      </c>
      <c r="J872" s="50" t="str">
        <f>IF(I872="","",_xlfn.XLOOKUP(TRIM(I872),'SkillMasterSkill ID'!$C:$C,'SkillMasterSkill ID'!$F:$F,"NOT FOUND",0))</f>
        <v>NOT FOUND</v>
      </c>
      <c r="K872" s="50"/>
      <c r="L872" s="50"/>
    </row>
    <row r="873" spans="1:12" x14ac:dyDescent="0.25">
      <c r="A87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73">
        <v>10201</v>
      </c>
      <c r="C873" t="s">
        <v>752</v>
      </c>
      <c r="D873" s="46"/>
      <c r="E873" t="s">
        <v>3042</v>
      </c>
      <c r="F873" s="50"/>
      <c r="G873" t="s">
        <v>2724</v>
      </c>
      <c r="H873" t="s">
        <v>3173</v>
      </c>
      <c r="I873" t="s">
        <v>3174</v>
      </c>
      <c r="J873" s="50" t="str">
        <f>IF(I873="","",_xlfn.XLOOKUP(TRIM(I873),'SkillMasterSkill ID'!$C:$C,'SkillMasterSkill ID'!$F:$F,"NOT FOUND",0))</f>
        <v>NOT FOUND</v>
      </c>
      <c r="K873" s="50"/>
      <c r="L873" s="50"/>
    </row>
    <row r="874" spans="1:12" x14ac:dyDescent="0.25">
      <c r="A87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74">
        <v>10201</v>
      </c>
      <c r="C874" t="s">
        <v>752</v>
      </c>
      <c r="D874" s="46"/>
      <c r="E874" t="s">
        <v>3042</v>
      </c>
      <c r="F874" s="50"/>
      <c r="G874" t="s">
        <v>2724</v>
      </c>
      <c r="H874" t="s">
        <v>3172</v>
      </c>
      <c r="I874" t="s">
        <v>2784</v>
      </c>
      <c r="J874" s="50" t="str">
        <f>IF(I874="","",_xlfn.XLOOKUP(TRIM(I874),'SkillMasterSkill ID'!$C:$C,'SkillMasterSkill ID'!$F:$F,"NOT FOUND",0))</f>
        <v>NOT FOUND</v>
      </c>
      <c r="K874" s="50"/>
      <c r="L874" s="50"/>
    </row>
    <row r="875" spans="1:12" x14ac:dyDescent="0.25">
      <c r="A87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75">
        <v>10201</v>
      </c>
      <c r="C875" t="s">
        <v>752</v>
      </c>
      <c r="D875" s="46"/>
      <c r="E875" t="s">
        <v>816</v>
      </c>
      <c r="F875" s="50"/>
      <c r="G875" t="s">
        <v>3059</v>
      </c>
      <c r="H875" t="s">
        <v>3066</v>
      </c>
      <c r="I875" t="s">
        <v>3067</v>
      </c>
      <c r="J875" s="50" t="str">
        <f>IF(I875="","",_xlfn.XLOOKUP(TRIM(I875),'SkillMasterSkill ID'!$C:$C,'SkillMasterSkill ID'!$F:$F,"NOT FOUND",0))</f>
        <v>NOT FOUND</v>
      </c>
      <c r="K875" s="50"/>
      <c r="L875" s="50"/>
    </row>
    <row r="876" spans="1:12" x14ac:dyDescent="0.25">
      <c r="A87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76">
        <v>10201</v>
      </c>
      <c r="C876" t="s">
        <v>752</v>
      </c>
      <c r="D876" s="46"/>
      <c r="E876" t="s">
        <v>951</v>
      </c>
      <c r="F876" s="50"/>
      <c r="G876" t="s">
        <v>2256</v>
      </c>
      <c r="H876" t="s">
        <v>3181</v>
      </c>
      <c r="I876" t="s">
        <v>1396</v>
      </c>
      <c r="J876" s="50" t="str">
        <f>IF(I876="","",_xlfn.XLOOKUP(TRIM(I876),'SkillMasterSkill ID'!$C:$C,'SkillMasterSkill ID'!$F:$F,"NOT FOUND",0))</f>
        <v>NOT FOUND</v>
      </c>
      <c r="K876" s="50"/>
      <c r="L876" s="50"/>
    </row>
    <row r="877" spans="1:12" x14ac:dyDescent="0.25">
      <c r="A87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77">
        <v>10201</v>
      </c>
      <c r="C877" t="s">
        <v>752</v>
      </c>
      <c r="D877" s="46"/>
      <c r="E877" t="s">
        <v>2691</v>
      </c>
      <c r="F877" s="50"/>
      <c r="G877" t="s">
        <v>3045</v>
      </c>
      <c r="H877" t="s">
        <v>3049</v>
      </c>
      <c r="I877" t="s">
        <v>3050</v>
      </c>
      <c r="J877" s="50" t="str">
        <f>IF(I877="","",_xlfn.XLOOKUP(TRIM(I877),'SkillMasterSkill ID'!$C:$C,'SkillMasterSkill ID'!$F:$F,"NOT FOUND",0))</f>
        <v>NOT FOUND</v>
      </c>
      <c r="K877" s="50"/>
      <c r="L877" s="50"/>
    </row>
    <row r="878" spans="1:12" x14ac:dyDescent="0.25">
      <c r="A87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78">
        <v>10201</v>
      </c>
      <c r="C878" t="s">
        <v>752</v>
      </c>
      <c r="D878" s="46"/>
      <c r="E878" t="s">
        <v>3042</v>
      </c>
      <c r="F878" s="50"/>
      <c r="G878" t="s">
        <v>2724</v>
      </c>
      <c r="H878" t="s">
        <v>3175</v>
      </c>
      <c r="I878" t="s">
        <v>3176</v>
      </c>
      <c r="J878" s="50" t="str">
        <f>IF(I878="","",_xlfn.XLOOKUP(TRIM(I878),'SkillMasterSkill ID'!$C:$C,'SkillMasterSkill ID'!$F:$F,"NOT FOUND",0))</f>
        <v>NOT FOUND</v>
      </c>
      <c r="K878" s="50"/>
      <c r="L878" s="50"/>
    </row>
    <row r="879" spans="1:12" x14ac:dyDescent="0.25">
      <c r="A87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79">
        <v>10201</v>
      </c>
      <c r="C879" t="s">
        <v>752</v>
      </c>
      <c r="D879" s="46"/>
      <c r="E879" t="s">
        <v>3151</v>
      </c>
      <c r="F879" s="50"/>
      <c r="G879" t="s">
        <v>3146</v>
      </c>
      <c r="H879" t="s">
        <v>3153</v>
      </c>
      <c r="I879" t="s">
        <v>3154</v>
      </c>
      <c r="J879" s="50" t="str">
        <f>IF(I879="","",_xlfn.XLOOKUP(TRIM(I879),'SkillMasterSkill ID'!$C:$C,'SkillMasterSkill ID'!$F:$F,"NOT FOUND",0))</f>
        <v>NOT FOUND</v>
      </c>
      <c r="K879" s="50"/>
      <c r="L879" s="50"/>
    </row>
    <row r="880" spans="1:12" x14ac:dyDescent="0.25">
      <c r="A88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80">
        <v>10201</v>
      </c>
      <c r="C880" t="s">
        <v>752</v>
      </c>
      <c r="D880" s="46"/>
      <c r="E880" t="s">
        <v>2654</v>
      </c>
      <c r="F880" s="50"/>
      <c r="G880" t="s">
        <v>3135</v>
      </c>
      <c r="H880" t="s">
        <v>3138</v>
      </c>
      <c r="I880" t="s">
        <v>3139</v>
      </c>
      <c r="J880" s="50" t="str">
        <f>IF(I880="","",_xlfn.XLOOKUP(TRIM(I880),'SkillMasterSkill ID'!$C:$C,'SkillMasterSkill ID'!$F:$F,"NOT FOUND",0))</f>
        <v>NOT FOUND</v>
      </c>
      <c r="K880" s="50"/>
      <c r="L880" s="50"/>
    </row>
    <row r="881" spans="1:12" x14ac:dyDescent="0.25">
      <c r="A88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81">
        <v>10201</v>
      </c>
      <c r="C881" t="s">
        <v>752</v>
      </c>
      <c r="D881" s="46"/>
      <c r="E881" t="s">
        <v>1392</v>
      </c>
      <c r="F881" s="50"/>
      <c r="G881" t="s">
        <v>3129</v>
      </c>
      <c r="H881" t="s">
        <v>3130</v>
      </c>
      <c r="I881" t="s">
        <v>1391</v>
      </c>
      <c r="J881" s="50" t="str">
        <f>IF(I881="","",_xlfn.XLOOKUP(TRIM(I881),'SkillMasterSkill ID'!$C:$C,'SkillMasterSkill ID'!$F:$F,"NOT FOUND",0))</f>
        <v>NOT FOUND</v>
      </c>
      <c r="K881" s="50"/>
      <c r="L881" s="50"/>
    </row>
    <row r="882" spans="1:12" x14ac:dyDescent="0.25">
      <c r="A88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82">
        <v>10201</v>
      </c>
      <c r="C882" t="s">
        <v>752</v>
      </c>
      <c r="D882" s="46"/>
      <c r="E882" t="s">
        <v>3096</v>
      </c>
      <c r="F882" s="50"/>
      <c r="G882" t="s">
        <v>3091</v>
      </c>
      <c r="H882" t="s">
        <v>3098</v>
      </c>
      <c r="I882" t="s">
        <v>3099</v>
      </c>
      <c r="J882" s="50" t="str">
        <f>IF(I882="","",_xlfn.XLOOKUP(TRIM(I882),'SkillMasterSkill ID'!$C:$C,'SkillMasterSkill ID'!$F:$F,"NOT FOUND",0))</f>
        <v>NOT FOUND</v>
      </c>
      <c r="K882" s="50"/>
      <c r="L882" s="50"/>
    </row>
    <row r="883" spans="1:12" x14ac:dyDescent="0.25">
      <c r="A88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83">
        <v>10201</v>
      </c>
      <c r="C883" t="s">
        <v>752</v>
      </c>
      <c r="D883" s="46"/>
      <c r="E883" t="s">
        <v>961</v>
      </c>
      <c r="F883" s="50"/>
      <c r="G883" t="s">
        <v>3070</v>
      </c>
      <c r="H883" t="s">
        <v>3078</v>
      </c>
      <c r="I883" t="s">
        <v>3079</v>
      </c>
      <c r="J883" s="50" t="str">
        <f>IF(I883="","",_xlfn.XLOOKUP(TRIM(I883),'SkillMasterSkill ID'!$C:$C,'SkillMasterSkill ID'!$F:$F,"NOT FOUND",0))</f>
        <v>NOT FOUND</v>
      </c>
      <c r="K883" s="50"/>
      <c r="L883" s="50"/>
    </row>
    <row r="884" spans="1:12" x14ac:dyDescent="0.25">
      <c r="A88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84">
        <v>10201</v>
      </c>
      <c r="C884" t="s">
        <v>752</v>
      </c>
      <c r="D884" s="46"/>
      <c r="E884" t="s">
        <v>947</v>
      </c>
      <c r="F884" s="50"/>
      <c r="G884" t="s">
        <v>3146</v>
      </c>
      <c r="H884" t="s">
        <v>3149</v>
      </c>
      <c r="I884" t="s">
        <v>3150</v>
      </c>
      <c r="J884" s="50" t="str">
        <f>IF(I884="","",_xlfn.XLOOKUP(TRIM(I884),'SkillMasterSkill ID'!$C:$C,'SkillMasterSkill ID'!$F:$F,"NOT FOUND",0))</f>
        <v>NOT FOUND</v>
      </c>
      <c r="K884" s="50"/>
      <c r="L884" s="50"/>
    </row>
    <row r="885" spans="1:12" x14ac:dyDescent="0.25">
      <c r="A88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85">
        <v>10201</v>
      </c>
      <c r="C885" t="s">
        <v>752</v>
      </c>
      <c r="D885" s="46"/>
      <c r="E885" t="s">
        <v>947</v>
      </c>
      <c r="F885" s="50"/>
      <c r="G885" t="s">
        <v>3146</v>
      </c>
      <c r="H885" t="s">
        <v>3148</v>
      </c>
      <c r="I885" t="s">
        <v>2780</v>
      </c>
      <c r="J885" s="50" t="str">
        <f>IF(I885="","",_xlfn.XLOOKUP(TRIM(I885),'SkillMasterSkill ID'!$C:$C,'SkillMasterSkill ID'!$F:$F,"NOT FOUND",0))</f>
        <v>NOT FOUND</v>
      </c>
      <c r="K885" s="50"/>
      <c r="L885" s="50"/>
    </row>
    <row r="886" spans="1:12" x14ac:dyDescent="0.25">
      <c r="A88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86">
        <v>10201</v>
      </c>
      <c r="C886" t="s">
        <v>752</v>
      </c>
      <c r="D886" s="46"/>
      <c r="E886" t="s">
        <v>2665</v>
      </c>
      <c r="F886" s="50"/>
      <c r="G886" t="s">
        <v>1622</v>
      </c>
      <c r="H886" t="s">
        <v>2807</v>
      </c>
      <c r="I886" t="s">
        <v>2668</v>
      </c>
      <c r="J886" s="50" t="str">
        <f>IF(I886="","",_xlfn.XLOOKUP(TRIM(I886),'SkillMasterSkill ID'!$C:$C,'SkillMasterSkill ID'!$F:$F,"NOT FOUND",0))</f>
        <v>NOT FOUND</v>
      </c>
      <c r="K886" s="50"/>
      <c r="L886" s="50"/>
    </row>
    <row r="887" spans="1:12" x14ac:dyDescent="0.25">
      <c r="A88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87">
        <v>10201</v>
      </c>
      <c r="C887" t="s">
        <v>752</v>
      </c>
      <c r="D887" s="46"/>
      <c r="E887" t="s">
        <v>3162</v>
      </c>
      <c r="F887" s="50"/>
      <c r="G887" t="s">
        <v>3155</v>
      </c>
      <c r="H887" t="s">
        <v>3163</v>
      </c>
      <c r="I887" t="s">
        <v>3164</v>
      </c>
      <c r="J887" s="50" t="str">
        <f>IF(I887="","",_xlfn.XLOOKUP(TRIM(I887),'SkillMasterSkill ID'!$C:$C,'SkillMasterSkill ID'!$F:$F,"NOT FOUND",0))</f>
        <v>NOT FOUND</v>
      </c>
      <c r="K887" s="50"/>
      <c r="L887" s="50"/>
    </row>
    <row r="888" spans="1:12" x14ac:dyDescent="0.25">
      <c r="A88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88">
        <v>10201</v>
      </c>
      <c r="C888" t="s">
        <v>752</v>
      </c>
      <c r="D888" s="46"/>
      <c r="E888" t="s">
        <v>3116</v>
      </c>
      <c r="F888" s="50"/>
      <c r="G888" t="s">
        <v>3115</v>
      </c>
      <c r="H888" t="s">
        <v>3118</v>
      </c>
      <c r="I888" t="s">
        <v>3119</v>
      </c>
      <c r="J888" s="50" t="str">
        <f>IF(I888="","",_xlfn.XLOOKUP(TRIM(I888),'SkillMasterSkill ID'!$C:$C,'SkillMasterSkill ID'!$F:$F,"NOT FOUND",0))</f>
        <v>NOT FOUND</v>
      </c>
      <c r="K888" s="50"/>
      <c r="L888" s="50"/>
    </row>
    <row r="889" spans="1:12" x14ac:dyDescent="0.25">
      <c r="A88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89">
        <v>10201</v>
      </c>
      <c r="C889" t="s">
        <v>752</v>
      </c>
      <c r="D889" s="46"/>
      <c r="E889" t="s">
        <v>963</v>
      </c>
      <c r="F889" s="50"/>
      <c r="G889" t="s">
        <v>3129</v>
      </c>
      <c r="H889" t="s">
        <v>3133</v>
      </c>
      <c r="I889" t="s">
        <v>3134</v>
      </c>
      <c r="J889" s="50" t="str">
        <f>IF(I889="","",_xlfn.XLOOKUP(TRIM(I889),'SkillMasterSkill ID'!$C:$C,'SkillMasterSkill ID'!$F:$F,"NOT FOUND",0))</f>
        <v>NOT FOUND</v>
      </c>
      <c r="K889" s="50"/>
      <c r="L889" s="50"/>
    </row>
    <row r="890" spans="1:12" x14ac:dyDescent="0.25">
      <c r="A89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90">
        <v>10201</v>
      </c>
      <c r="C890" t="s">
        <v>752</v>
      </c>
      <c r="D890" s="46"/>
      <c r="E890" t="s">
        <v>873</v>
      </c>
      <c r="F890" s="50"/>
      <c r="G890" t="s">
        <v>3165</v>
      </c>
      <c r="H890" t="s">
        <v>3170</v>
      </c>
      <c r="I890" t="s">
        <v>3171</v>
      </c>
      <c r="J890" s="50" t="str">
        <f>IF(I890="","",_xlfn.XLOOKUP(TRIM(I890),'SkillMasterSkill ID'!$C:$C,'SkillMasterSkill ID'!$F:$F,"NOT FOUND",0))</f>
        <v>NOT FOUND</v>
      </c>
      <c r="K890" s="50"/>
      <c r="L890" s="50"/>
    </row>
    <row r="891" spans="1:12" x14ac:dyDescent="0.25">
      <c r="A89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91">
        <v>10201</v>
      </c>
      <c r="C891" t="s">
        <v>752</v>
      </c>
      <c r="D891" s="46"/>
      <c r="E891" t="s">
        <v>3036</v>
      </c>
      <c r="F891" s="50"/>
      <c r="G891" t="s">
        <v>3070</v>
      </c>
      <c r="H891" t="s">
        <v>3076</v>
      </c>
      <c r="I891" t="s">
        <v>3077</v>
      </c>
      <c r="J891" s="50" t="str">
        <f>IF(I891="","",_xlfn.XLOOKUP(TRIM(I891),'SkillMasterSkill ID'!$C:$C,'SkillMasterSkill ID'!$F:$F,"NOT FOUND",0))</f>
        <v>NOT FOUND</v>
      </c>
      <c r="K891" s="50"/>
      <c r="L891" s="50"/>
    </row>
    <row r="892" spans="1:12" x14ac:dyDescent="0.25">
      <c r="A89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92">
        <v>10201</v>
      </c>
      <c r="C892" t="s">
        <v>752</v>
      </c>
      <c r="D892" s="46"/>
      <c r="E892" t="s">
        <v>3055</v>
      </c>
      <c r="F892" s="50"/>
      <c r="G892" t="s">
        <v>3045</v>
      </c>
      <c r="H892" t="s">
        <v>3057</v>
      </c>
      <c r="I892" t="s">
        <v>3058</v>
      </c>
      <c r="J892" s="50" t="str">
        <f>IF(I892="","",_xlfn.XLOOKUP(TRIM(I892),'SkillMasterSkill ID'!$C:$C,'SkillMasterSkill ID'!$F:$F,"NOT FOUND",0))</f>
        <v>NOT FOUND</v>
      </c>
      <c r="K892" s="50"/>
      <c r="L892" s="50"/>
    </row>
    <row r="893" spans="1:12" x14ac:dyDescent="0.25">
      <c r="A89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93">
        <v>10201</v>
      </c>
      <c r="C893" t="s">
        <v>752</v>
      </c>
      <c r="D893" s="46"/>
      <c r="E893" t="s">
        <v>816</v>
      </c>
      <c r="F893" s="50"/>
      <c r="G893" t="s">
        <v>3059</v>
      </c>
      <c r="H893" t="s">
        <v>3068</v>
      </c>
      <c r="I893" t="s">
        <v>3069</v>
      </c>
      <c r="J893" s="50" t="str">
        <f>IF(I893="","",_xlfn.XLOOKUP(TRIM(I893),'SkillMasterSkill ID'!$C:$C,'SkillMasterSkill ID'!$F:$F,"NOT FOUND",0))</f>
        <v>NOT FOUND</v>
      </c>
      <c r="K893" s="50"/>
      <c r="L893" s="50"/>
    </row>
    <row r="894" spans="1:12" x14ac:dyDescent="0.25">
      <c r="A89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94">
        <v>10201</v>
      </c>
      <c r="C894" t="s">
        <v>752</v>
      </c>
      <c r="D894" s="46"/>
      <c r="E894" t="s">
        <v>3096</v>
      </c>
      <c r="F894" s="50"/>
      <c r="G894" t="s">
        <v>3091</v>
      </c>
      <c r="H894" t="s">
        <v>3100</v>
      </c>
      <c r="I894" t="s">
        <v>3101</v>
      </c>
      <c r="J894" s="50" t="str">
        <f>IF(I894="","",_xlfn.XLOOKUP(TRIM(I894),'SkillMasterSkill ID'!$C:$C,'SkillMasterSkill ID'!$F:$F,"NOT FOUND",0))</f>
        <v>NOT FOUND</v>
      </c>
      <c r="K894" s="50"/>
      <c r="L894" s="50"/>
    </row>
    <row r="895" spans="1:12" x14ac:dyDescent="0.25">
      <c r="A89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95">
        <v>10201</v>
      </c>
      <c r="C895" t="s">
        <v>752</v>
      </c>
      <c r="D895" s="46"/>
      <c r="E895" t="s">
        <v>3087</v>
      </c>
      <c r="F895" s="50"/>
      <c r="G895" t="s">
        <v>3080</v>
      </c>
      <c r="H895" t="s">
        <v>3089</v>
      </c>
      <c r="I895" t="s">
        <v>3090</v>
      </c>
      <c r="J895" s="50" t="str">
        <f>IF(I895="","",_xlfn.XLOOKUP(TRIM(I895),'SkillMasterSkill ID'!$C:$C,'SkillMasterSkill ID'!$F:$F,"NOT FOUND",0))</f>
        <v>NOT FOUND</v>
      </c>
      <c r="K895" s="50"/>
      <c r="L895" s="50"/>
    </row>
    <row r="896" spans="1:12" x14ac:dyDescent="0.25">
      <c r="A89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96">
        <v>10201</v>
      </c>
      <c r="C896" t="s">
        <v>752</v>
      </c>
      <c r="D896" s="46"/>
      <c r="E896" t="s">
        <v>2899</v>
      </c>
      <c r="F896" s="50"/>
      <c r="G896" t="s">
        <v>2724</v>
      </c>
      <c r="H896" t="s">
        <v>3177</v>
      </c>
      <c r="I896" t="s">
        <v>3178</v>
      </c>
      <c r="J896" s="50" t="str">
        <f>IF(I896="","",_xlfn.XLOOKUP(TRIM(I896),'SkillMasterSkill ID'!$C:$C,'SkillMasterSkill ID'!$F:$F,"NOT FOUND",0))</f>
        <v>NOT FOUND</v>
      </c>
      <c r="K896" s="50"/>
      <c r="L896" s="50"/>
    </row>
    <row r="897" spans="1:12" x14ac:dyDescent="0.25">
      <c r="A89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97">
        <v>10201</v>
      </c>
      <c r="C897" t="s">
        <v>752</v>
      </c>
      <c r="D897" s="46"/>
      <c r="E897" t="s">
        <v>1457</v>
      </c>
      <c r="F897" s="50"/>
      <c r="G897" t="s">
        <v>3115</v>
      </c>
      <c r="H897" t="s">
        <v>3123</v>
      </c>
      <c r="I897" t="s">
        <v>3124</v>
      </c>
      <c r="J897" s="50" t="str">
        <f>IF(I897="","",_xlfn.XLOOKUP(TRIM(I897),'SkillMasterSkill ID'!$C:$C,'SkillMasterSkill ID'!$F:$F,"NOT FOUND",0))</f>
        <v>NOT FOUND</v>
      </c>
      <c r="K897" s="50"/>
      <c r="L897" s="50"/>
    </row>
    <row r="898" spans="1:12" x14ac:dyDescent="0.25">
      <c r="A89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98">
        <v>10201</v>
      </c>
      <c r="C898" t="s">
        <v>752</v>
      </c>
      <c r="D898" s="46"/>
      <c r="E898" t="s">
        <v>3081</v>
      </c>
      <c r="F898" s="50"/>
      <c r="G898" t="s">
        <v>3080</v>
      </c>
      <c r="H898" t="s">
        <v>3085</v>
      </c>
      <c r="I898" t="s">
        <v>3086</v>
      </c>
      <c r="J898" s="50" t="str">
        <f>IF(I898="","",_xlfn.XLOOKUP(TRIM(I898),'SkillMasterSkill ID'!$C:$C,'SkillMasterSkill ID'!$F:$F,"NOT FOUND",0))</f>
        <v>NOT FOUND</v>
      </c>
      <c r="K898" s="50"/>
      <c r="L898" s="50"/>
    </row>
    <row r="899" spans="1:12" x14ac:dyDescent="0.25">
      <c r="A89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899">
        <v>10201</v>
      </c>
      <c r="C899" t="s">
        <v>752</v>
      </c>
      <c r="D899" s="46"/>
      <c r="E899" t="s">
        <v>3081</v>
      </c>
      <c r="F899" s="50"/>
      <c r="G899" t="s">
        <v>3080</v>
      </c>
      <c r="H899" t="s">
        <v>3083</v>
      </c>
      <c r="I899" t="s">
        <v>3084</v>
      </c>
      <c r="J899" s="50" t="str">
        <f>IF(I899="","",_xlfn.XLOOKUP(TRIM(I899),'SkillMasterSkill ID'!$C:$C,'SkillMasterSkill ID'!$F:$F,"NOT FOUND",0))</f>
        <v>NOT FOUND</v>
      </c>
      <c r="K899" s="50"/>
      <c r="L899" s="50"/>
    </row>
    <row r="900" spans="1:12" x14ac:dyDescent="0.25">
      <c r="A90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00">
        <v>10201</v>
      </c>
      <c r="C900" t="s">
        <v>752</v>
      </c>
      <c r="D900" s="46"/>
      <c r="E900" t="s">
        <v>2691</v>
      </c>
      <c r="F900" s="50"/>
      <c r="G900" t="s">
        <v>3045</v>
      </c>
      <c r="H900" t="s">
        <v>3051</v>
      </c>
      <c r="I900" t="s">
        <v>3052</v>
      </c>
      <c r="J900" s="50" t="str">
        <f>IF(I900="","",_xlfn.XLOOKUP(TRIM(I900),'SkillMasterSkill ID'!$C:$C,'SkillMasterSkill ID'!$F:$F,"NOT FOUND",0))</f>
        <v>NOT FOUND</v>
      </c>
      <c r="K900" s="50"/>
      <c r="L900" s="50"/>
    </row>
    <row r="901" spans="1:12" x14ac:dyDescent="0.25">
      <c r="A90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01">
        <v>10201</v>
      </c>
      <c r="C901" t="s">
        <v>752</v>
      </c>
      <c r="D901" s="46"/>
      <c r="E901" t="s">
        <v>951</v>
      </c>
      <c r="F901" s="50"/>
      <c r="G901" t="s">
        <v>2256</v>
      </c>
      <c r="H901" t="s">
        <v>3179</v>
      </c>
      <c r="I901" t="s">
        <v>3180</v>
      </c>
      <c r="J901" s="50" t="str">
        <f>IF(I901="","",_xlfn.XLOOKUP(TRIM(I901),'SkillMasterSkill ID'!$C:$C,'SkillMasterSkill ID'!$F:$F,"NOT FOUND",0))</f>
        <v>NOT FOUND</v>
      </c>
      <c r="K901" s="50"/>
      <c r="L901" s="50"/>
    </row>
    <row r="902" spans="1:12" x14ac:dyDescent="0.25">
      <c r="A90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02">
        <v>10201</v>
      </c>
      <c r="C902" t="s">
        <v>752</v>
      </c>
      <c r="D902" s="46"/>
      <c r="E902" t="s">
        <v>1457</v>
      </c>
      <c r="F902" s="50"/>
      <c r="G902" t="s">
        <v>3115</v>
      </c>
      <c r="H902" t="s">
        <v>3121</v>
      </c>
      <c r="I902" t="s">
        <v>3122</v>
      </c>
      <c r="J902" s="50" t="str">
        <f>IF(I902="","",_xlfn.XLOOKUP(TRIM(I902),'SkillMasterSkill ID'!$C:$C,'SkillMasterSkill ID'!$F:$F,"NOT FOUND",0))</f>
        <v>NOT FOUND</v>
      </c>
      <c r="K902" s="50"/>
      <c r="L902" s="50"/>
    </row>
    <row r="903" spans="1:12" x14ac:dyDescent="0.25">
      <c r="A90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03">
        <v>10201</v>
      </c>
      <c r="C903" t="s">
        <v>752</v>
      </c>
      <c r="D903" s="46"/>
      <c r="E903" t="s">
        <v>871</v>
      </c>
      <c r="F903" s="50"/>
      <c r="G903" t="s">
        <v>1622</v>
      </c>
      <c r="H903" t="s">
        <v>3030</v>
      </c>
      <c r="I903" t="s">
        <v>3031</v>
      </c>
      <c r="J903" s="50" t="str">
        <f>IF(I903="","",_xlfn.XLOOKUP(TRIM(I903),'SkillMasterSkill ID'!$C:$C,'SkillMasterSkill ID'!$F:$F,"NOT FOUND",0))</f>
        <v>NOT FOUND</v>
      </c>
      <c r="K903" s="50"/>
      <c r="L903" s="50"/>
    </row>
    <row r="904" spans="1:12" x14ac:dyDescent="0.25">
      <c r="A90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04">
        <v>10201</v>
      </c>
      <c r="C904" t="s">
        <v>752</v>
      </c>
      <c r="D904" s="46"/>
      <c r="E904" t="s">
        <v>2208</v>
      </c>
      <c r="F904" s="50"/>
      <c r="G904" t="s">
        <v>3106</v>
      </c>
      <c r="H904" t="s">
        <v>3113</v>
      </c>
      <c r="I904" t="s">
        <v>3114</v>
      </c>
      <c r="J904" s="50" t="str">
        <f>IF(I904="","",_xlfn.XLOOKUP(TRIM(I904),'SkillMasterSkill ID'!$C:$C,'SkillMasterSkill ID'!$F:$F,"NOT FOUND",0))</f>
        <v>NOT FOUND</v>
      </c>
      <c r="K904" s="50"/>
      <c r="L904" s="50"/>
    </row>
    <row r="905" spans="1:12" x14ac:dyDescent="0.25">
      <c r="A90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05">
        <v>10201</v>
      </c>
      <c r="C905" t="s">
        <v>752</v>
      </c>
      <c r="D905" s="46"/>
      <c r="E905" t="s">
        <v>2207</v>
      </c>
      <c r="F905" s="50"/>
      <c r="G905" t="s">
        <v>1622</v>
      </c>
      <c r="H905" t="s">
        <v>3032</v>
      </c>
      <c r="I905" t="s">
        <v>3033</v>
      </c>
      <c r="J905" s="50" t="str">
        <f>IF(I905="","",_xlfn.XLOOKUP(TRIM(I905),'SkillMasterSkill ID'!$C:$C,'SkillMasterSkill ID'!$F:$F,"NOT FOUND",0))</f>
        <v>NOT FOUND</v>
      </c>
      <c r="K905" s="50"/>
      <c r="L905" s="50"/>
    </row>
    <row r="906" spans="1:12" x14ac:dyDescent="0.25">
      <c r="A90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06">
        <v>10201</v>
      </c>
      <c r="C906" t="s">
        <v>752</v>
      </c>
      <c r="D906" s="46"/>
      <c r="E906" t="s">
        <v>1371</v>
      </c>
      <c r="F906" s="50"/>
      <c r="G906" t="s">
        <v>3045</v>
      </c>
      <c r="H906" t="s">
        <v>3053</v>
      </c>
      <c r="I906" t="s">
        <v>3054</v>
      </c>
      <c r="J906" s="50" t="str">
        <f>IF(I906="","",_xlfn.XLOOKUP(TRIM(I906),'SkillMasterSkill ID'!$C:$C,'SkillMasterSkill ID'!$F:$F,"NOT FOUND",0))</f>
        <v>NOT FOUND</v>
      </c>
      <c r="K906" s="50"/>
      <c r="L906" s="50"/>
    </row>
    <row r="907" spans="1:12" x14ac:dyDescent="0.25">
      <c r="A90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07">
        <v>10201</v>
      </c>
      <c r="C907" t="s">
        <v>752</v>
      </c>
      <c r="D907" s="46"/>
      <c r="E907" t="s">
        <v>3071</v>
      </c>
      <c r="F907" s="50"/>
      <c r="G907" t="s">
        <v>3070</v>
      </c>
      <c r="H907" t="s">
        <v>3073</v>
      </c>
      <c r="I907" t="s">
        <v>3074</v>
      </c>
      <c r="J907" s="50" t="str">
        <f>IF(I907="","",_xlfn.XLOOKUP(TRIM(I907),'SkillMasterSkill ID'!$C:$C,'SkillMasterSkill ID'!$F:$F,"NOT FOUND",0))</f>
        <v>NOT FOUND</v>
      </c>
      <c r="K907" s="50"/>
      <c r="L907" s="50"/>
    </row>
    <row r="908" spans="1:12" x14ac:dyDescent="0.25">
      <c r="A90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08">
        <v>10201</v>
      </c>
      <c r="C908" t="s">
        <v>752</v>
      </c>
      <c r="D908" s="46"/>
      <c r="E908" t="s">
        <v>1394</v>
      </c>
      <c r="F908" s="50"/>
      <c r="G908" t="s">
        <v>3059</v>
      </c>
      <c r="H908" t="s">
        <v>3061</v>
      </c>
      <c r="I908" t="s">
        <v>3062</v>
      </c>
      <c r="J908" s="50" t="str">
        <f>IF(I908="","",_xlfn.XLOOKUP(TRIM(I908),'SkillMasterSkill ID'!$C:$C,'SkillMasterSkill ID'!$F:$F,"NOT FOUND",0))</f>
        <v>NOT FOUND</v>
      </c>
      <c r="K908" s="50"/>
      <c r="L908" s="50"/>
    </row>
    <row r="909" spans="1:12" x14ac:dyDescent="0.25">
      <c r="A90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09">
        <v>10201</v>
      </c>
      <c r="C909" t="s">
        <v>752</v>
      </c>
      <c r="D909" s="46"/>
      <c r="E909" t="s">
        <v>1394</v>
      </c>
      <c r="F909" s="50"/>
      <c r="G909" t="s">
        <v>3059</v>
      </c>
      <c r="H909" t="s">
        <v>3060</v>
      </c>
      <c r="I909" t="s">
        <v>826</v>
      </c>
      <c r="J909" s="50" t="str">
        <f>IF(I909="","",_xlfn.XLOOKUP(TRIM(I909),'SkillMasterSkill ID'!$C:$C,'SkillMasterSkill ID'!$F:$F,"NOT FOUND",0))</f>
        <v>Ability to plan and sequence work effectively, using schedules, constraints, and lookahead thinking to meet targets.</v>
      </c>
      <c r="K909" s="50"/>
      <c r="L909" s="50"/>
    </row>
    <row r="910" spans="1:12" x14ac:dyDescent="0.25">
      <c r="A91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10">
        <v>10201</v>
      </c>
      <c r="C910" t="s">
        <v>752</v>
      </c>
      <c r="D910" s="46"/>
      <c r="E910" t="s">
        <v>1394</v>
      </c>
      <c r="F910" s="50"/>
      <c r="G910" t="s">
        <v>3106</v>
      </c>
      <c r="H910" t="s">
        <v>3107</v>
      </c>
      <c r="I910" t="s">
        <v>3108</v>
      </c>
      <c r="J910" s="50" t="str">
        <f>IF(I910="","",_xlfn.XLOOKUP(TRIM(I910),'SkillMasterSkill ID'!$C:$C,'SkillMasterSkill ID'!$F:$F,"NOT FOUND",0))</f>
        <v>NOT FOUND</v>
      </c>
      <c r="K910" s="50"/>
      <c r="L910" s="50"/>
    </row>
    <row r="911" spans="1:12" x14ac:dyDescent="0.25">
      <c r="A91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11">
        <v>10201</v>
      </c>
      <c r="C911" t="s">
        <v>752</v>
      </c>
      <c r="D911" s="46"/>
      <c r="E911" t="s">
        <v>2691</v>
      </c>
      <c r="F911" s="50"/>
      <c r="G911" t="s">
        <v>3045</v>
      </c>
      <c r="H911" t="s">
        <v>3047</v>
      </c>
      <c r="I911" t="s">
        <v>3048</v>
      </c>
      <c r="J911" s="50" t="str">
        <f>IF(I911="","",_xlfn.XLOOKUP(TRIM(I911),'SkillMasterSkill ID'!$C:$C,'SkillMasterSkill ID'!$F:$F,"NOT FOUND",0))</f>
        <v>NOT FOUND</v>
      </c>
      <c r="K911" s="50"/>
      <c r="L911" s="50"/>
    </row>
    <row r="912" spans="1:12" x14ac:dyDescent="0.25">
      <c r="A91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12">
        <v>10201</v>
      </c>
      <c r="C912" t="s">
        <v>752</v>
      </c>
      <c r="D912" s="46"/>
      <c r="E912" t="s">
        <v>3109</v>
      </c>
      <c r="F912" s="50"/>
      <c r="G912" t="s">
        <v>3106</v>
      </c>
      <c r="H912" t="s">
        <v>3111</v>
      </c>
      <c r="I912" t="s">
        <v>3112</v>
      </c>
      <c r="J912" s="50" t="str">
        <f>IF(I912="","",_xlfn.XLOOKUP(TRIM(I912),'SkillMasterSkill ID'!$C:$C,'SkillMasterSkill ID'!$F:$F,"NOT FOUND",0))</f>
        <v>NOT FOUND</v>
      </c>
      <c r="K912" s="50"/>
      <c r="L912" s="50"/>
    </row>
    <row r="913" spans="1:12" x14ac:dyDescent="0.25">
      <c r="A91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13">
        <v>10201</v>
      </c>
      <c r="C913" t="s">
        <v>752</v>
      </c>
      <c r="D913" s="46"/>
      <c r="E913" t="s">
        <v>3092</v>
      </c>
      <c r="F913" s="50"/>
      <c r="G913" t="s">
        <v>3091</v>
      </c>
      <c r="H913" t="s">
        <v>3094</v>
      </c>
      <c r="I913" t="s">
        <v>3095</v>
      </c>
      <c r="J913" s="50" t="str">
        <f>IF(I913="","",_xlfn.XLOOKUP(TRIM(I913),'SkillMasterSkill ID'!$C:$C,'SkillMasterSkill ID'!$F:$F,"NOT FOUND",0))</f>
        <v>NOT FOUND</v>
      </c>
      <c r="K913" s="50"/>
      <c r="L913" s="50"/>
    </row>
    <row r="914" spans="1:12" x14ac:dyDescent="0.25">
      <c r="A91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14">
        <v>10201</v>
      </c>
      <c r="C914" t="s">
        <v>752</v>
      </c>
      <c r="D914" s="46"/>
      <c r="E914" t="s">
        <v>3142</v>
      </c>
      <c r="F914" s="50"/>
      <c r="G914" t="s">
        <v>3135</v>
      </c>
      <c r="H914" t="s">
        <v>3144</v>
      </c>
      <c r="I914" t="s">
        <v>3145</v>
      </c>
      <c r="J914" s="50" t="str">
        <f>IF(I914="","",_xlfn.XLOOKUP(TRIM(I914),'SkillMasterSkill ID'!$C:$C,'SkillMasterSkill ID'!$F:$F,"NOT FOUND",0))</f>
        <v>NOT FOUND</v>
      </c>
      <c r="K914" s="50"/>
      <c r="L914" s="50"/>
    </row>
    <row r="915" spans="1:12" x14ac:dyDescent="0.25">
      <c r="A91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15">
        <v>10201</v>
      </c>
      <c r="C915" t="s">
        <v>752</v>
      </c>
      <c r="D915" s="46"/>
      <c r="E915" t="s">
        <v>1392</v>
      </c>
      <c r="F915" s="50"/>
      <c r="G915" t="s">
        <v>3129</v>
      </c>
      <c r="H915" t="s">
        <v>3131</v>
      </c>
      <c r="I915" t="s">
        <v>3132</v>
      </c>
      <c r="J915" s="50" t="str">
        <f>IF(I915="","",_xlfn.XLOOKUP(TRIM(I915),'SkillMasterSkill ID'!$C:$C,'SkillMasterSkill ID'!$F:$F,"NOT FOUND",0))</f>
        <v>NOT FOUND</v>
      </c>
      <c r="K915" s="50"/>
      <c r="L915" s="50"/>
    </row>
    <row r="916" spans="1:12" x14ac:dyDescent="0.25">
      <c r="A91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16">
        <v>10201</v>
      </c>
      <c r="C916" t="s">
        <v>752</v>
      </c>
      <c r="D916" s="46"/>
      <c r="E916" t="s">
        <v>816</v>
      </c>
      <c r="F916" s="50"/>
      <c r="G916" t="s">
        <v>3059</v>
      </c>
      <c r="H916" t="s">
        <v>3064</v>
      </c>
      <c r="I916" t="s">
        <v>3065</v>
      </c>
      <c r="J916" s="50" t="str">
        <f>IF(I916="","",_xlfn.XLOOKUP(TRIM(I916),'SkillMasterSkill ID'!$C:$C,'SkillMasterSkill ID'!$F:$F,"NOT FOUND",0))</f>
        <v>NOT FOUND</v>
      </c>
      <c r="K916" s="50"/>
      <c r="L916" s="50"/>
    </row>
    <row r="917" spans="1:12" x14ac:dyDescent="0.25">
      <c r="A91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17">
        <v>10201</v>
      </c>
      <c r="C917" t="s">
        <v>752</v>
      </c>
      <c r="D917" s="46"/>
      <c r="E917" t="s">
        <v>3125</v>
      </c>
      <c r="F917" s="50"/>
      <c r="G917" t="s">
        <v>3115</v>
      </c>
      <c r="H917" t="s">
        <v>3127</v>
      </c>
      <c r="I917" t="s">
        <v>3128</v>
      </c>
      <c r="J917" s="50" t="str">
        <f>IF(I917="","",_xlfn.XLOOKUP(TRIM(I917),'SkillMasterSkill ID'!$C:$C,'SkillMasterSkill ID'!$F:$F,"NOT FOUND",0))</f>
        <v>NOT FOUND</v>
      </c>
      <c r="K917" s="50"/>
      <c r="L917" s="50"/>
    </row>
    <row r="918" spans="1:12" x14ac:dyDescent="0.25">
      <c r="A91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18">
        <v>10201</v>
      </c>
      <c r="C918" t="s">
        <v>752</v>
      </c>
      <c r="D918" s="46"/>
      <c r="E918" t="s">
        <v>3102</v>
      </c>
      <c r="F918" s="50"/>
      <c r="G918" t="s">
        <v>3091</v>
      </c>
      <c r="H918" t="s">
        <v>3104</v>
      </c>
      <c r="I918" t="s">
        <v>3105</v>
      </c>
      <c r="J918" s="50" t="str">
        <f>IF(I918="","",_xlfn.XLOOKUP(TRIM(I918),'SkillMasterSkill ID'!$C:$C,'SkillMasterSkill ID'!$F:$F,"NOT FOUND",0))</f>
        <v>NOT FOUND</v>
      </c>
      <c r="K918" s="50"/>
      <c r="L918" s="50"/>
    </row>
    <row r="919" spans="1:12" x14ac:dyDescent="0.25">
      <c r="A91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19">
        <v>5110</v>
      </c>
      <c r="C919" t="s">
        <v>4367</v>
      </c>
      <c r="D919" s="46"/>
      <c r="E919" t="s">
        <v>2665</v>
      </c>
      <c r="F919" s="50"/>
      <c r="G919" t="s">
        <v>4224</v>
      </c>
      <c r="H919" t="s">
        <v>4398</v>
      </c>
      <c r="I919" t="s">
        <v>4399</v>
      </c>
      <c r="J919" s="50" t="str">
        <f>IF(I919="","",_xlfn.XLOOKUP(TRIM(I919),'SkillMasterSkill ID'!$C:$C,'SkillMasterSkill ID'!$F:$F,"NOT FOUND",0))</f>
        <v>NOT FOUND</v>
      </c>
      <c r="K919" s="50"/>
      <c r="L919" s="50"/>
    </row>
    <row r="920" spans="1:12" x14ac:dyDescent="0.25">
      <c r="A92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20">
        <v>5110</v>
      </c>
      <c r="C920" t="s">
        <v>4367</v>
      </c>
      <c r="D920" s="46"/>
      <c r="E920" t="s">
        <v>2203</v>
      </c>
      <c r="F920" s="50"/>
      <c r="G920" t="s">
        <v>4224</v>
      </c>
      <c r="H920" t="s">
        <v>4380</v>
      </c>
      <c r="I920" t="s">
        <v>4381</v>
      </c>
      <c r="J920" s="50" t="str">
        <f>IF(I920="","",_xlfn.XLOOKUP(TRIM(I920),'SkillMasterSkill ID'!$C:$C,'SkillMasterSkill ID'!$F:$F,"NOT FOUND",0))</f>
        <v>NOT FOUND</v>
      </c>
      <c r="K920" s="50"/>
      <c r="L920" s="50"/>
    </row>
    <row r="921" spans="1:12" x14ac:dyDescent="0.25">
      <c r="A92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21">
        <v>5110</v>
      </c>
      <c r="C921" t="s">
        <v>4367</v>
      </c>
      <c r="D921" s="46"/>
      <c r="E921" t="s">
        <v>1378</v>
      </c>
      <c r="F921" s="50"/>
      <c r="G921" t="s">
        <v>4224</v>
      </c>
      <c r="H921" t="s">
        <v>4374</v>
      </c>
      <c r="I921" t="s">
        <v>4375</v>
      </c>
      <c r="J921" s="50" t="str">
        <f>IF(I921="","",_xlfn.XLOOKUP(TRIM(I921),'SkillMasterSkill ID'!$C:$C,'SkillMasterSkill ID'!$F:$F,"NOT FOUND",0))</f>
        <v>NOT FOUND</v>
      </c>
      <c r="K921" s="50"/>
      <c r="L921" s="50"/>
    </row>
    <row r="922" spans="1:12" x14ac:dyDescent="0.25">
      <c r="A92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22">
        <v>5110</v>
      </c>
      <c r="C922" t="s">
        <v>4367</v>
      </c>
      <c r="D922" s="46"/>
      <c r="E922" t="s">
        <v>4350</v>
      </c>
      <c r="F922" s="50"/>
      <c r="G922" t="s">
        <v>4224</v>
      </c>
      <c r="H922" t="s">
        <v>4387</v>
      </c>
      <c r="I922" t="s">
        <v>4388</v>
      </c>
      <c r="J922" s="50" t="str">
        <f>IF(I922="","",_xlfn.XLOOKUP(TRIM(I922),'SkillMasterSkill ID'!$C:$C,'SkillMasterSkill ID'!$F:$F,"NOT FOUND",0))</f>
        <v>NOT FOUND</v>
      </c>
      <c r="K922" s="50"/>
      <c r="L922" s="50"/>
    </row>
    <row r="923" spans="1:12" x14ac:dyDescent="0.25">
      <c r="A92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23">
        <v>5110</v>
      </c>
      <c r="C923" t="s">
        <v>4367</v>
      </c>
      <c r="D923" s="46"/>
      <c r="E923" t="s">
        <v>3260</v>
      </c>
      <c r="F923" s="50"/>
      <c r="G923" t="s">
        <v>4224</v>
      </c>
      <c r="H923" t="s">
        <v>4389</v>
      </c>
      <c r="I923" t="s">
        <v>4390</v>
      </c>
      <c r="J923" s="50" t="str">
        <f>IF(I923="","",_xlfn.XLOOKUP(TRIM(I923),'SkillMasterSkill ID'!$C:$C,'SkillMasterSkill ID'!$F:$F,"NOT FOUND",0))</f>
        <v>NOT FOUND</v>
      </c>
      <c r="K923" s="50"/>
      <c r="L923" s="50"/>
    </row>
    <row r="924" spans="1:12" x14ac:dyDescent="0.25">
      <c r="A92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24">
        <v>5110</v>
      </c>
      <c r="C924" t="s">
        <v>4367</v>
      </c>
      <c r="D924" s="46"/>
      <c r="E924" t="s">
        <v>4354</v>
      </c>
      <c r="F924" s="50"/>
      <c r="G924" t="s">
        <v>4224</v>
      </c>
      <c r="H924" t="s">
        <v>4385</v>
      </c>
      <c r="I924" t="s">
        <v>4386</v>
      </c>
      <c r="J924" s="50" t="str">
        <f>IF(I924="","",_xlfn.XLOOKUP(TRIM(I924),'SkillMasterSkill ID'!$C:$C,'SkillMasterSkill ID'!$F:$F,"NOT FOUND",0))</f>
        <v>NOT FOUND</v>
      </c>
      <c r="K924" s="50"/>
      <c r="L924" s="50"/>
    </row>
    <row r="925" spans="1:12" x14ac:dyDescent="0.25">
      <c r="A92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25">
        <v>5110</v>
      </c>
      <c r="C925" t="s">
        <v>4367</v>
      </c>
      <c r="D925" s="46"/>
      <c r="E925" t="s">
        <v>4354</v>
      </c>
      <c r="F925" s="50"/>
      <c r="G925" t="s">
        <v>4224</v>
      </c>
      <c r="H925" t="s">
        <v>4372</v>
      </c>
      <c r="I925" t="s">
        <v>4373</v>
      </c>
      <c r="J925" s="50" t="str">
        <f>IF(I925="","",_xlfn.XLOOKUP(TRIM(I925),'SkillMasterSkill ID'!$C:$C,'SkillMasterSkill ID'!$F:$F,"NOT FOUND",0))</f>
        <v>NOT FOUND</v>
      </c>
      <c r="K925" s="50"/>
      <c r="L925" s="50"/>
    </row>
    <row r="926" spans="1:12" x14ac:dyDescent="0.25">
      <c r="A92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26">
        <v>5110</v>
      </c>
      <c r="C926" t="s">
        <v>4367</v>
      </c>
      <c r="D926" s="46"/>
      <c r="E926" t="s">
        <v>4337</v>
      </c>
      <c r="F926" s="50"/>
      <c r="G926" t="s">
        <v>4224</v>
      </c>
      <c r="H926" t="s">
        <v>4392</v>
      </c>
      <c r="I926" t="s">
        <v>4393</v>
      </c>
      <c r="J926" s="50" t="str">
        <f>IF(I926="","",_xlfn.XLOOKUP(TRIM(I926),'SkillMasterSkill ID'!$C:$C,'SkillMasterSkill ID'!$F:$F,"NOT FOUND",0))</f>
        <v>NOT FOUND</v>
      </c>
      <c r="K926" s="50"/>
      <c r="L926" s="50"/>
    </row>
    <row r="927" spans="1:12" x14ac:dyDescent="0.25">
      <c r="A92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27">
        <v>5110</v>
      </c>
      <c r="C927" t="s">
        <v>4367</v>
      </c>
      <c r="D927" s="46"/>
      <c r="E927" t="s">
        <v>4322</v>
      </c>
      <c r="F927" s="50"/>
      <c r="G927" t="s">
        <v>4224</v>
      </c>
      <c r="H927" t="s">
        <v>4368</v>
      </c>
      <c r="I927" t="s">
        <v>4369</v>
      </c>
      <c r="J927" s="50" t="str">
        <f>IF(I927="","",_xlfn.XLOOKUP(TRIM(I927),'SkillMasterSkill ID'!$C:$C,'SkillMasterSkill ID'!$F:$F,"NOT FOUND",0))</f>
        <v>NOT FOUND</v>
      </c>
      <c r="K927" s="50"/>
      <c r="L927" s="50"/>
    </row>
    <row r="928" spans="1:12" x14ac:dyDescent="0.25">
      <c r="A92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28">
        <v>5110</v>
      </c>
      <c r="C928" t="s">
        <v>4367</v>
      </c>
      <c r="D928" s="46"/>
      <c r="E928" t="s">
        <v>4249</v>
      </c>
      <c r="F928" s="50"/>
      <c r="G928" t="s">
        <v>4224</v>
      </c>
      <c r="H928" t="s">
        <v>4395</v>
      </c>
      <c r="I928" t="s">
        <v>4396</v>
      </c>
      <c r="J928" s="50" t="str">
        <f>IF(I928="","",_xlfn.XLOOKUP(TRIM(I928),'SkillMasterSkill ID'!$C:$C,'SkillMasterSkill ID'!$F:$F,"NOT FOUND",0))</f>
        <v>NOT FOUND</v>
      </c>
      <c r="K928" s="50"/>
      <c r="L928" s="50"/>
    </row>
    <row r="929" spans="1:12" x14ac:dyDescent="0.25">
      <c r="A92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29">
        <v>5110</v>
      </c>
      <c r="C929" t="s">
        <v>4367</v>
      </c>
      <c r="D929" s="46"/>
      <c r="E929" t="s">
        <v>873</v>
      </c>
      <c r="F929" s="50"/>
      <c r="G929" t="s">
        <v>4224</v>
      </c>
      <c r="H929" t="s">
        <v>4394</v>
      </c>
      <c r="I929" t="s">
        <v>2470</v>
      </c>
      <c r="J929" s="50" t="str">
        <f>IF(I929="","",_xlfn.XLOOKUP(TRIM(I929),'SkillMasterSkill ID'!$C:$C,'SkillMasterSkill ID'!$F:$F,"NOT FOUND",0))</f>
        <v>NOT FOUND</v>
      </c>
      <c r="K929" s="50"/>
      <c r="L929" s="50"/>
    </row>
    <row r="930" spans="1:12" x14ac:dyDescent="0.25">
      <c r="A93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30">
        <v>5110</v>
      </c>
      <c r="C930" t="s">
        <v>4367</v>
      </c>
      <c r="D930" s="46"/>
      <c r="E930" t="s">
        <v>2203</v>
      </c>
      <c r="F930" s="50"/>
      <c r="G930" t="s">
        <v>4224</v>
      </c>
      <c r="H930" t="s">
        <v>4370</v>
      </c>
      <c r="I930" t="s">
        <v>4371</v>
      </c>
      <c r="J930" s="50" t="str">
        <f>IF(I930="","",_xlfn.XLOOKUP(TRIM(I930),'SkillMasterSkill ID'!$C:$C,'SkillMasterSkill ID'!$F:$F,"NOT FOUND",0))</f>
        <v>NOT FOUND</v>
      </c>
      <c r="K930" s="50"/>
      <c r="L930" s="50"/>
    </row>
    <row r="931" spans="1:12" x14ac:dyDescent="0.25">
      <c r="A93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31">
        <v>5110</v>
      </c>
      <c r="C931" t="s">
        <v>4367</v>
      </c>
      <c r="D931" s="46"/>
      <c r="E931" t="s">
        <v>953</v>
      </c>
      <c r="F931" s="50"/>
      <c r="G931" t="s">
        <v>4224</v>
      </c>
      <c r="H931" t="s">
        <v>4397</v>
      </c>
      <c r="I931" t="s">
        <v>3043</v>
      </c>
      <c r="J931" s="50" t="str">
        <f>IF(I931="","",_xlfn.XLOOKUP(TRIM(I931),'SkillMasterSkill ID'!$C:$C,'SkillMasterSkill ID'!$F:$F,"NOT FOUND",0))</f>
        <v>NOT FOUND</v>
      </c>
      <c r="K931" s="50"/>
      <c r="L931" s="50"/>
    </row>
    <row r="932" spans="1:12" x14ac:dyDescent="0.25">
      <c r="A93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32">
        <v>5110</v>
      </c>
      <c r="C932" t="s">
        <v>4367</v>
      </c>
      <c r="D932" s="46"/>
      <c r="E932" t="s">
        <v>3156</v>
      </c>
      <c r="F932" s="50"/>
      <c r="G932" t="s">
        <v>4224</v>
      </c>
      <c r="H932" t="s">
        <v>4382</v>
      </c>
      <c r="I932" t="s">
        <v>4383</v>
      </c>
      <c r="J932" s="50" t="str">
        <f>IF(I932="","",_xlfn.XLOOKUP(TRIM(I932),'SkillMasterSkill ID'!$C:$C,'SkillMasterSkill ID'!$F:$F,"NOT FOUND",0))</f>
        <v>NOT FOUND</v>
      </c>
      <c r="K932" s="50"/>
      <c r="L932" s="50"/>
    </row>
    <row r="933" spans="1:12" x14ac:dyDescent="0.25">
      <c r="A93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33">
        <v>5110</v>
      </c>
      <c r="C933" t="s">
        <v>4367</v>
      </c>
      <c r="D933" s="46"/>
      <c r="E933" t="s">
        <v>4344</v>
      </c>
      <c r="F933" s="50"/>
      <c r="G933" t="s">
        <v>4224</v>
      </c>
      <c r="H933" t="s">
        <v>4376</v>
      </c>
      <c r="I933" t="s">
        <v>4377</v>
      </c>
      <c r="J933" s="50" t="str">
        <f>IF(I933="","",_xlfn.XLOOKUP(TRIM(I933),'SkillMasterSkill ID'!$C:$C,'SkillMasterSkill ID'!$F:$F,"NOT FOUND",0))</f>
        <v>NOT FOUND</v>
      </c>
      <c r="K933" s="50"/>
      <c r="L933" s="50"/>
    </row>
    <row r="934" spans="1:12" x14ac:dyDescent="0.25">
      <c r="A93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34">
        <v>5110</v>
      </c>
      <c r="C934" t="s">
        <v>4367</v>
      </c>
      <c r="D934" s="46"/>
      <c r="E934" t="s">
        <v>4344</v>
      </c>
      <c r="F934" s="50"/>
      <c r="G934" t="s">
        <v>4224</v>
      </c>
      <c r="H934" t="s">
        <v>4378</v>
      </c>
      <c r="I934" t="s">
        <v>4379</v>
      </c>
      <c r="J934" s="50" t="str">
        <f>IF(I934="","",_xlfn.XLOOKUP(TRIM(I934),'SkillMasterSkill ID'!$C:$C,'SkillMasterSkill ID'!$F:$F,"NOT FOUND",0))</f>
        <v>NOT FOUND</v>
      </c>
      <c r="K934" s="50"/>
      <c r="L934" s="50"/>
    </row>
    <row r="935" spans="1:12" x14ac:dyDescent="0.25">
      <c r="A93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35">
        <v>5100</v>
      </c>
      <c r="C935" t="s">
        <v>391</v>
      </c>
      <c r="D935" s="46"/>
      <c r="E935" t="s">
        <v>4249</v>
      </c>
      <c r="F935" s="50"/>
      <c r="G935" t="s">
        <v>4224</v>
      </c>
      <c r="H935" t="s">
        <v>4362</v>
      </c>
      <c r="I935" t="s">
        <v>4363</v>
      </c>
      <c r="J935" s="50" t="str">
        <f>IF(I935="","",_xlfn.XLOOKUP(TRIM(I935),'SkillMasterSkill ID'!$C:$C,'SkillMasterSkill ID'!$F:$F,"NOT FOUND",0))</f>
        <v>NOT FOUND</v>
      </c>
      <c r="K935" s="50"/>
      <c r="L935" s="50"/>
    </row>
    <row r="936" spans="1:12" x14ac:dyDescent="0.25">
      <c r="A93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36">
        <v>5100</v>
      </c>
      <c r="C936" t="s">
        <v>391</v>
      </c>
      <c r="D936" s="46"/>
      <c r="E936" t="s">
        <v>1392</v>
      </c>
      <c r="F936" s="50"/>
      <c r="G936" t="s">
        <v>4224</v>
      </c>
      <c r="H936" t="s">
        <v>4333</v>
      </c>
      <c r="I936" t="s">
        <v>4334</v>
      </c>
      <c r="J936" s="50" t="str">
        <f>IF(I936="","",_xlfn.XLOOKUP(TRIM(I936),'SkillMasterSkill ID'!$C:$C,'SkillMasterSkill ID'!$F:$F,"NOT FOUND",0))</f>
        <v>NOT FOUND</v>
      </c>
      <c r="K936" s="50"/>
      <c r="L936" s="50"/>
    </row>
    <row r="937" spans="1:12" x14ac:dyDescent="0.25">
      <c r="A93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37">
        <v>5100</v>
      </c>
      <c r="C937" t="s">
        <v>391</v>
      </c>
      <c r="D937" s="46"/>
      <c r="E937" t="s">
        <v>1371</v>
      </c>
      <c r="F937" s="50"/>
      <c r="G937" t="s">
        <v>4224</v>
      </c>
      <c r="H937" t="s">
        <v>4335</v>
      </c>
      <c r="I937" t="s">
        <v>4336</v>
      </c>
      <c r="J937" s="50" t="str">
        <f>IF(I937="","",_xlfn.XLOOKUP(TRIM(I937),'SkillMasterSkill ID'!$C:$C,'SkillMasterSkill ID'!$F:$F,"NOT FOUND",0))</f>
        <v>NOT FOUND</v>
      </c>
      <c r="K937" s="50"/>
      <c r="L937" s="50"/>
    </row>
    <row r="938" spans="1:12" x14ac:dyDescent="0.25">
      <c r="A93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38">
        <v>5100</v>
      </c>
      <c r="C938" t="s">
        <v>391</v>
      </c>
      <c r="D938" s="46"/>
      <c r="E938" t="s">
        <v>2665</v>
      </c>
      <c r="F938" s="50"/>
      <c r="G938" t="s">
        <v>4224</v>
      </c>
      <c r="H938" t="s">
        <v>4365</v>
      </c>
      <c r="I938" t="s">
        <v>4366</v>
      </c>
      <c r="J938" s="50" t="str">
        <f>IF(I938="","",_xlfn.XLOOKUP(TRIM(I938),'SkillMasterSkill ID'!$C:$C,'SkillMasterSkill ID'!$F:$F,"NOT FOUND",0))</f>
        <v>NOT FOUND</v>
      </c>
      <c r="K938" s="50"/>
      <c r="L938" s="50"/>
    </row>
    <row r="939" spans="1:12" x14ac:dyDescent="0.25">
      <c r="A93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39">
        <v>5100</v>
      </c>
      <c r="C939" t="s">
        <v>391</v>
      </c>
      <c r="D939" s="46"/>
      <c r="E939" t="s">
        <v>4350</v>
      </c>
      <c r="F939" s="50"/>
      <c r="G939" t="s">
        <v>4224</v>
      </c>
      <c r="H939" t="s">
        <v>4352</v>
      </c>
      <c r="I939" t="s">
        <v>4353</v>
      </c>
      <c r="J939" s="50" t="str">
        <f>IF(I939="","",_xlfn.XLOOKUP(TRIM(I939),'SkillMasterSkill ID'!$C:$C,'SkillMasterSkill ID'!$F:$F,"NOT FOUND",0))</f>
        <v>NOT FOUND</v>
      </c>
      <c r="K939" s="50"/>
      <c r="L939" s="50"/>
    </row>
    <row r="940" spans="1:12" x14ac:dyDescent="0.25">
      <c r="A94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40">
        <v>5100</v>
      </c>
      <c r="C940" t="s">
        <v>391</v>
      </c>
      <c r="D940" s="46"/>
      <c r="E940" t="s">
        <v>3260</v>
      </c>
      <c r="F940" s="50"/>
      <c r="G940" t="s">
        <v>4224</v>
      </c>
      <c r="H940" t="s">
        <v>4348</v>
      </c>
      <c r="I940" t="s">
        <v>4349</v>
      </c>
      <c r="J940" s="50" t="str">
        <f>IF(I940="","",_xlfn.XLOOKUP(TRIM(I940),'SkillMasterSkill ID'!$C:$C,'SkillMasterSkill ID'!$F:$F,"NOT FOUND",0))</f>
        <v>NOT FOUND</v>
      </c>
      <c r="K940" s="50"/>
      <c r="L940" s="50"/>
    </row>
    <row r="941" spans="1:12" x14ac:dyDescent="0.25">
      <c r="A94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41">
        <v>5100</v>
      </c>
      <c r="C941" t="s">
        <v>391</v>
      </c>
      <c r="D941" s="46"/>
      <c r="E941" t="s">
        <v>4337</v>
      </c>
      <c r="F941" s="50"/>
      <c r="G941" t="s">
        <v>4224</v>
      </c>
      <c r="H941" t="s">
        <v>4339</v>
      </c>
      <c r="I941" t="s">
        <v>4340</v>
      </c>
      <c r="J941" s="50" t="str">
        <f>IF(I941="","",_xlfn.XLOOKUP(TRIM(I941),'SkillMasterSkill ID'!$C:$C,'SkillMasterSkill ID'!$F:$F,"NOT FOUND",0))</f>
        <v>NOT FOUND</v>
      </c>
      <c r="K941" s="50"/>
      <c r="L941" s="50"/>
    </row>
    <row r="942" spans="1:12" x14ac:dyDescent="0.25">
      <c r="A94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42">
        <v>5100</v>
      </c>
      <c r="C942" t="s">
        <v>391</v>
      </c>
      <c r="D942" s="46"/>
      <c r="E942" t="s">
        <v>1378</v>
      </c>
      <c r="F942" s="50"/>
      <c r="G942" t="s">
        <v>4224</v>
      </c>
      <c r="H942" t="s">
        <v>4342</v>
      </c>
      <c r="I942" t="s">
        <v>4343</v>
      </c>
      <c r="J942" s="50" t="str">
        <f>IF(I942="","",_xlfn.XLOOKUP(TRIM(I942),'SkillMasterSkill ID'!$C:$C,'SkillMasterSkill ID'!$F:$F,"NOT FOUND",0))</f>
        <v>NOT FOUND</v>
      </c>
      <c r="K942" s="50"/>
      <c r="L942" s="50"/>
    </row>
    <row r="943" spans="1:12" x14ac:dyDescent="0.25">
      <c r="A94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43">
        <v>5100</v>
      </c>
      <c r="C943" t="s">
        <v>391</v>
      </c>
      <c r="D943" s="46"/>
      <c r="E943" t="s">
        <v>4322</v>
      </c>
      <c r="F943" s="50"/>
      <c r="G943" t="s">
        <v>4224</v>
      </c>
      <c r="H943" t="s">
        <v>4326</v>
      </c>
      <c r="I943" t="s">
        <v>4327</v>
      </c>
      <c r="J943" s="50" t="str">
        <f>IF(I943="","",_xlfn.XLOOKUP(TRIM(I943),'SkillMasterSkill ID'!$C:$C,'SkillMasterSkill ID'!$F:$F,"NOT FOUND",0))</f>
        <v>NOT FOUND</v>
      </c>
      <c r="K943" s="50"/>
      <c r="L943" s="50"/>
    </row>
    <row r="944" spans="1:12" x14ac:dyDescent="0.25">
      <c r="A94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44">
        <v>5100</v>
      </c>
      <c r="C944" t="s">
        <v>391</v>
      </c>
      <c r="D944" s="46"/>
      <c r="E944" t="s">
        <v>4322</v>
      </c>
      <c r="F944" s="50"/>
      <c r="G944" t="s">
        <v>4224</v>
      </c>
      <c r="H944" t="s">
        <v>4324</v>
      </c>
      <c r="I944" t="s">
        <v>4325</v>
      </c>
      <c r="J944" s="50" t="str">
        <f>IF(I944="","",_xlfn.XLOOKUP(TRIM(I944),'SkillMasterSkill ID'!$C:$C,'SkillMasterSkill ID'!$F:$F,"NOT FOUND",0))</f>
        <v>NOT FOUND</v>
      </c>
      <c r="K944" s="50"/>
      <c r="L944" s="50"/>
    </row>
    <row r="945" spans="1:12" x14ac:dyDescent="0.25">
      <c r="A94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45">
        <v>5100</v>
      </c>
      <c r="C945" t="s">
        <v>391</v>
      </c>
      <c r="D945" s="46"/>
      <c r="E945" t="s">
        <v>4015</v>
      </c>
      <c r="F945" s="50"/>
      <c r="G945" t="s">
        <v>4224</v>
      </c>
      <c r="H945" t="s">
        <v>4320</v>
      </c>
      <c r="I945" t="s">
        <v>4321</v>
      </c>
      <c r="J945" s="50" t="str">
        <f>IF(I945="","",_xlfn.XLOOKUP(TRIM(I945),'SkillMasterSkill ID'!$C:$C,'SkillMasterSkill ID'!$F:$F,"NOT FOUND",0))</f>
        <v>NOT FOUND</v>
      </c>
      <c r="K945" s="50"/>
      <c r="L945" s="50"/>
    </row>
    <row r="946" spans="1:12" x14ac:dyDescent="0.25">
      <c r="A94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46">
        <v>5100</v>
      </c>
      <c r="C946" t="s">
        <v>391</v>
      </c>
      <c r="D946" s="46"/>
      <c r="E946" t="s">
        <v>873</v>
      </c>
      <c r="F946" s="50"/>
      <c r="G946" t="s">
        <v>4224</v>
      </c>
      <c r="H946" t="s">
        <v>4360</v>
      </c>
      <c r="I946" t="s">
        <v>4361</v>
      </c>
      <c r="J946" s="50" t="str">
        <f>IF(I946="","",_xlfn.XLOOKUP(TRIM(I946),'SkillMasterSkill ID'!$C:$C,'SkillMasterSkill ID'!$F:$F,"NOT FOUND",0))</f>
        <v>NOT FOUND</v>
      </c>
      <c r="K946" s="50"/>
      <c r="L946" s="50"/>
    </row>
    <row r="947" spans="1:12" x14ac:dyDescent="0.25">
      <c r="A94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47">
        <v>5100</v>
      </c>
      <c r="C947" t="s">
        <v>391</v>
      </c>
      <c r="D947" s="46"/>
      <c r="E947" t="s">
        <v>1470</v>
      </c>
      <c r="F947" s="50"/>
      <c r="G947" t="s">
        <v>4224</v>
      </c>
      <c r="H947" t="s">
        <v>4331</v>
      </c>
      <c r="I947" t="s">
        <v>4332</v>
      </c>
      <c r="J947" s="50" t="str">
        <f>IF(I947="","",_xlfn.XLOOKUP(TRIM(I947),'SkillMasterSkill ID'!$C:$C,'SkillMasterSkill ID'!$F:$F,"NOT FOUND",0))</f>
        <v>NOT FOUND</v>
      </c>
      <c r="K947" s="50"/>
      <c r="L947" s="50"/>
    </row>
    <row r="948" spans="1:12" x14ac:dyDescent="0.25">
      <c r="A94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48">
        <v>5100</v>
      </c>
      <c r="C948" t="s">
        <v>391</v>
      </c>
      <c r="D948" s="46"/>
      <c r="E948" t="s">
        <v>3092</v>
      </c>
      <c r="F948" s="50"/>
      <c r="G948" t="s">
        <v>4224</v>
      </c>
      <c r="H948" t="s">
        <v>4329</v>
      </c>
      <c r="I948" t="s">
        <v>4330</v>
      </c>
      <c r="J948" s="50" t="str">
        <f>IF(I948="","",_xlfn.XLOOKUP(TRIM(I948),'SkillMasterSkill ID'!$C:$C,'SkillMasterSkill ID'!$F:$F,"NOT FOUND",0))</f>
        <v>NOT FOUND</v>
      </c>
      <c r="K948" s="50"/>
      <c r="L948" s="50"/>
    </row>
    <row r="949" spans="1:12" x14ac:dyDescent="0.25">
      <c r="A94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49">
        <v>5100</v>
      </c>
      <c r="C949" t="s">
        <v>391</v>
      </c>
      <c r="D949" s="46"/>
      <c r="E949" t="s">
        <v>872</v>
      </c>
      <c r="F949" s="50"/>
      <c r="G949" t="s">
        <v>4224</v>
      </c>
      <c r="H949" t="s">
        <v>4364</v>
      </c>
      <c r="I949" t="s">
        <v>3041</v>
      </c>
      <c r="J949" s="50" t="str">
        <f>IF(I949="","",_xlfn.XLOOKUP(TRIM(I949),'SkillMasterSkill ID'!$C:$C,'SkillMasterSkill ID'!$F:$F,"NOT FOUND",0))</f>
        <v>NOT FOUND</v>
      </c>
      <c r="K949" s="50"/>
      <c r="L949" s="50"/>
    </row>
    <row r="950" spans="1:12" x14ac:dyDescent="0.25">
      <c r="A95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50">
        <v>5100</v>
      </c>
      <c r="C950" t="s">
        <v>391</v>
      </c>
      <c r="D950" s="46"/>
      <c r="E950" t="s">
        <v>4344</v>
      </c>
      <c r="F950" s="50"/>
      <c r="G950" t="s">
        <v>4224</v>
      </c>
      <c r="H950" t="s">
        <v>4346</v>
      </c>
      <c r="I950" t="s">
        <v>4347</v>
      </c>
      <c r="J950" s="50" t="str">
        <f>IF(I950="","",_xlfn.XLOOKUP(TRIM(I950),'SkillMasterSkill ID'!$C:$C,'SkillMasterSkill ID'!$F:$F,"NOT FOUND",0))</f>
        <v>NOT FOUND</v>
      </c>
      <c r="K950" s="50"/>
      <c r="L950" s="50"/>
    </row>
    <row r="951" spans="1:12" x14ac:dyDescent="0.25">
      <c r="A95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51">
        <v>5100</v>
      </c>
      <c r="C951" t="s">
        <v>391</v>
      </c>
      <c r="D951" s="46"/>
      <c r="E951" t="s">
        <v>4354</v>
      </c>
      <c r="F951" s="50"/>
      <c r="G951" t="s">
        <v>4224</v>
      </c>
      <c r="H951" t="s">
        <v>4356</v>
      </c>
      <c r="I951" t="s">
        <v>4357</v>
      </c>
      <c r="J951" s="50" t="str">
        <f>IF(I951="","",_xlfn.XLOOKUP(TRIM(I951),'SkillMasterSkill ID'!$C:$C,'SkillMasterSkill ID'!$F:$F,"NOT FOUND",0))</f>
        <v>NOT FOUND</v>
      </c>
      <c r="K951" s="50"/>
      <c r="L951" s="50"/>
    </row>
    <row r="952" spans="1:12" x14ac:dyDescent="0.25">
      <c r="A95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52">
        <v>5100</v>
      </c>
      <c r="C952" t="s">
        <v>391</v>
      </c>
      <c r="D952" s="46"/>
      <c r="E952" t="s">
        <v>2203</v>
      </c>
      <c r="F952" s="50"/>
      <c r="G952" t="s">
        <v>4224</v>
      </c>
      <c r="H952" t="s">
        <v>4358</v>
      </c>
      <c r="I952" t="s">
        <v>4359</v>
      </c>
      <c r="J952" s="50" t="str">
        <f>IF(I952="","",_xlfn.XLOOKUP(TRIM(I952),'SkillMasterSkill ID'!$C:$C,'SkillMasterSkill ID'!$F:$F,"NOT FOUND",0))</f>
        <v>NOT FOUND</v>
      </c>
      <c r="K952" s="50"/>
      <c r="L952" s="50"/>
    </row>
    <row r="953" spans="1:12" x14ac:dyDescent="0.25">
      <c r="A95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53">
        <v>6103</v>
      </c>
      <c r="C953" t="s">
        <v>2967</v>
      </c>
      <c r="D953" s="46"/>
      <c r="E953" t="s">
        <v>951</v>
      </c>
      <c r="F953" s="50"/>
      <c r="G953" t="s">
        <v>2256</v>
      </c>
      <c r="H953" t="s">
        <v>3028</v>
      </c>
      <c r="I953" t="s">
        <v>3029</v>
      </c>
      <c r="J953" s="50" t="str">
        <f>IF(I953="","",_xlfn.XLOOKUP(TRIM(I953),'SkillMasterSkill ID'!$C:$C,'SkillMasterSkill ID'!$F:$F,"NOT FOUND",0))</f>
        <v>NOT FOUND</v>
      </c>
      <c r="K953" s="50"/>
      <c r="L953" s="50"/>
    </row>
    <row r="954" spans="1:12" x14ac:dyDescent="0.25">
      <c r="A95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54">
        <v>6103</v>
      </c>
      <c r="C954" t="s">
        <v>2967</v>
      </c>
      <c r="D954" s="46"/>
      <c r="E954" t="s">
        <v>951</v>
      </c>
      <c r="F954" s="50"/>
      <c r="G954" t="s">
        <v>2256</v>
      </c>
      <c r="H954" t="s">
        <v>3026</v>
      </c>
      <c r="I954" t="s">
        <v>3027</v>
      </c>
      <c r="J954" s="50" t="str">
        <f>IF(I954="","",_xlfn.XLOOKUP(TRIM(I954),'SkillMasterSkill ID'!$C:$C,'SkillMasterSkill ID'!$F:$F,"NOT FOUND",0))</f>
        <v>NOT FOUND</v>
      </c>
      <c r="K954" s="50"/>
      <c r="L954" s="50"/>
    </row>
    <row r="955" spans="1:12" x14ac:dyDescent="0.25">
      <c r="A95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55">
        <v>6103</v>
      </c>
      <c r="C955" t="s">
        <v>2967</v>
      </c>
      <c r="D955" s="46"/>
      <c r="E955" t="s">
        <v>2992</v>
      </c>
      <c r="F955" s="50"/>
      <c r="G955" t="s">
        <v>2991</v>
      </c>
      <c r="H955" t="s">
        <v>2998</v>
      </c>
      <c r="I955" t="s">
        <v>2999</v>
      </c>
      <c r="J955" s="50" t="str">
        <f>IF(I955="","",_xlfn.XLOOKUP(TRIM(I955),'SkillMasterSkill ID'!$C:$C,'SkillMasterSkill ID'!$F:$F,"NOT FOUND",0))</f>
        <v>NOT FOUND</v>
      </c>
      <c r="K955" s="50"/>
      <c r="L955" s="50"/>
    </row>
    <row r="956" spans="1:12" x14ac:dyDescent="0.25">
      <c r="A95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56">
        <v>6103</v>
      </c>
      <c r="C956" t="s">
        <v>2967</v>
      </c>
      <c r="D956" s="46"/>
      <c r="E956" t="s">
        <v>1371</v>
      </c>
      <c r="F956" s="50"/>
      <c r="G956" t="s">
        <v>2983</v>
      </c>
      <c r="H956" t="s">
        <v>2985</v>
      </c>
      <c r="I956" t="s">
        <v>2986</v>
      </c>
      <c r="J956" s="50" t="str">
        <f>IF(I956="","",_xlfn.XLOOKUP(TRIM(I956),'SkillMasterSkill ID'!$C:$C,'SkillMasterSkill ID'!$F:$F,"NOT FOUND",0))</f>
        <v>NOT FOUND</v>
      </c>
      <c r="K956" s="50"/>
      <c r="L956" s="50"/>
    </row>
    <row r="957" spans="1:12" x14ac:dyDescent="0.25">
      <c r="A95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57">
        <v>6103</v>
      </c>
      <c r="C957" t="s">
        <v>2967</v>
      </c>
      <c r="D957" s="46"/>
      <c r="E957" t="s">
        <v>1371</v>
      </c>
      <c r="F957" s="50"/>
      <c r="G957" t="s">
        <v>2983</v>
      </c>
      <c r="H957" t="s">
        <v>2989</v>
      </c>
      <c r="I957" t="s">
        <v>2990</v>
      </c>
      <c r="J957" s="50" t="str">
        <f>IF(I957="","",_xlfn.XLOOKUP(TRIM(I957),'SkillMasterSkill ID'!$C:$C,'SkillMasterSkill ID'!$F:$F,"NOT FOUND",0))</f>
        <v>NOT FOUND</v>
      </c>
      <c r="K957" s="50"/>
      <c r="L957" s="50"/>
    </row>
    <row r="958" spans="1:12" x14ac:dyDescent="0.25">
      <c r="A95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58">
        <v>6103</v>
      </c>
      <c r="C958" t="s">
        <v>2967</v>
      </c>
      <c r="D958" s="46"/>
      <c r="E958" t="s">
        <v>3001</v>
      </c>
      <c r="F958" s="50"/>
      <c r="G958" t="s">
        <v>3000</v>
      </c>
      <c r="H958" t="s">
        <v>3006</v>
      </c>
      <c r="I958" t="s">
        <v>3007</v>
      </c>
      <c r="J958" s="50" t="str">
        <f>IF(I958="","",_xlfn.XLOOKUP(TRIM(I958),'SkillMasterSkill ID'!$C:$C,'SkillMasterSkill ID'!$F:$F,"NOT FOUND",0))</f>
        <v>NOT FOUND</v>
      </c>
      <c r="K958" s="50"/>
      <c r="L958" s="50"/>
    </row>
    <row r="959" spans="1:12" x14ac:dyDescent="0.25">
      <c r="A95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59">
        <v>6103</v>
      </c>
      <c r="C959" t="s">
        <v>2967</v>
      </c>
      <c r="D959" s="46"/>
      <c r="E959" t="s">
        <v>3001</v>
      </c>
      <c r="F959" s="50"/>
      <c r="G959" t="s">
        <v>3000</v>
      </c>
      <c r="H959" t="s">
        <v>3003</v>
      </c>
      <c r="I959" t="s">
        <v>3004</v>
      </c>
      <c r="J959" s="50" t="str">
        <f>IF(I959="","",_xlfn.XLOOKUP(TRIM(I959),'SkillMasterSkill ID'!$C:$C,'SkillMasterSkill ID'!$F:$F,"NOT FOUND",0))</f>
        <v>NOT FOUND</v>
      </c>
      <c r="K959" s="50"/>
      <c r="L959" s="50"/>
    </row>
    <row r="960" spans="1:12" x14ac:dyDescent="0.25">
      <c r="A96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60">
        <v>6103</v>
      </c>
      <c r="C960" t="s">
        <v>2967</v>
      </c>
      <c r="D960" s="46"/>
      <c r="E960" t="s">
        <v>2992</v>
      </c>
      <c r="F960" s="50"/>
      <c r="G960" t="s">
        <v>2991</v>
      </c>
      <c r="H960" t="s">
        <v>2996</v>
      </c>
      <c r="I960" t="s">
        <v>2997</v>
      </c>
      <c r="J960" s="50" t="str">
        <f>IF(I960="","",_xlfn.XLOOKUP(TRIM(I960),'SkillMasterSkill ID'!$C:$C,'SkillMasterSkill ID'!$F:$F,"NOT FOUND",0))</f>
        <v>NOT FOUND</v>
      </c>
      <c r="K960" s="50"/>
      <c r="L960" s="50"/>
    </row>
    <row r="961" spans="1:12" x14ac:dyDescent="0.25">
      <c r="A96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61">
        <v>6103</v>
      </c>
      <c r="C961" t="s">
        <v>2967</v>
      </c>
      <c r="D961" s="46"/>
      <c r="E961" t="s">
        <v>961</v>
      </c>
      <c r="F961" s="50"/>
      <c r="G961" t="s">
        <v>3014</v>
      </c>
      <c r="H961" t="s">
        <v>3017</v>
      </c>
      <c r="I961" t="s">
        <v>3018</v>
      </c>
      <c r="J961" s="50" t="str">
        <f>IF(I961="","",_xlfn.XLOOKUP(TRIM(I961),'SkillMasterSkill ID'!$C:$C,'SkillMasterSkill ID'!$F:$F,"NOT FOUND",0))</f>
        <v>NOT FOUND</v>
      </c>
      <c r="K961" s="50"/>
      <c r="L961" s="50"/>
    </row>
    <row r="962" spans="1:12" x14ac:dyDescent="0.25">
      <c r="A96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62">
        <v>6103</v>
      </c>
      <c r="C962" t="s">
        <v>2967</v>
      </c>
      <c r="D962" s="46"/>
      <c r="E962" t="s">
        <v>2975</v>
      </c>
      <c r="F962" s="50"/>
      <c r="G962" t="s">
        <v>2974</v>
      </c>
      <c r="H962" t="s">
        <v>2979</v>
      </c>
      <c r="I962" t="s">
        <v>2738</v>
      </c>
      <c r="J962" s="50" t="str">
        <f>IF(I962="","",_xlfn.XLOOKUP(TRIM(I962),'SkillMasterSkill ID'!$C:$C,'SkillMasterSkill ID'!$F:$F,"NOT FOUND",0))</f>
        <v>NOT FOUND</v>
      </c>
      <c r="K962" s="50"/>
      <c r="L962" s="50"/>
    </row>
    <row r="963" spans="1:12" x14ac:dyDescent="0.25">
      <c r="A96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63">
        <v>6103</v>
      </c>
      <c r="C963" t="s">
        <v>2967</v>
      </c>
      <c r="D963" s="46"/>
      <c r="E963" t="s">
        <v>1454</v>
      </c>
      <c r="F963" s="50"/>
      <c r="G963" t="s">
        <v>2974</v>
      </c>
      <c r="H963" t="s">
        <v>2981</v>
      </c>
      <c r="I963" t="s">
        <v>2982</v>
      </c>
      <c r="J963" s="50" t="str">
        <f>IF(I963="","",_xlfn.XLOOKUP(TRIM(I963),'SkillMasterSkill ID'!$C:$C,'SkillMasterSkill ID'!$F:$F,"NOT FOUND",0))</f>
        <v>NOT FOUND</v>
      </c>
      <c r="K963" s="50"/>
      <c r="L963" s="50"/>
    </row>
    <row r="964" spans="1:12" x14ac:dyDescent="0.25">
      <c r="A96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64">
        <v>6103</v>
      </c>
      <c r="C964" t="s">
        <v>2967</v>
      </c>
      <c r="D964" s="46"/>
      <c r="E964" t="s">
        <v>1371</v>
      </c>
      <c r="F964" s="50"/>
      <c r="G964" t="s">
        <v>2983</v>
      </c>
      <c r="H964" t="s">
        <v>2987</v>
      </c>
      <c r="I964" t="s">
        <v>2988</v>
      </c>
      <c r="J964" s="50" t="str">
        <f>IF(I964="","",_xlfn.XLOOKUP(TRIM(I964),'SkillMasterSkill ID'!$C:$C,'SkillMasterSkill ID'!$F:$F,"NOT FOUND",0))</f>
        <v>NOT FOUND</v>
      </c>
      <c r="K964" s="50"/>
      <c r="L964" s="50"/>
    </row>
    <row r="965" spans="1:12" x14ac:dyDescent="0.25">
      <c r="A96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65">
        <v>6103</v>
      </c>
      <c r="C965" t="s">
        <v>2967</v>
      </c>
      <c r="D965" s="46"/>
      <c r="E965" t="s">
        <v>3001</v>
      </c>
      <c r="F965" s="50"/>
      <c r="G965" t="s">
        <v>3000</v>
      </c>
      <c r="H965" t="s">
        <v>3005</v>
      </c>
      <c r="I965" t="s">
        <v>940</v>
      </c>
      <c r="J965" s="50" t="str">
        <f>IF(I965="","",_xlfn.XLOOKUP(TRIM(I965),'SkillMasterSkill ID'!$C:$C,'SkillMasterSkill ID'!$F:$F,"NOT FOUND",0))</f>
        <v>Ability to analyze performance and trends, evaluate execution quality, and identify issues early for action.</v>
      </c>
      <c r="K965" s="50"/>
      <c r="L965" s="50"/>
    </row>
    <row r="966" spans="1:12" x14ac:dyDescent="0.25">
      <c r="A96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66">
        <v>6103</v>
      </c>
      <c r="C966" t="s">
        <v>2967</v>
      </c>
      <c r="D966" s="46"/>
      <c r="E966" t="s">
        <v>1476</v>
      </c>
      <c r="F966" s="50"/>
      <c r="G966" t="s">
        <v>3008</v>
      </c>
      <c r="H966" t="s">
        <v>3012</v>
      </c>
      <c r="I966" t="s">
        <v>3013</v>
      </c>
      <c r="J966" s="50" t="str">
        <f>IF(I966="","",_xlfn.XLOOKUP(TRIM(I966),'SkillMasterSkill ID'!$C:$C,'SkillMasterSkill ID'!$F:$F,"NOT FOUND",0))</f>
        <v>NOT FOUND</v>
      </c>
      <c r="K966" s="50"/>
      <c r="L966" s="50"/>
    </row>
    <row r="967" spans="1:12" x14ac:dyDescent="0.25">
      <c r="A96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67">
        <v>6103</v>
      </c>
      <c r="C967" t="s">
        <v>2967</v>
      </c>
      <c r="D967" s="46"/>
      <c r="E967" t="s">
        <v>961</v>
      </c>
      <c r="F967" s="50"/>
      <c r="G967" t="s">
        <v>3014</v>
      </c>
      <c r="H967" t="s">
        <v>3015</v>
      </c>
      <c r="I967" t="s">
        <v>3016</v>
      </c>
      <c r="J967" s="50" t="str">
        <f>IF(I967="","",_xlfn.XLOOKUP(TRIM(I967),'SkillMasterSkill ID'!$C:$C,'SkillMasterSkill ID'!$F:$F,"NOT FOUND",0))</f>
        <v>NOT FOUND</v>
      </c>
      <c r="K967" s="50"/>
      <c r="L967" s="50"/>
    </row>
    <row r="968" spans="1:12" x14ac:dyDescent="0.25">
      <c r="A96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68">
        <v>6103</v>
      </c>
      <c r="C968" t="s">
        <v>2967</v>
      </c>
      <c r="D968" s="46"/>
      <c r="E968" t="s">
        <v>873</v>
      </c>
      <c r="F968" s="50"/>
      <c r="G968" t="s">
        <v>3014</v>
      </c>
      <c r="H968" t="s">
        <v>3019</v>
      </c>
      <c r="I968" t="s">
        <v>3020</v>
      </c>
      <c r="J968" s="50" t="str">
        <f>IF(I968="","",_xlfn.XLOOKUP(TRIM(I968),'SkillMasterSkill ID'!$C:$C,'SkillMasterSkill ID'!$F:$F,"NOT FOUND",0))</f>
        <v>NOT FOUND</v>
      </c>
      <c r="K968" s="50"/>
      <c r="L968" s="50"/>
    </row>
    <row r="969" spans="1:12" x14ac:dyDescent="0.25">
      <c r="A96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69">
        <v>6103</v>
      </c>
      <c r="C969" t="s">
        <v>2967</v>
      </c>
      <c r="D969" s="46"/>
      <c r="E969" t="s">
        <v>1448</v>
      </c>
      <c r="F969" s="50"/>
      <c r="G969" t="s">
        <v>2966</v>
      </c>
      <c r="H969" t="s">
        <v>2968</v>
      </c>
      <c r="I969" t="s">
        <v>2969</v>
      </c>
      <c r="J969" s="50" t="str">
        <f>IF(I969="","",_xlfn.XLOOKUP(TRIM(I969),'SkillMasterSkill ID'!$C:$C,'SkillMasterSkill ID'!$F:$F,"NOT FOUND",0))</f>
        <v>NOT FOUND</v>
      </c>
      <c r="K969" s="50"/>
      <c r="L969" s="50"/>
    </row>
    <row r="970" spans="1:12" x14ac:dyDescent="0.25">
      <c r="A97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70">
        <v>6103</v>
      </c>
      <c r="C970" t="s">
        <v>2967</v>
      </c>
      <c r="D970" s="46"/>
      <c r="E970" t="s">
        <v>873</v>
      </c>
      <c r="F970" s="50"/>
      <c r="G970" t="s">
        <v>3008</v>
      </c>
      <c r="H970" t="s">
        <v>3009</v>
      </c>
      <c r="I970" t="s">
        <v>2805</v>
      </c>
      <c r="J970" s="50" t="str">
        <f>IF(I970="","",_xlfn.XLOOKUP(TRIM(I970),'SkillMasterSkill ID'!$C:$C,'SkillMasterSkill ID'!$F:$F,"NOT FOUND",0))</f>
        <v>NOT FOUND</v>
      </c>
      <c r="K970" s="50"/>
      <c r="L970" s="50"/>
    </row>
    <row r="971" spans="1:12" x14ac:dyDescent="0.25">
      <c r="A97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71">
        <v>6103</v>
      </c>
      <c r="C971" t="s">
        <v>2967</v>
      </c>
      <c r="D971" s="46"/>
      <c r="E971" t="s">
        <v>1476</v>
      </c>
      <c r="F971" s="50"/>
      <c r="G971" t="s">
        <v>3008</v>
      </c>
      <c r="H971" t="s">
        <v>3010</v>
      </c>
      <c r="I971" t="s">
        <v>3011</v>
      </c>
      <c r="J971" s="50" t="str">
        <f>IF(I971="","",_xlfn.XLOOKUP(TRIM(I971),'SkillMasterSkill ID'!$C:$C,'SkillMasterSkill ID'!$F:$F,"NOT FOUND",0))</f>
        <v>NOT FOUND</v>
      </c>
      <c r="K971" s="50"/>
      <c r="L971" s="50"/>
    </row>
    <row r="972" spans="1:12" x14ac:dyDescent="0.25">
      <c r="A97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72">
        <v>6103</v>
      </c>
      <c r="C972" t="s">
        <v>2967</v>
      </c>
      <c r="D972" s="46"/>
      <c r="E972" t="s">
        <v>1448</v>
      </c>
      <c r="F972" s="50"/>
      <c r="G972" t="s">
        <v>2966</v>
      </c>
      <c r="H972" t="s">
        <v>2970</v>
      </c>
      <c r="I972" t="s">
        <v>2971</v>
      </c>
      <c r="J972" s="50" t="str">
        <f>IF(I972="","",_xlfn.XLOOKUP(TRIM(I972),'SkillMasterSkill ID'!$C:$C,'SkillMasterSkill ID'!$F:$F,"NOT FOUND",0))</f>
        <v>NOT FOUND</v>
      </c>
      <c r="K972" s="50"/>
      <c r="L972" s="50"/>
    </row>
    <row r="973" spans="1:12" x14ac:dyDescent="0.25">
      <c r="A97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73">
        <v>6103</v>
      </c>
      <c r="C973" t="s">
        <v>2967</v>
      </c>
      <c r="D973" s="46"/>
      <c r="E973" t="s">
        <v>2975</v>
      </c>
      <c r="F973" s="50"/>
      <c r="G973" t="s">
        <v>2974</v>
      </c>
      <c r="H973" t="s">
        <v>2977</v>
      </c>
      <c r="I973" t="s">
        <v>2978</v>
      </c>
      <c r="J973" s="50" t="str">
        <f>IF(I973="","",_xlfn.XLOOKUP(TRIM(I973),'SkillMasterSkill ID'!$C:$C,'SkillMasterSkill ID'!$F:$F,"NOT FOUND",0))</f>
        <v>NOT FOUND</v>
      </c>
      <c r="K973" s="50"/>
      <c r="L973" s="50"/>
    </row>
    <row r="974" spans="1:12" x14ac:dyDescent="0.25">
      <c r="A97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74">
        <v>6103</v>
      </c>
      <c r="C974" t="s">
        <v>2967</v>
      </c>
      <c r="D974" s="46"/>
      <c r="E974" t="s">
        <v>947</v>
      </c>
      <c r="F974" s="50"/>
      <c r="G974" t="s">
        <v>3021</v>
      </c>
      <c r="H974" t="s">
        <v>3022</v>
      </c>
      <c r="I974" t="s">
        <v>3023</v>
      </c>
      <c r="J974" s="50" t="str">
        <f>IF(I974="","",_xlfn.XLOOKUP(TRIM(I974),'SkillMasterSkill ID'!$C:$C,'SkillMasterSkill ID'!$F:$F,"NOT FOUND",0))</f>
        <v>NOT FOUND</v>
      </c>
      <c r="K974" s="50"/>
      <c r="L974" s="50"/>
    </row>
    <row r="975" spans="1:12" x14ac:dyDescent="0.25">
      <c r="A97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75">
        <v>6103</v>
      </c>
      <c r="C975" t="s">
        <v>2967</v>
      </c>
      <c r="D975" s="46"/>
      <c r="E975" t="s">
        <v>2665</v>
      </c>
      <c r="F975" s="50"/>
      <c r="G975" t="s">
        <v>2966</v>
      </c>
      <c r="H975" t="s">
        <v>2972</v>
      </c>
      <c r="I975" t="s">
        <v>2973</v>
      </c>
      <c r="J975" s="50" t="str">
        <f>IF(I975="","",_xlfn.XLOOKUP(TRIM(I975),'SkillMasterSkill ID'!$C:$C,'SkillMasterSkill ID'!$F:$F,"NOT FOUND",0))</f>
        <v>NOT FOUND</v>
      </c>
      <c r="K975" s="50"/>
      <c r="L975" s="50"/>
    </row>
    <row r="976" spans="1:12" x14ac:dyDescent="0.25">
      <c r="A97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76">
        <v>6103</v>
      </c>
      <c r="C976" t="s">
        <v>2967</v>
      </c>
      <c r="D976" s="46"/>
      <c r="E976" t="s">
        <v>2992</v>
      </c>
      <c r="F976" s="50"/>
      <c r="G976" t="s">
        <v>2991</v>
      </c>
      <c r="H976" t="s">
        <v>2994</v>
      </c>
      <c r="I976" t="s">
        <v>2995</v>
      </c>
      <c r="J976" s="50" t="str">
        <f>IF(I976="","",_xlfn.XLOOKUP(TRIM(I976),'SkillMasterSkill ID'!$C:$C,'SkillMasterSkill ID'!$F:$F,"NOT FOUND",0))</f>
        <v>NOT FOUND</v>
      </c>
      <c r="K976" s="50"/>
      <c r="L976" s="50"/>
    </row>
    <row r="977" spans="1:12" x14ac:dyDescent="0.25">
      <c r="A97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77">
        <v>6103</v>
      </c>
      <c r="C977" t="s">
        <v>2967</v>
      </c>
      <c r="D977" s="46"/>
      <c r="E977" t="s">
        <v>2203</v>
      </c>
      <c r="F977" s="50"/>
      <c r="G977" t="s">
        <v>3021</v>
      </c>
      <c r="H977" t="s">
        <v>3024</v>
      </c>
      <c r="I977" t="s">
        <v>3025</v>
      </c>
      <c r="J977" s="50" t="str">
        <f>IF(I977="","",_xlfn.XLOOKUP(TRIM(I977),'SkillMasterSkill ID'!$C:$C,'SkillMasterSkill ID'!$F:$F,"NOT FOUND",0))</f>
        <v>NOT FOUND</v>
      </c>
      <c r="K977" s="50"/>
      <c r="L977" s="50"/>
    </row>
    <row r="978" spans="1:12" x14ac:dyDescent="0.25">
      <c r="A97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78">
        <v>6100</v>
      </c>
      <c r="C978" t="s">
        <v>3504</v>
      </c>
      <c r="D978" s="46"/>
      <c r="E978" t="s">
        <v>2992</v>
      </c>
      <c r="F978" s="50"/>
      <c r="G978" t="s">
        <v>3535</v>
      </c>
      <c r="H978" t="s">
        <v>3539</v>
      </c>
      <c r="I978" t="s">
        <v>3540</v>
      </c>
      <c r="J978" s="50" t="str">
        <f>IF(I978="","",_xlfn.XLOOKUP(TRIM(I978),'SkillMasterSkill ID'!$C:$C,'SkillMasterSkill ID'!$F:$F,"NOT FOUND",0))</f>
        <v>NOT FOUND</v>
      </c>
      <c r="K978" s="50"/>
      <c r="L978" s="50"/>
    </row>
    <row r="979" spans="1:12" x14ac:dyDescent="0.25">
      <c r="A97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79">
        <v>6100</v>
      </c>
      <c r="C979" t="s">
        <v>3504</v>
      </c>
      <c r="D979" s="46"/>
      <c r="E979" t="s">
        <v>2992</v>
      </c>
      <c r="F979" s="50"/>
      <c r="G979" t="s">
        <v>3535</v>
      </c>
      <c r="H979" t="s">
        <v>3537</v>
      </c>
      <c r="I979" t="s">
        <v>3538</v>
      </c>
      <c r="J979" s="50" t="str">
        <f>IF(I979="","",_xlfn.XLOOKUP(TRIM(I979),'SkillMasterSkill ID'!$C:$C,'SkillMasterSkill ID'!$F:$F,"NOT FOUND",0))</f>
        <v>NOT FOUND</v>
      </c>
      <c r="K979" s="50"/>
      <c r="L979" s="50"/>
    </row>
    <row r="980" spans="1:12" x14ac:dyDescent="0.25">
      <c r="A98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80">
        <v>6100</v>
      </c>
      <c r="C980" t="s">
        <v>3504</v>
      </c>
      <c r="D980" s="46"/>
      <c r="E980" t="s">
        <v>3542</v>
      </c>
      <c r="F980" s="50"/>
      <c r="G980" t="s">
        <v>3541</v>
      </c>
      <c r="H980" t="s">
        <v>3544</v>
      </c>
      <c r="I980" t="s">
        <v>3545</v>
      </c>
      <c r="J980" s="50" t="str">
        <f>IF(I980="","",_xlfn.XLOOKUP(TRIM(I980),'SkillMasterSkill ID'!$C:$C,'SkillMasterSkill ID'!$F:$F,"NOT FOUND",0))</f>
        <v>NOT FOUND</v>
      </c>
      <c r="K980" s="50"/>
      <c r="L980" s="50"/>
    </row>
    <row r="981" spans="1:12" x14ac:dyDescent="0.25">
      <c r="A98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81">
        <v>6100</v>
      </c>
      <c r="C981" t="s">
        <v>3504</v>
      </c>
      <c r="D981" s="46"/>
      <c r="E981" t="s">
        <v>1448</v>
      </c>
      <c r="F981" s="50"/>
      <c r="G981" t="s">
        <v>3503</v>
      </c>
      <c r="H981" t="s">
        <v>3507</v>
      </c>
      <c r="I981" t="s">
        <v>3508</v>
      </c>
      <c r="J981" s="50" t="str">
        <f>IF(I981="","",_xlfn.XLOOKUP(TRIM(I981),'SkillMasterSkill ID'!$C:$C,'SkillMasterSkill ID'!$F:$F,"NOT FOUND",0))</f>
        <v>NOT FOUND</v>
      </c>
      <c r="K981" s="50"/>
      <c r="L981" s="50"/>
    </row>
    <row r="982" spans="1:12" x14ac:dyDescent="0.25">
      <c r="A98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82">
        <v>6100</v>
      </c>
      <c r="C982" t="s">
        <v>3504</v>
      </c>
      <c r="D982" s="46"/>
      <c r="E982" t="s">
        <v>3529</v>
      </c>
      <c r="F982" s="50"/>
      <c r="G982" t="s">
        <v>3528</v>
      </c>
      <c r="H982" t="s">
        <v>3533</v>
      </c>
      <c r="I982" t="s">
        <v>3534</v>
      </c>
      <c r="J982" s="50" t="str">
        <f>IF(I982="","",_xlfn.XLOOKUP(TRIM(I982),'SkillMasterSkill ID'!$C:$C,'SkillMasterSkill ID'!$F:$F,"NOT FOUND",0))</f>
        <v>NOT FOUND</v>
      </c>
      <c r="K982" s="50"/>
      <c r="L982" s="50"/>
    </row>
    <row r="983" spans="1:12" x14ac:dyDescent="0.25">
      <c r="A98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83">
        <v>6100</v>
      </c>
      <c r="C983" t="s">
        <v>3504</v>
      </c>
      <c r="D983" s="46"/>
      <c r="E983" t="s">
        <v>1448</v>
      </c>
      <c r="F983" s="50"/>
      <c r="G983" t="s">
        <v>3503</v>
      </c>
      <c r="H983" t="s">
        <v>3505</v>
      </c>
      <c r="I983" t="s">
        <v>3506</v>
      </c>
      <c r="J983" s="50" t="str">
        <f>IF(I983="","",_xlfn.XLOOKUP(TRIM(I983),'SkillMasterSkill ID'!$C:$C,'SkillMasterSkill ID'!$F:$F,"NOT FOUND",0))</f>
        <v>NOT FOUND</v>
      </c>
      <c r="K983" s="50"/>
      <c r="L983" s="50"/>
    </row>
    <row r="984" spans="1:12" x14ac:dyDescent="0.25">
      <c r="A98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84">
        <v>6100</v>
      </c>
      <c r="C984" t="s">
        <v>3504</v>
      </c>
      <c r="D984" s="46"/>
      <c r="E984" t="s">
        <v>3304</v>
      </c>
      <c r="F984" s="50"/>
      <c r="G984" t="s">
        <v>3503</v>
      </c>
      <c r="H984" t="s">
        <v>3510</v>
      </c>
      <c r="I984" t="s">
        <v>3511</v>
      </c>
      <c r="J984" s="50" t="str">
        <f>IF(I984="","",_xlfn.XLOOKUP(TRIM(I984),'SkillMasterSkill ID'!$C:$C,'SkillMasterSkill ID'!$F:$F,"NOT FOUND",0))</f>
        <v>NOT FOUND</v>
      </c>
      <c r="K984" s="50"/>
      <c r="L984" s="50"/>
    </row>
    <row r="985" spans="1:12" x14ac:dyDescent="0.25">
      <c r="A98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85">
        <v>6100</v>
      </c>
      <c r="C985" t="s">
        <v>3504</v>
      </c>
      <c r="D985" s="46"/>
      <c r="E985" t="s">
        <v>951</v>
      </c>
      <c r="F985" s="50"/>
      <c r="G985" t="s">
        <v>2256</v>
      </c>
      <c r="H985" t="s">
        <v>3565</v>
      </c>
      <c r="I985" t="s">
        <v>3467</v>
      </c>
      <c r="J985" s="50" t="str">
        <f>IF(I985="","",_xlfn.XLOOKUP(TRIM(I985),'SkillMasterSkill ID'!$C:$C,'SkillMasterSkill ID'!$F:$F,"NOT FOUND",0))</f>
        <v>NOT FOUND</v>
      </c>
      <c r="K985" s="50"/>
      <c r="L985" s="50"/>
    </row>
    <row r="986" spans="1:12" x14ac:dyDescent="0.25">
      <c r="A98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86">
        <v>6100</v>
      </c>
      <c r="C986" t="s">
        <v>3504</v>
      </c>
      <c r="D986" s="46"/>
      <c r="E986" t="s">
        <v>2937</v>
      </c>
      <c r="F986" s="50"/>
      <c r="G986" t="s">
        <v>3550</v>
      </c>
      <c r="H986" t="s">
        <v>3553</v>
      </c>
      <c r="I986" t="s">
        <v>3554</v>
      </c>
      <c r="J986" s="50" t="str">
        <f>IF(I986="","",_xlfn.XLOOKUP(TRIM(I986),'SkillMasterSkill ID'!$C:$C,'SkillMasterSkill ID'!$F:$F,"NOT FOUND",0))</f>
        <v>NOT FOUND</v>
      </c>
      <c r="K986" s="50"/>
      <c r="L986" s="50"/>
    </row>
    <row r="987" spans="1:12" x14ac:dyDescent="0.25">
      <c r="A98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87">
        <v>6100</v>
      </c>
      <c r="C987" t="s">
        <v>3504</v>
      </c>
      <c r="D987" s="46"/>
      <c r="E987" t="s">
        <v>3162</v>
      </c>
      <c r="F987" s="50"/>
      <c r="G987" t="s">
        <v>3550</v>
      </c>
      <c r="H987" t="s">
        <v>3555</v>
      </c>
      <c r="I987" t="s">
        <v>3164</v>
      </c>
      <c r="J987" s="50" t="str">
        <f>IF(I987="","",_xlfn.XLOOKUP(TRIM(I987),'SkillMasterSkill ID'!$C:$C,'SkillMasterSkill ID'!$F:$F,"NOT FOUND",0))</f>
        <v>NOT FOUND</v>
      </c>
      <c r="K987" s="50"/>
      <c r="L987" s="50"/>
    </row>
    <row r="988" spans="1:12" x14ac:dyDescent="0.25">
      <c r="A98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88">
        <v>6100</v>
      </c>
      <c r="C988" t="s">
        <v>3504</v>
      </c>
      <c r="D988" s="46"/>
      <c r="E988" t="s">
        <v>2937</v>
      </c>
      <c r="F988" s="50"/>
      <c r="G988" t="s">
        <v>3550</v>
      </c>
      <c r="H988" t="s">
        <v>3551</v>
      </c>
      <c r="I988" t="s">
        <v>3552</v>
      </c>
      <c r="J988" s="50" t="str">
        <f>IF(I988="","",_xlfn.XLOOKUP(TRIM(I988),'SkillMasterSkill ID'!$C:$C,'SkillMasterSkill ID'!$F:$F,"NOT FOUND",0))</f>
        <v>NOT FOUND</v>
      </c>
      <c r="K988" s="50"/>
      <c r="L988" s="50"/>
    </row>
    <row r="989" spans="1:12" x14ac:dyDescent="0.25">
      <c r="A98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89">
        <v>6100</v>
      </c>
      <c r="C989" t="s">
        <v>3504</v>
      </c>
      <c r="D989" s="46"/>
      <c r="E989" t="s">
        <v>953</v>
      </c>
      <c r="F989" s="50"/>
      <c r="G989" t="s">
        <v>3556</v>
      </c>
      <c r="H989" t="s">
        <v>3560</v>
      </c>
      <c r="I989" t="s">
        <v>3561</v>
      </c>
      <c r="J989" s="50" t="str">
        <f>IF(I989="","",_xlfn.XLOOKUP(TRIM(I989),'SkillMasterSkill ID'!$C:$C,'SkillMasterSkill ID'!$F:$F,"NOT FOUND",0))</f>
        <v>NOT FOUND</v>
      </c>
      <c r="K989" s="50"/>
      <c r="L989" s="50"/>
    </row>
    <row r="990" spans="1:12" x14ac:dyDescent="0.25">
      <c r="A99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90">
        <v>6100</v>
      </c>
      <c r="C990" t="s">
        <v>3504</v>
      </c>
      <c r="D990" s="46"/>
      <c r="E990" t="s">
        <v>3542</v>
      </c>
      <c r="F990" s="50"/>
      <c r="G990" t="s">
        <v>3541</v>
      </c>
      <c r="H990" t="s">
        <v>3546</v>
      </c>
      <c r="I990" t="s">
        <v>3547</v>
      </c>
      <c r="J990" s="50" t="str">
        <f>IF(I990="","",_xlfn.XLOOKUP(TRIM(I990),'SkillMasterSkill ID'!$C:$C,'SkillMasterSkill ID'!$F:$F,"NOT FOUND",0))</f>
        <v>NOT FOUND</v>
      </c>
      <c r="K990" s="50"/>
      <c r="L990" s="50"/>
    </row>
    <row r="991" spans="1:12" x14ac:dyDescent="0.25">
      <c r="A99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91">
        <v>6100</v>
      </c>
      <c r="C991" t="s">
        <v>3504</v>
      </c>
      <c r="D991" s="46"/>
      <c r="E991" t="s">
        <v>3529</v>
      </c>
      <c r="F991" s="50"/>
      <c r="G991" t="s">
        <v>3528</v>
      </c>
      <c r="H991" t="s">
        <v>3531</v>
      </c>
      <c r="I991" t="s">
        <v>3532</v>
      </c>
      <c r="J991" s="50" t="str">
        <f>IF(I991="","",_xlfn.XLOOKUP(TRIM(I991),'SkillMasterSkill ID'!$C:$C,'SkillMasterSkill ID'!$F:$F,"NOT FOUND",0))</f>
        <v>NOT FOUND</v>
      </c>
      <c r="K991" s="50"/>
      <c r="L991" s="50"/>
    </row>
    <row r="992" spans="1:12" x14ac:dyDescent="0.25">
      <c r="A99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92">
        <v>6100</v>
      </c>
      <c r="C992" t="s">
        <v>3504</v>
      </c>
      <c r="D992" s="46"/>
      <c r="E992" t="s">
        <v>3542</v>
      </c>
      <c r="F992" s="50"/>
      <c r="G992" t="s">
        <v>3541</v>
      </c>
      <c r="H992" t="s">
        <v>3548</v>
      </c>
      <c r="I992" t="s">
        <v>3549</v>
      </c>
      <c r="J992" s="50" t="str">
        <f>IF(I992="","",_xlfn.XLOOKUP(TRIM(I992),'SkillMasterSkill ID'!$C:$C,'SkillMasterSkill ID'!$F:$F,"NOT FOUND",0))</f>
        <v>NOT FOUND</v>
      </c>
      <c r="K992" s="50"/>
      <c r="L992" s="50"/>
    </row>
    <row r="993" spans="1:12" x14ac:dyDescent="0.25">
      <c r="A99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93">
        <v>6100</v>
      </c>
      <c r="C993" t="s">
        <v>3504</v>
      </c>
      <c r="D993" s="46"/>
      <c r="E993" t="s">
        <v>3513</v>
      </c>
      <c r="F993" s="50"/>
      <c r="G993" t="s">
        <v>3512</v>
      </c>
      <c r="H993" t="s">
        <v>3515</v>
      </c>
      <c r="I993" t="s">
        <v>3516</v>
      </c>
      <c r="J993" s="50" t="str">
        <f>IF(I993="","",_xlfn.XLOOKUP(TRIM(I993),'SkillMasterSkill ID'!$C:$C,'SkillMasterSkill ID'!$F:$F,"NOT FOUND",0))</f>
        <v>NOT FOUND</v>
      </c>
      <c r="K993" s="50"/>
      <c r="L993" s="50"/>
    </row>
    <row r="994" spans="1:12" x14ac:dyDescent="0.25">
      <c r="A99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94">
        <v>6100</v>
      </c>
      <c r="C994" t="s">
        <v>3504</v>
      </c>
      <c r="D994" s="46"/>
      <c r="E994" t="s">
        <v>3513</v>
      </c>
      <c r="F994" s="50"/>
      <c r="G994" t="s">
        <v>3512</v>
      </c>
      <c r="H994" t="s">
        <v>3519</v>
      </c>
      <c r="I994" t="s">
        <v>3520</v>
      </c>
      <c r="J994" s="50" t="str">
        <f>IF(I994="","",_xlfn.XLOOKUP(TRIM(I994),'SkillMasterSkill ID'!$C:$C,'SkillMasterSkill ID'!$F:$F,"NOT FOUND",0))</f>
        <v>NOT FOUND</v>
      </c>
      <c r="K994" s="50"/>
      <c r="L994" s="50"/>
    </row>
    <row r="995" spans="1:12" x14ac:dyDescent="0.25">
      <c r="A99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95">
        <v>6100</v>
      </c>
      <c r="C995" t="s">
        <v>3504</v>
      </c>
      <c r="D995" s="46"/>
      <c r="E995" t="s">
        <v>3513</v>
      </c>
      <c r="F995" s="50"/>
      <c r="G995" t="s">
        <v>3512</v>
      </c>
      <c r="H995" t="s">
        <v>3517</v>
      </c>
      <c r="I995" t="s">
        <v>3518</v>
      </c>
      <c r="J995" s="50" t="str">
        <f>IF(I995="","",_xlfn.XLOOKUP(TRIM(I995),'SkillMasterSkill ID'!$C:$C,'SkillMasterSkill ID'!$F:$F,"NOT FOUND",0))</f>
        <v>NOT FOUND</v>
      </c>
      <c r="K995" s="50"/>
      <c r="L995" s="50"/>
    </row>
    <row r="996" spans="1:12" x14ac:dyDescent="0.25">
      <c r="A99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96">
        <v>6100</v>
      </c>
      <c r="C996" t="s">
        <v>3504</v>
      </c>
      <c r="D996" s="46"/>
      <c r="E996" t="s">
        <v>947</v>
      </c>
      <c r="F996" s="50"/>
      <c r="G996" t="s">
        <v>3521</v>
      </c>
      <c r="H996" t="s">
        <v>3526</v>
      </c>
      <c r="I996" t="s">
        <v>3527</v>
      </c>
      <c r="J996" s="50" t="str">
        <f>IF(I996="","",_xlfn.XLOOKUP(TRIM(I996),'SkillMasterSkill ID'!$C:$C,'SkillMasterSkill ID'!$F:$F,"NOT FOUND",0))</f>
        <v>NOT FOUND</v>
      </c>
      <c r="K996" s="50"/>
      <c r="L996" s="50"/>
    </row>
    <row r="997" spans="1:12" x14ac:dyDescent="0.25">
      <c r="A99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97">
        <v>6100</v>
      </c>
      <c r="C997" t="s">
        <v>3504</v>
      </c>
      <c r="D997" s="46"/>
      <c r="E997" t="s">
        <v>3562</v>
      </c>
      <c r="F997" s="50"/>
      <c r="G997" t="s">
        <v>3556</v>
      </c>
      <c r="H997" t="s">
        <v>3563</v>
      </c>
      <c r="I997" t="s">
        <v>3564</v>
      </c>
      <c r="J997" s="50" t="str">
        <f>IF(I997="","",_xlfn.XLOOKUP(TRIM(I997),'SkillMasterSkill ID'!$C:$C,'SkillMasterSkill ID'!$F:$F,"NOT FOUND",0))</f>
        <v>NOT FOUND</v>
      </c>
      <c r="K997" s="50"/>
      <c r="L997" s="50"/>
    </row>
    <row r="998" spans="1:12" x14ac:dyDescent="0.25">
      <c r="A99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98">
        <v>6100</v>
      </c>
      <c r="C998" t="s">
        <v>3504</v>
      </c>
      <c r="D998" s="46"/>
      <c r="E998" t="s">
        <v>953</v>
      </c>
      <c r="F998" s="50"/>
      <c r="G998" t="s">
        <v>3556</v>
      </c>
      <c r="H998" t="s">
        <v>3558</v>
      </c>
      <c r="I998" t="s">
        <v>3559</v>
      </c>
      <c r="J998" s="50" t="str">
        <f>IF(I998="","",_xlfn.XLOOKUP(TRIM(I998),'SkillMasterSkill ID'!$C:$C,'SkillMasterSkill ID'!$F:$F,"NOT FOUND",0))</f>
        <v>NOT FOUND</v>
      </c>
      <c r="K998" s="50"/>
      <c r="L998" s="50"/>
    </row>
    <row r="999" spans="1:12" x14ac:dyDescent="0.25">
      <c r="A99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999">
        <v>6100</v>
      </c>
      <c r="C999" t="s">
        <v>3504</v>
      </c>
      <c r="D999" s="46"/>
      <c r="E999" t="s">
        <v>1476</v>
      </c>
      <c r="F999" s="50"/>
      <c r="G999" t="s">
        <v>3521</v>
      </c>
      <c r="H999" t="s">
        <v>3522</v>
      </c>
      <c r="I999" t="s">
        <v>3523</v>
      </c>
      <c r="J999" s="50" t="str">
        <f>IF(I999="","",_xlfn.XLOOKUP(TRIM(I999),'SkillMasterSkill ID'!$C:$C,'SkillMasterSkill ID'!$F:$F,"NOT FOUND",0))</f>
        <v>NOT FOUND</v>
      </c>
      <c r="K999" s="50"/>
      <c r="L999" s="50"/>
    </row>
    <row r="1000" spans="1:12" x14ac:dyDescent="0.25">
      <c r="A100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00">
        <v>6100</v>
      </c>
      <c r="C1000" t="s">
        <v>3504</v>
      </c>
      <c r="D1000" s="46"/>
      <c r="E1000" t="s">
        <v>1476</v>
      </c>
      <c r="F1000" s="50"/>
      <c r="G1000" t="s">
        <v>3521</v>
      </c>
      <c r="H1000" t="s">
        <v>3524</v>
      </c>
      <c r="I1000" t="s">
        <v>3525</v>
      </c>
      <c r="J1000" s="50" t="str">
        <f>IF(I1000="","",_xlfn.XLOOKUP(TRIM(I1000),'SkillMasterSkill ID'!$C:$C,'SkillMasterSkill ID'!$F:$F,"NOT FOUND",0))</f>
        <v>NOT FOUND</v>
      </c>
      <c r="K1000" s="50"/>
      <c r="L1000" s="50"/>
    </row>
    <row r="1001" spans="1:12" x14ac:dyDescent="0.25">
      <c r="A100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01">
        <v>10301</v>
      </c>
      <c r="C1001" t="s">
        <v>222</v>
      </c>
      <c r="D1001" s="46"/>
      <c r="E1001" t="s">
        <v>2864</v>
      </c>
      <c r="F1001" s="50"/>
      <c r="G1001" t="s">
        <v>2858</v>
      </c>
      <c r="H1001" t="s">
        <v>2866</v>
      </c>
      <c r="I1001" t="s">
        <v>2867</v>
      </c>
      <c r="J1001" s="50" t="str">
        <f>IF(I1001="","",_xlfn.XLOOKUP(TRIM(I1001),'SkillMasterSkill ID'!$C:$C,'SkillMasterSkill ID'!$F:$F,"NOT FOUND",0))</f>
        <v>NOT FOUND</v>
      </c>
      <c r="K1001" s="50"/>
      <c r="L1001" s="50"/>
    </row>
    <row r="1002" spans="1:12" x14ac:dyDescent="0.25">
      <c r="A100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02">
        <v>10301</v>
      </c>
      <c r="C1002" t="s">
        <v>222</v>
      </c>
      <c r="D1002" s="46"/>
      <c r="E1002" t="s">
        <v>962</v>
      </c>
      <c r="F1002" s="50"/>
      <c r="G1002" t="s">
        <v>2833</v>
      </c>
      <c r="H1002" t="s">
        <v>2836</v>
      </c>
      <c r="I1002" t="s">
        <v>2837</v>
      </c>
      <c r="J1002" s="50" t="str">
        <f>IF(I1002="","",_xlfn.XLOOKUP(TRIM(I1002),'SkillMasterSkill ID'!$C:$C,'SkillMasterSkill ID'!$F:$F,"NOT FOUND",0))</f>
        <v>NOT FOUND</v>
      </c>
      <c r="K1002" s="50"/>
      <c r="L1002" s="50"/>
    </row>
    <row r="1003" spans="1:12" x14ac:dyDescent="0.25">
      <c r="A100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03">
        <v>10301</v>
      </c>
      <c r="C1003" t="s">
        <v>222</v>
      </c>
      <c r="D1003" s="46"/>
      <c r="E1003" t="s">
        <v>2843</v>
      </c>
      <c r="F1003" s="50"/>
      <c r="G1003" t="s">
        <v>2842</v>
      </c>
      <c r="H1003" t="s">
        <v>2844</v>
      </c>
      <c r="I1003" t="s">
        <v>2845</v>
      </c>
      <c r="J1003" s="50" t="str">
        <f>IF(I1003="","",_xlfn.XLOOKUP(TRIM(I1003),'SkillMasterSkill ID'!$C:$C,'SkillMasterSkill ID'!$F:$F,"NOT FOUND",0))</f>
        <v>NOT FOUND</v>
      </c>
      <c r="K1003" s="50"/>
      <c r="L1003" s="50"/>
    </row>
    <row r="1004" spans="1:12" x14ac:dyDescent="0.25">
      <c r="A100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04">
        <v>10301</v>
      </c>
      <c r="C1004" t="s">
        <v>222</v>
      </c>
      <c r="D1004" s="46"/>
      <c r="E1004" t="s">
        <v>1415</v>
      </c>
      <c r="F1004" s="50"/>
      <c r="G1004" t="s">
        <v>2851</v>
      </c>
      <c r="H1004" t="s">
        <v>2671</v>
      </c>
      <c r="I1004" t="s">
        <v>2854</v>
      </c>
      <c r="J1004" s="50" t="str">
        <f>IF(I1004="","",_xlfn.XLOOKUP(TRIM(I1004),'SkillMasterSkill ID'!$C:$C,'SkillMasterSkill ID'!$F:$F,"NOT FOUND",0))</f>
        <v>NOT FOUND</v>
      </c>
      <c r="K1004" s="50"/>
      <c r="L1004" s="50"/>
    </row>
    <row r="1005" spans="1:12" x14ac:dyDescent="0.25">
      <c r="A100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05">
        <v>10301</v>
      </c>
      <c r="C1005" t="s">
        <v>222</v>
      </c>
      <c r="D1005" s="46"/>
      <c r="E1005" t="s">
        <v>2215</v>
      </c>
      <c r="F1005" s="50"/>
      <c r="G1005" t="s">
        <v>2816</v>
      </c>
      <c r="H1005" t="s">
        <v>2824</v>
      </c>
      <c r="I1005" t="s">
        <v>2825</v>
      </c>
      <c r="J1005" s="50" t="str">
        <f>IF(I1005="","",_xlfn.XLOOKUP(TRIM(I1005),'SkillMasterSkill ID'!$C:$C,'SkillMasterSkill ID'!$F:$F,"NOT FOUND",0))</f>
        <v>NOT FOUND</v>
      </c>
      <c r="K1005" s="50"/>
      <c r="L1005" s="50"/>
    </row>
    <row r="1006" spans="1:12" x14ac:dyDescent="0.25">
      <c r="A100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06">
        <v>10301</v>
      </c>
      <c r="C1006" t="s">
        <v>222</v>
      </c>
      <c r="D1006" s="46"/>
      <c r="E1006" t="s">
        <v>951</v>
      </c>
      <c r="F1006" s="50"/>
      <c r="G1006" t="s">
        <v>2256</v>
      </c>
      <c r="H1006" t="s">
        <v>2679</v>
      </c>
      <c r="I1006" t="s">
        <v>2875</v>
      </c>
      <c r="J1006" s="50" t="str">
        <f>IF(I1006="","",_xlfn.XLOOKUP(TRIM(I1006),'SkillMasterSkill ID'!$C:$C,'SkillMasterSkill ID'!$F:$F,"NOT FOUND",0))</f>
        <v>NOT FOUND</v>
      </c>
      <c r="K1006" s="50"/>
      <c r="L1006" s="50"/>
    </row>
    <row r="1007" spans="1:12" x14ac:dyDescent="0.25">
      <c r="A100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07">
        <v>10301</v>
      </c>
      <c r="C1007" t="s">
        <v>222</v>
      </c>
      <c r="D1007" s="46"/>
      <c r="E1007" t="s">
        <v>947</v>
      </c>
      <c r="F1007" s="50"/>
      <c r="G1007" t="s">
        <v>2842</v>
      </c>
      <c r="H1007" t="s">
        <v>2846</v>
      </c>
      <c r="I1007" t="s">
        <v>2847</v>
      </c>
      <c r="J1007" s="50" t="str">
        <f>IF(I1007="","",_xlfn.XLOOKUP(TRIM(I1007),'SkillMasterSkill ID'!$C:$C,'SkillMasterSkill ID'!$F:$F,"NOT FOUND",0))</f>
        <v>NOT FOUND</v>
      </c>
      <c r="K1007" s="50"/>
      <c r="L1007" s="50"/>
    </row>
    <row r="1008" spans="1:12" x14ac:dyDescent="0.25">
      <c r="A100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08">
        <v>10301</v>
      </c>
      <c r="C1008" t="s">
        <v>222</v>
      </c>
      <c r="D1008" s="46"/>
      <c r="E1008" t="s">
        <v>962</v>
      </c>
      <c r="F1008" s="50"/>
      <c r="G1008" t="s">
        <v>2833</v>
      </c>
      <c r="H1008" t="s">
        <v>2835</v>
      </c>
      <c r="I1008" t="s">
        <v>1391</v>
      </c>
      <c r="J1008" s="50" t="str">
        <f>IF(I1008="","",_xlfn.XLOOKUP(TRIM(I1008),'SkillMasterSkill ID'!$C:$C,'SkillMasterSkill ID'!$F:$F,"NOT FOUND",0))</f>
        <v>NOT FOUND</v>
      </c>
      <c r="K1008" s="50"/>
      <c r="L1008" s="50"/>
    </row>
    <row r="1009" spans="1:12" x14ac:dyDescent="0.25">
      <c r="A100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09">
        <v>10301</v>
      </c>
      <c r="C1009" t="s">
        <v>222</v>
      </c>
      <c r="D1009" s="46"/>
      <c r="E1009" t="s">
        <v>1392</v>
      </c>
      <c r="F1009" s="50"/>
      <c r="G1009" t="s">
        <v>2833</v>
      </c>
      <c r="H1009" t="s">
        <v>2838</v>
      </c>
      <c r="I1009" t="s">
        <v>2839</v>
      </c>
      <c r="J1009" s="50" t="str">
        <f>IF(I1009="","",_xlfn.XLOOKUP(TRIM(I1009),'SkillMasterSkill ID'!$C:$C,'SkillMasterSkill ID'!$F:$F,"NOT FOUND",0))</f>
        <v>NOT FOUND</v>
      </c>
      <c r="K1009" s="50"/>
      <c r="L1009" s="50"/>
    </row>
    <row r="1010" spans="1:12" x14ac:dyDescent="0.25">
      <c r="A101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10">
        <v>10301</v>
      </c>
      <c r="C1010" t="s">
        <v>222</v>
      </c>
      <c r="D1010" s="46"/>
      <c r="E1010" t="s">
        <v>816</v>
      </c>
      <c r="F1010" s="50"/>
      <c r="G1010" t="s">
        <v>2826</v>
      </c>
      <c r="H1010" t="s">
        <v>2830</v>
      </c>
      <c r="I1010" t="s">
        <v>827</v>
      </c>
      <c r="J1010" s="50" t="str">
        <f>IF(I1010="","",_xlfn.XLOOKUP(TRIM(I1010),'SkillMasterSkill ID'!$C:$C,'SkillMasterSkill ID'!$F:$F,"NOT FOUND",0))</f>
        <v>Competency related to critical path awareness that supports effective field/project leadership and execution.</v>
      </c>
      <c r="K1010" s="50"/>
      <c r="L1010" s="50"/>
    </row>
    <row r="1011" spans="1:12" x14ac:dyDescent="0.25">
      <c r="A101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11">
        <v>10301</v>
      </c>
      <c r="C1011" t="s">
        <v>222</v>
      </c>
      <c r="D1011" s="46"/>
      <c r="E1011" t="s">
        <v>2819</v>
      </c>
      <c r="F1011" s="50"/>
      <c r="G1011" t="s">
        <v>2816</v>
      </c>
      <c r="H1011" t="s">
        <v>2820</v>
      </c>
      <c r="I1011" t="s">
        <v>2821</v>
      </c>
      <c r="J1011" s="50" t="str">
        <f>IF(I1011="","",_xlfn.XLOOKUP(TRIM(I1011),'SkillMasterSkill ID'!$C:$C,'SkillMasterSkill ID'!$F:$F,"NOT FOUND",0))</f>
        <v>NOT FOUND</v>
      </c>
      <c r="K1011" s="50"/>
      <c r="L1011" s="50"/>
    </row>
    <row r="1012" spans="1:12" x14ac:dyDescent="0.25">
      <c r="A101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12">
        <v>10301</v>
      </c>
      <c r="C1012" t="s">
        <v>222</v>
      </c>
      <c r="D1012" s="46"/>
      <c r="E1012" t="s">
        <v>2665</v>
      </c>
      <c r="F1012" s="50"/>
      <c r="G1012" t="s">
        <v>1622</v>
      </c>
      <c r="H1012" t="s">
        <v>2807</v>
      </c>
      <c r="I1012" t="s">
        <v>2808</v>
      </c>
      <c r="J1012" s="50" t="str">
        <f>IF(I1012="","",_xlfn.XLOOKUP(TRIM(I1012),'SkillMasterSkill ID'!$C:$C,'SkillMasterSkill ID'!$F:$F,"NOT FOUND",0))</f>
        <v>NOT FOUND</v>
      </c>
      <c r="K1012" s="50"/>
      <c r="L1012" s="50"/>
    </row>
    <row r="1013" spans="1:12" x14ac:dyDescent="0.25">
      <c r="A101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13">
        <v>10301</v>
      </c>
      <c r="C1013" t="s">
        <v>222</v>
      </c>
      <c r="D1013" s="46"/>
      <c r="E1013" t="s">
        <v>874</v>
      </c>
      <c r="F1013" s="50"/>
      <c r="G1013" t="s">
        <v>2868</v>
      </c>
      <c r="H1013" t="s">
        <v>2871</v>
      </c>
      <c r="I1013" t="s">
        <v>2872</v>
      </c>
      <c r="J1013" s="50" t="str">
        <f>IF(I1013="","",_xlfn.XLOOKUP(TRIM(I1013),'SkillMasterSkill ID'!$C:$C,'SkillMasterSkill ID'!$F:$F,"NOT FOUND",0))</f>
        <v>NOT FOUND</v>
      </c>
      <c r="K1013" s="50"/>
      <c r="L1013" s="50"/>
    </row>
    <row r="1014" spans="1:12" x14ac:dyDescent="0.25">
      <c r="A101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14">
        <v>10301</v>
      </c>
      <c r="C1014" t="s">
        <v>222</v>
      </c>
      <c r="D1014" s="46"/>
      <c r="E1014" t="s">
        <v>947</v>
      </c>
      <c r="F1014" s="50"/>
      <c r="G1014" t="s">
        <v>2842</v>
      </c>
      <c r="H1014" t="s">
        <v>2849</v>
      </c>
      <c r="I1014" t="s">
        <v>2850</v>
      </c>
      <c r="J1014" s="50" t="str">
        <f>IF(I1014="","",_xlfn.XLOOKUP(TRIM(I1014),'SkillMasterSkill ID'!$C:$C,'SkillMasterSkill ID'!$F:$F,"NOT FOUND",0))</f>
        <v>NOT FOUND</v>
      </c>
      <c r="K1014" s="50"/>
      <c r="L1014" s="50"/>
    </row>
    <row r="1015" spans="1:12" x14ac:dyDescent="0.25">
      <c r="A101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15">
        <v>10301</v>
      </c>
      <c r="C1015" t="s">
        <v>222</v>
      </c>
      <c r="D1015" s="46"/>
      <c r="E1015" t="s">
        <v>816</v>
      </c>
      <c r="F1015" s="50"/>
      <c r="G1015" t="s">
        <v>2826</v>
      </c>
      <c r="H1015" t="s">
        <v>2831</v>
      </c>
      <c r="I1015" t="s">
        <v>2832</v>
      </c>
      <c r="J1015" s="50" t="str">
        <f>IF(I1015="","",_xlfn.XLOOKUP(TRIM(I1015),'SkillMasterSkill ID'!$C:$C,'SkillMasterSkill ID'!$F:$F,"NOT FOUND",0))</f>
        <v>NOT FOUND</v>
      </c>
      <c r="K1015" s="50"/>
      <c r="L1015" s="50"/>
    </row>
    <row r="1016" spans="1:12" x14ac:dyDescent="0.25">
      <c r="A101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16">
        <v>10301</v>
      </c>
      <c r="C1016" t="s">
        <v>222</v>
      </c>
      <c r="D1016" s="46"/>
      <c r="E1016" t="s">
        <v>872</v>
      </c>
      <c r="F1016" s="50"/>
      <c r="G1016" t="s">
        <v>2816</v>
      </c>
      <c r="H1016" t="s">
        <v>2817</v>
      </c>
      <c r="I1016" t="s">
        <v>2818</v>
      </c>
      <c r="J1016" s="50" t="str">
        <f>IF(I1016="","",_xlfn.XLOOKUP(TRIM(I1016),'SkillMasterSkill ID'!$C:$C,'SkillMasterSkill ID'!$F:$F,"NOT FOUND",0))</f>
        <v>NOT FOUND</v>
      </c>
      <c r="K1016" s="50"/>
      <c r="L1016" s="50"/>
    </row>
    <row r="1017" spans="1:12" x14ac:dyDescent="0.25">
      <c r="A101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17">
        <v>10301</v>
      </c>
      <c r="C1017" t="s">
        <v>222</v>
      </c>
      <c r="D1017" s="46"/>
      <c r="E1017" t="s">
        <v>2855</v>
      </c>
      <c r="F1017" s="50"/>
      <c r="G1017" t="s">
        <v>2851</v>
      </c>
      <c r="H1017" t="s">
        <v>2856</v>
      </c>
      <c r="I1017" t="s">
        <v>2857</v>
      </c>
      <c r="J1017" s="50" t="str">
        <f>IF(I1017="","",_xlfn.XLOOKUP(TRIM(I1017),'SkillMasterSkill ID'!$C:$C,'SkillMasterSkill ID'!$F:$F,"NOT FOUND",0))</f>
        <v>NOT FOUND</v>
      </c>
      <c r="K1017" s="50"/>
      <c r="L1017" s="50"/>
    </row>
    <row r="1018" spans="1:12" x14ac:dyDescent="0.25">
      <c r="A101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18">
        <v>10301</v>
      </c>
      <c r="C1018" t="s">
        <v>222</v>
      </c>
      <c r="D1018" s="46"/>
      <c r="E1018" t="s">
        <v>871</v>
      </c>
      <c r="F1018" s="50"/>
      <c r="G1018" t="s">
        <v>2868</v>
      </c>
      <c r="H1018" t="s">
        <v>2869</v>
      </c>
      <c r="I1018" t="s">
        <v>2870</v>
      </c>
      <c r="J1018" s="50" t="str">
        <f>IF(I1018="","",_xlfn.XLOOKUP(TRIM(I1018),'SkillMasterSkill ID'!$C:$C,'SkillMasterSkill ID'!$F:$F,"NOT FOUND",0))</f>
        <v>NOT FOUND</v>
      </c>
      <c r="K1018" s="50"/>
      <c r="L1018" s="50"/>
    </row>
    <row r="1019" spans="1:12" x14ac:dyDescent="0.25">
      <c r="A101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19">
        <v>10301</v>
      </c>
      <c r="C1019" t="s">
        <v>222</v>
      </c>
      <c r="D1019" s="46"/>
      <c r="E1019" t="s">
        <v>816</v>
      </c>
      <c r="F1019" s="50"/>
      <c r="G1019" t="s">
        <v>2826</v>
      </c>
      <c r="H1019" t="s">
        <v>2828</v>
      </c>
      <c r="I1019" t="s">
        <v>2829</v>
      </c>
      <c r="J1019" s="50" t="str">
        <f>IF(I1019="","",_xlfn.XLOOKUP(TRIM(I1019),'SkillMasterSkill ID'!$C:$C,'SkillMasterSkill ID'!$F:$F,"NOT FOUND",0))</f>
        <v>NOT FOUND</v>
      </c>
      <c r="K1019" s="50"/>
      <c r="L1019" s="50"/>
    </row>
    <row r="1020" spans="1:12" x14ac:dyDescent="0.25">
      <c r="A102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20">
        <v>10301</v>
      </c>
      <c r="C1020" t="s">
        <v>222</v>
      </c>
      <c r="D1020" s="46"/>
      <c r="E1020" t="s">
        <v>871</v>
      </c>
      <c r="F1020" s="50"/>
      <c r="G1020" t="s">
        <v>1622</v>
      </c>
      <c r="H1020" t="s">
        <v>2814</v>
      </c>
      <c r="I1020" t="s">
        <v>2815</v>
      </c>
      <c r="J1020" s="50" t="str">
        <f>IF(I1020="","",_xlfn.XLOOKUP(TRIM(I1020),'SkillMasterSkill ID'!$C:$C,'SkillMasterSkill ID'!$F:$F,"NOT FOUND",0))</f>
        <v>NOT FOUND</v>
      </c>
      <c r="K1020" s="50"/>
      <c r="L1020" s="50"/>
    </row>
    <row r="1021" spans="1:12" x14ac:dyDescent="0.25">
      <c r="A102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21">
        <v>10301</v>
      </c>
      <c r="C1021" t="s">
        <v>222</v>
      </c>
      <c r="D1021" s="46"/>
      <c r="E1021" t="s">
        <v>934</v>
      </c>
      <c r="F1021" s="50"/>
      <c r="G1021" t="s">
        <v>2816</v>
      </c>
      <c r="H1021" t="s">
        <v>2823</v>
      </c>
      <c r="I1021" t="s">
        <v>2815</v>
      </c>
      <c r="J1021" s="50" t="str">
        <f>IF(I1021="","",_xlfn.XLOOKUP(TRIM(I1021),'SkillMasterSkill ID'!$C:$C,'SkillMasterSkill ID'!$F:$F,"NOT FOUND",0))</f>
        <v>NOT FOUND</v>
      </c>
      <c r="K1021" s="50"/>
      <c r="L1021" s="50"/>
    </row>
    <row r="1022" spans="1:12" x14ac:dyDescent="0.25">
      <c r="A102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22">
        <v>10301</v>
      </c>
      <c r="C1022" t="s">
        <v>222</v>
      </c>
      <c r="D1022" s="46"/>
      <c r="E1022" t="s">
        <v>874</v>
      </c>
      <c r="F1022" s="50"/>
      <c r="G1022" t="s">
        <v>2816</v>
      </c>
      <c r="H1022" t="s">
        <v>2822</v>
      </c>
      <c r="I1022" t="s">
        <v>2563</v>
      </c>
      <c r="J1022" s="50" t="str">
        <f>IF(I1022="","",_xlfn.XLOOKUP(TRIM(I1022),'SkillMasterSkill ID'!$C:$C,'SkillMasterSkill ID'!$F:$F,"NOT FOUND",0))</f>
        <v>NOT FOUND</v>
      </c>
      <c r="K1022" s="50"/>
      <c r="L1022" s="50"/>
    </row>
    <row r="1023" spans="1:12" x14ac:dyDescent="0.25">
      <c r="A102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23">
        <v>10301</v>
      </c>
      <c r="C1023" t="s">
        <v>222</v>
      </c>
      <c r="D1023" s="46"/>
      <c r="E1023" t="s">
        <v>873</v>
      </c>
      <c r="F1023" s="50"/>
      <c r="G1023" t="s">
        <v>2851</v>
      </c>
      <c r="H1023" t="s">
        <v>2852</v>
      </c>
      <c r="I1023" t="s">
        <v>2853</v>
      </c>
      <c r="J1023" s="50" t="str">
        <f>IF(I1023="","",_xlfn.XLOOKUP(TRIM(I1023),'SkillMasterSkill ID'!$C:$C,'SkillMasterSkill ID'!$F:$F,"NOT FOUND",0))</f>
        <v>NOT FOUND</v>
      </c>
      <c r="K1023" s="50"/>
      <c r="L1023" s="50"/>
    </row>
    <row r="1024" spans="1:12" x14ac:dyDescent="0.25">
      <c r="A102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24">
        <v>10301</v>
      </c>
      <c r="C1024" t="s">
        <v>222</v>
      </c>
      <c r="D1024" s="46"/>
      <c r="E1024" t="s">
        <v>947</v>
      </c>
      <c r="F1024" s="50"/>
      <c r="G1024" t="s">
        <v>2842</v>
      </c>
      <c r="H1024" t="s">
        <v>2848</v>
      </c>
      <c r="I1024" t="s">
        <v>903</v>
      </c>
      <c r="J1024" s="50" t="str">
        <f>IF(I1024="","",_xlfn.XLOOKUP(TRIM(I1024),'SkillMasterSkill ID'!$C:$C,'SkillMasterSkill ID'!$F:$F,"NOT FOUND",0))</f>
        <v>Ability to maintain accurate, timely documentation and verify compliance to support accountability and project controls.</v>
      </c>
      <c r="K1024" s="50"/>
      <c r="L1024" s="50"/>
    </row>
    <row r="1025" spans="1:12" x14ac:dyDescent="0.25">
      <c r="A102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25">
        <v>10301</v>
      </c>
      <c r="C1025" t="s">
        <v>222</v>
      </c>
      <c r="D1025" s="46"/>
      <c r="E1025" t="s">
        <v>1392</v>
      </c>
      <c r="F1025" s="50"/>
      <c r="G1025" t="s">
        <v>2833</v>
      </c>
      <c r="H1025" t="s">
        <v>2840</v>
      </c>
      <c r="I1025" t="s">
        <v>2841</v>
      </c>
      <c r="J1025" s="50" t="str">
        <f>IF(I1025="","",_xlfn.XLOOKUP(TRIM(I1025),'SkillMasterSkill ID'!$C:$C,'SkillMasterSkill ID'!$F:$F,"NOT FOUND",0))</f>
        <v>NOT FOUND</v>
      </c>
      <c r="K1025" s="50"/>
      <c r="L1025" s="50"/>
    </row>
    <row r="1026" spans="1:12" x14ac:dyDescent="0.25">
      <c r="A102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26">
        <v>10301</v>
      </c>
      <c r="C1026" t="s">
        <v>222</v>
      </c>
      <c r="D1026" s="46"/>
      <c r="E1026" t="s">
        <v>1448</v>
      </c>
      <c r="F1026" s="50"/>
      <c r="G1026" t="s">
        <v>1622</v>
      </c>
      <c r="H1026" t="s">
        <v>2804</v>
      </c>
      <c r="I1026" t="s">
        <v>2805</v>
      </c>
      <c r="J1026" s="50" t="str">
        <f>IF(I1026="","",_xlfn.XLOOKUP(TRIM(I1026),'SkillMasterSkill ID'!$C:$C,'SkillMasterSkill ID'!$F:$F,"NOT FOUND",0))</f>
        <v>NOT FOUND</v>
      </c>
      <c r="K1026" s="50"/>
      <c r="L1026" s="50"/>
    </row>
    <row r="1027" spans="1:12" x14ac:dyDescent="0.25">
      <c r="A102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27">
        <v>10301</v>
      </c>
      <c r="C1027" t="s">
        <v>222</v>
      </c>
      <c r="D1027" s="46"/>
      <c r="E1027" t="s">
        <v>1448</v>
      </c>
      <c r="F1027" s="50"/>
      <c r="G1027" t="s">
        <v>1622</v>
      </c>
      <c r="H1027" t="s">
        <v>2802</v>
      </c>
      <c r="I1027" t="s">
        <v>2803</v>
      </c>
      <c r="J1027" s="50" t="str">
        <f>IF(I1027="","",_xlfn.XLOOKUP(TRIM(I1027),'SkillMasterSkill ID'!$C:$C,'SkillMasterSkill ID'!$F:$F,"NOT FOUND",0))</f>
        <v>NOT FOUND</v>
      </c>
      <c r="K1027" s="50"/>
      <c r="L1027" s="50"/>
    </row>
    <row r="1028" spans="1:12" x14ac:dyDescent="0.25">
      <c r="A102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28">
        <v>10301</v>
      </c>
      <c r="C1028" t="s">
        <v>222</v>
      </c>
      <c r="D1028" s="46"/>
      <c r="E1028" t="s">
        <v>816</v>
      </c>
      <c r="F1028" s="50"/>
      <c r="G1028" t="s">
        <v>2826</v>
      </c>
      <c r="H1028" t="s">
        <v>2827</v>
      </c>
      <c r="I1028" t="s">
        <v>2653</v>
      </c>
      <c r="J1028" s="50" t="str">
        <f>IF(I1028="","",_xlfn.XLOOKUP(TRIM(I1028),'SkillMasterSkill ID'!$C:$C,'SkillMasterSkill ID'!$F:$F,"NOT FOUND",0))</f>
        <v>NOT FOUND</v>
      </c>
      <c r="K1028" s="50"/>
      <c r="L1028" s="50"/>
    </row>
    <row r="1029" spans="1:12" x14ac:dyDescent="0.25">
      <c r="A102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29">
        <v>10301</v>
      </c>
      <c r="C1029" t="s">
        <v>222</v>
      </c>
      <c r="D1029" s="46"/>
      <c r="E1029" t="s">
        <v>953</v>
      </c>
      <c r="F1029" s="50"/>
      <c r="G1029" t="s">
        <v>2858</v>
      </c>
      <c r="H1029" t="s">
        <v>2862</v>
      </c>
      <c r="I1029" t="s">
        <v>2863</v>
      </c>
      <c r="J1029" s="50" t="str">
        <f>IF(I1029="","",_xlfn.XLOOKUP(TRIM(I1029),'SkillMasterSkill ID'!$C:$C,'SkillMasterSkill ID'!$F:$F,"NOT FOUND",0))</f>
        <v>NOT FOUND</v>
      </c>
      <c r="K1029" s="50"/>
      <c r="L1029" s="50"/>
    </row>
    <row r="1030" spans="1:12" x14ac:dyDescent="0.25">
      <c r="A103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30">
        <v>10301</v>
      </c>
      <c r="C1030" t="s">
        <v>222</v>
      </c>
      <c r="D1030" s="46"/>
      <c r="E1030" t="s">
        <v>2203</v>
      </c>
      <c r="F1030" s="50"/>
      <c r="G1030" t="s">
        <v>2858</v>
      </c>
      <c r="H1030" t="s">
        <v>2860</v>
      </c>
      <c r="I1030" t="s">
        <v>2861</v>
      </c>
      <c r="J1030" s="50" t="str">
        <f>IF(I1030="","",_xlfn.XLOOKUP(TRIM(I1030),'SkillMasterSkill ID'!$C:$C,'SkillMasterSkill ID'!$F:$F,"NOT FOUND",0))</f>
        <v>NOT FOUND</v>
      </c>
      <c r="K1030" s="50"/>
      <c r="L1030" s="50"/>
    </row>
    <row r="1031" spans="1:12" x14ac:dyDescent="0.25">
      <c r="A103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31">
        <v>10301</v>
      </c>
      <c r="C1031" t="s">
        <v>222</v>
      </c>
      <c r="D1031" s="46"/>
      <c r="E1031" t="s">
        <v>2519</v>
      </c>
      <c r="F1031" s="50"/>
      <c r="G1031" t="s">
        <v>2868</v>
      </c>
      <c r="H1031" t="s">
        <v>2873</v>
      </c>
      <c r="I1031" t="s">
        <v>2874</v>
      </c>
      <c r="J1031" s="50" t="str">
        <f>IF(I1031="","",_xlfn.XLOOKUP(TRIM(I1031),'SkillMasterSkill ID'!$C:$C,'SkillMasterSkill ID'!$F:$F,"NOT FOUND",0))</f>
        <v>NOT FOUND</v>
      </c>
      <c r="K1031" s="50"/>
      <c r="L1031" s="50"/>
    </row>
    <row r="1032" spans="1:12" x14ac:dyDescent="0.25">
      <c r="A103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32">
        <v>10301</v>
      </c>
      <c r="C1032" t="s">
        <v>222</v>
      </c>
      <c r="D1032" s="46"/>
      <c r="E1032" t="s">
        <v>953</v>
      </c>
      <c r="F1032" s="50"/>
      <c r="G1032" t="s">
        <v>2256</v>
      </c>
      <c r="H1032" t="s">
        <v>2876</v>
      </c>
      <c r="I1032" t="s">
        <v>2877</v>
      </c>
      <c r="J1032" s="50" t="str">
        <f>IF(I1032="","",_xlfn.XLOOKUP(TRIM(I1032),'SkillMasterSkill ID'!$C:$C,'SkillMasterSkill ID'!$F:$F,"NOT FOUND",0))</f>
        <v>NOT FOUND</v>
      </c>
      <c r="K1032" s="50"/>
      <c r="L1032" s="50"/>
    </row>
    <row r="1033" spans="1:12" x14ac:dyDescent="0.25">
      <c r="A103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33">
        <v>10301</v>
      </c>
      <c r="C1033" t="s">
        <v>222</v>
      </c>
      <c r="D1033" s="46"/>
      <c r="E1033" t="s">
        <v>873</v>
      </c>
      <c r="F1033" s="50"/>
      <c r="G1033" t="s">
        <v>2851</v>
      </c>
      <c r="H1033" t="s">
        <v>2482</v>
      </c>
      <c r="I1033" t="s">
        <v>1412</v>
      </c>
      <c r="J1033" s="50" t="str">
        <f>IF(I1033="","",_xlfn.XLOOKUP(TRIM(I1033),'SkillMasterSkill ID'!$C:$C,'SkillMasterSkill ID'!$F:$F,"NOT FOUND",0))</f>
        <v>NOT FOUND</v>
      </c>
      <c r="K1033" s="50"/>
      <c r="L1033" s="50"/>
    </row>
    <row r="1034" spans="1:12" x14ac:dyDescent="0.25">
      <c r="A103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34">
        <v>10301</v>
      </c>
      <c r="C1034" t="s">
        <v>222</v>
      </c>
      <c r="D1034" s="46"/>
      <c r="E1034" t="s">
        <v>2208</v>
      </c>
      <c r="F1034" s="50"/>
      <c r="G1034" t="s">
        <v>1622</v>
      </c>
      <c r="H1034" t="s">
        <v>2492</v>
      </c>
      <c r="I1034" t="s">
        <v>2810</v>
      </c>
      <c r="J1034" s="50" t="str">
        <f>IF(I1034="","",_xlfn.XLOOKUP(TRIM(I1034),'SkillMasterSkill ID'!$C:$C,'SkillMasterSkill ID'!$F:$F,"NOT FOUND",0))</f>
        <v>NOT FOUND</v>
      </c>
      <c r="K1034" s="50"/>
      <c r="L1034" s="50"/>
    </row>
    <row r="1035" spans="1:12" x14ac:dyDescent="0.25">
      <c r="A103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35">
        <v>10301</v>
      </c>
      <c r="C1035" t="s">
        <v>222</v>
      </c>
      <c r="D1035" s="46"/>
      <c r="E1035" t="s">
        <v>2207</v>
      </c>
      <c r="F1035" s="50"/>
      <c r="G1035" t="s">
        <v>1622</v>
      </c>
      <c r="H1035" t="s">
        <v>2812</v>
      </c>
      <c r="I1035" t="s">
        <v>2813</v>
      </c>
      <c r="J1035" s="50" t="str">
        <f>IF(I1035="","",_xlfn.XLOOKUP(TRIM(I1035),'SkillMasterSkill ID'!$C:$C,'SkillMasterSkill ID'!$F:$F,"NOT FOUND",0))</f>
        <v>NOT FOUND</v>
      </c>
      <c r="K1035" s="50"/>
      <c r="L1035" s="50"/>
    </row>
    <row r="1036" spans="1:12" x14ac:dyDescent="0.25">
      <c r="A103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36">
        <v>10302</v>
      </c>
      <c r="C1036" t="s">
        <v>240</v>
      </c>
      <c r="D1036" s="46"/>
      <c r="E1036" t="s">
        <v>871</v>
      </c>
      <c r="F1036" s="50"/>
      <c r="G1036" t="s">
        <v>2483</v>
      </c>
      <c r="H1036" t="s">
        <v>2894</v>
      </c>
      <c r="I1036" t="s">
        <v>2895</v>
      </c>
      <c r="J1036" s="50" t="str">
        <f>IF(I1036="","",_xlfn.XLOOKUP(TRIM(I1036),'SkillMasterSkill ID'!$C:$C,'SkillMasterSkill ID'!$F:$F,"NOT FOUND",0))</f>
        <v>NOT FOUND</v>
      </c>
      <c r="K1036" s="50"/>
      <c r="L1036" s="50"/>
    </row>
    <row r="1037" spans="1:12" x14ac:dyDescent="0.25">
      <c r="A103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37">
        <v>10302</v>
      </c>
      <c r="C1037" t="s">
        <v>240</v>
      </c>
      <c r="D1037" s="46"/>
      <c r="E1037" t="s">
        <v>873</v>
      </c>
      <c r="F1037" s="50"/>
      <c r="G1037" t="s">
        <v>2914</v>
      </c>
      <c r="H1037" t="s">
        <v>2915</v>
      </c>
      <c r="I1037" t="s">
        <v>2916</v>
      </c>
      <c r="J1037" s="50" t="str">
        <f>IF(I1037="","",_xlfn.XLOOKUP(TRIM(I1037),'SkillMasterSkill ID'!$C:$C,'SkillMasterSkill ID'!$F:$F,"NOT FOUND",0))</f>
        <v>NOT FOUND</v>
      </c>
      <c r="K1037" s="50"/>
      <c r="L1037" s="50"/>
    </row>
    <row r="1038" spans="1:12" x14ac:dyDescent="0.25">
      <c r="A103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38">
        <v>10302</v>
      </c>
      <c r="C1038" t="s">
        <v>240</v>
      </c>
      <c r="D1038" s="46"/>
      <c r="E1038" t="s">
        <v>951</v>
      </c>
      <c r="F1038" s="50"/>
      <c r="G1038" t="s">
        <v>2256</v>
      </c>
      <c r="H1038" t="s">
        <v>2679</v>
      </c>
      <c r="I1038" t="s">
        <v>1396</v>
      </c>
      <c r="J1038" s="50" t="str">
        <f>IF(I1038="","",_xlfn.XLOOKUP(TRIM(I1038),'SkillMasterSkill ID'!$C:$C,'SkillMasterSkill ID'!$F:$F,"NOT FOUND",0))</f>
        <v>NOT FOUND</v>
      </c>
      <c r="K1038" s="50"/>
      <c r="L1038" s="50"/>
    </row>
    <row r="1039" spans="1:12" x14ac:dyDescent="0.25">
      <c r="A103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39">
        <v>10302</v>
      </c>
      <c r="C1039" t="s">
        <v>240</v>
      </c>
      <c r="D1039" s="46"/>
      <c r="E1039" t="s">
        <v>937</v>
      </c>
      <c r="F1039" s="50"/>
      <c r="G1039" t="s">
        <v>2483</v>
      </c>
      <c r="H1039" t="s">
        <v>2893</v>
      </c>
      <c r="I1039" t="s">
        <v>847</v>
      </c>
      <c r="J1039" s="50" t="str">
        <f>IF(I1039="","",_xlfn.XLOOKUP(TRIM(I1039),'SkillMasterSkill ID'!$C:$C,'SkillMasterSkill ID'!$F:$F,"NOT FOUND",0))</f>
        <v>Ability to plan and sequence work effectively, using schedules, constraints, and lookahead thinking to meet targets.</v>
      </c>
      <c r="K1039" s="50"/>
      <c r="L1039" s="50"/>
    </row>
    <row r="1040" spans="1:12" x14ac:dyDescent="0.25">
      <c r="A104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40">
        <v>10302</v>
      </c>
      <c r="C1040" t="s">
        <v>240</v>
      </c>
      <c r="D1040" s="46"/>
      <c r="E1040" t="s">
        <v>937</v>
      </c>
      <c r="F1040" s="50"/>
      <c r="G1040" t="s">
        <v>2483</v>
      </c>
      <c r="H1040" t="s">
        <v>2891</v>
      </c>
      <c r="I1040" t="s">
        <v>2892</v>
      </c>
      <c r="J1040" s="50" t="str">
        <f>IF(I1040="","",_xlfn.XLOOKUP(TRIM(I1040),'SkillMasterSkill ID'!$C:$C,'SkillMasterSkill ID'!$F:$F,"NOT FOUND",0))</f>
        <v>NOT FOUND</v>
      </c>
      <c r="K1040" s="50"/>
      <c r="L1040" s="50"/>
    </row>
    <row r="1041" spans="1:12" x14ac:dyDescent="0.25">
      <c r="A104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41">
        <v>10302</v>
      </c>
      <c r="C1041" t="s">
        <v>240</v>
      </c>
      <c r="D1041" s="46"/>
      <c r="E1041" t="s">
        <v>2519</v>
      </c>
      <c r="F1041" s="50"/>
      <c r="G1041" t="s">
        <v>2898</v>
      </c>
      <c r="H1041" t="s">
        <v>2904</v>
      </c>
      <c r="I1041" t="s">
        <v>887</v>
      </c>
      <c r="J1041" s="50" t="str">
        <f>IF(I1041="","",_xlfn.XLOOKUP(TRIM(I1041),'SkillMasterSkill ID'!$C:$C,'SkillMasterSkill ID'!$F:$F,"NOT FOUND",0))</f>
        <v>Ability to plan and sequence work effectively, using schedules, constraints, and lookahead thinking to meet targets.</v>
      </c>
      <c r="K1041" s="50"/>
      <c r="L1041" s="50"/>
    </row>
    <row r="1042" spans="1:12" x14ac:dyDescent="0.25">
      <c r="A104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42">
        <v>10302</v>
      </c>
      <c r="C1042" t="s">
        <v>240</v>
      </c>
      <c r="D1042" s="46"/>
      <c r="E1042" t="s">
        <v>2665</v>
      </c>
      <c r="F1042" s="50"/>
      <c r="G1042" t="s">
        <v>1622</v>
      </c>
      <c r="H1042" t="s">
        <v>2883</v>
      </c>
      <c r="I1042" t="s">
        <v>2668</v>
      </c>
      <c r="J1042" s="50" t="str">
        <f>IF(I1042="","",_xlfn.XLOOKUP(TRIM(I1042),'SkillMasterSkill ID'!$C:$C,'SkillMasterSkill ID'!$F:$F,"NOT FOUND",0))</f>
        <v>NOT FOUND</v>
      </c>
      <c r="K1042" s="50"/>
      <c r="L1042" s="50"/>
    </row>
    <row r="1043" spans="1:12" x14ac:dyDescent="0.25">
      <c r="A104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43">
        <v>10302</v>
      </c>
      <c r="C1043" t="s">
        <v>240</v>
      </c>
      <c r="D1043" s="46"/>
      <c r="E1043" t="s">
        <v>2899</v>
      </c>
      <c r="F1043" s="50"/>
      <c r="G1043" t="s">
        <v>2898</v>
      </c>
      <c r="H1043" t="s">
        <v>2901</v>
      </c>
      <c r="I1043" t="s">
        <v>942</v>
      </c>
      <c r="J1043" s="50" t="str">
        <f>IF(I1043="","",_xlfn.XLOOKUP(TRIM(I1043),'SkillMasterSkill ID'!$C:$C,'SkillMasterSkill ID'!$F:$F,"NOT FOUND",0))</f>
        <v>Ability to lead effectively through presence, standards, and influenceâ€”aligning teams without micromanaging.</v>
      </c>
      <c r="K1043" s="50"/>
      <c r="L1043" s="50"/>
    </row>
    <row r="1044" spans="1:12" x14ac:dyDescent="0.25">
      <c r="A104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44">
        <v>10302</v>
      </c>
      <c r="C1044" t="s">
        <v>240</v>
      </c>
      <c r="D1044" s="46"/>
      <c r="E1044" t="s">
        <v>873</v>
      </c>
      <c r="F1044" s="50"/>
      <c r="G1044" t="s">
        <v>2914</v>
      </c>
      <c r="H1044" t="s">
        <v>2917</v>
      </c>
      <c r="I1044" t="s">
        <v>2918</v>
      </c>
      <c r="J1044" s="50" t="str">
        <f>IF(I1044="","",_xlfn.XLOOKUP(TRIM(I1044),'SkillMasterSkill ID'!$C:$C,'SkillMasterSkill ID'!$F:$F,"NOT FOUND",0))</f>
        <v>NOT FOUND</v>
      </c>
      <c r="K1044" s="50"/>
      <c r="L1044" s="50"/>
    </row>
    <row r="1045" spans="1:12" x14ac:dyDescent="0.25">
      <c r="A104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45">
        <v>10302</v>
      </c>
      <c r="C1045" t="s">
        <v>240</v>
      </c>
      <c r="D1045" s="46"/>
      <c r="E1045" t="s">
        <v>874</v>
      </c>
      <c r="F1045" s="50"/>
      <c r="G1045" t="s">
        <v>2898</v>
      </c>
      <c r="H1045" t="s">
        <v>2905</v>
      </c>
      <c r="I1045" t="s">
        <v>2906</v>
      </c>
      <c r="J1045" s="50" t="str">
        <f>IF(I1045="","",_xlfn.XLOOKUP(TRIM(I1045),'SkillMasterSkill ID'!$C:$C,'SkillMasterSkill ID'!$F:$F,"NOT FOUND",0))</f>
        <v>NOT FOUND</v>
      </c>
      <c r="K1045" s="50"/>
      <c r="L1045" s="50"/>
    </row>
    <row r="1046" spans="1:12" x14ac:dyDescent="0.25">
      <c r="A104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46">
        <v>10302</v>
      </c>
      <c r="C1046" t="s">
        <v>240</v>
      </c>
      <c r="D1046" s="46"/>
      <c r="E1046" t="s">
        <v>2886</v>
      </c>
      <c r="F1046" s="50"/>
      <c r="G1046" t="s">
        <v>2884</v>
      </c>
      <c r="H1046" t="s">
        <v>2887</v>
      </c>
      <c r="I1046" t="s">
        <v>2888</v>
      </c>
      <c r="J1046" s="50" t="str">
        <f>IF(I1046="","",_xlfn.XLOOKUP(TRIM(I1046),'SkillMasterSkill ID'!$C:$C,'SkillMasterSkill ID'!$F:$F,"NOT FOUND",0))</f>
        <v>NOT FOUND</v>
      </c>
      <c r="K1046" s="50"/>
      <c r="L1046" s="50"/>
    </row>
    <row r="1047" spans="1:12" x14ac:dyDescent="0.25">
      <c r="A104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47">
        <v>10302</v>
      </c>
      <c r="C1047" t="s">
        <v>240</v>
      </c>
      <c r="D1047" s="46"/>
      <c r="E1047" t="s">
        <v>873</v>
      </c>
      <c r="F1047" s="50"/>
      <c r="G1047" t="s">
        <v>2914</v>
      </c>
      <c r="H1047" t="s">
        <v>2919</v>
      </c>
      <c r="I1047" t="s">
        <v>2920</v>
      </c>
      <c r="J1047" s="50" t="str">
        <f>IF(I1047="","",_xlfn.XLOOKUP(TRIM(I1047),'SkillMasterSkill ID'!$C:$C,'SkillMasterSkill ID'!$F:$F,"NOT FOUND",0))</f>
        <v>NOT FOUND</v>
      </c>
      <c r="K1047" s="50"/>
      <c r="L1047" s="50"/>
    </row>
    <row r="1048" spans="1:12" x14ac:dyDescent="0.25">
      <c r="A104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48">
        <v>10302</v>
      </c>
      <c r="C1048" t="s">
        <v>240</v>
      </c>
      <c r="D1048" s="46"/>
      <c r="E1048" t="s">
        <v>872</v>
      </c>
      <c r="F1048" s="50"/>
      <c r="G1048" t="s">
        <v>2884</v>
      </c>
      <c r="H1048" t="s">
        <v>2885</v>
      </c>
      <c r="I1048" t="s">
        <v>926</v>
      </c>
      <c r="J1048" s="50" t="str">
        <f>IF(I1048="","",_xlfn.XLOOKUP(TRIM(I1048),'SkillMasterSkill ID'!$C:$C,'SkillMasterSkill ID'!$F:$F,"NOT FOUND",0))</f>
        <v>Ability to lead effectively through presence, standards, and influenceâ€”aligning teams without micromanaging.</v>
      </c>
      <c r="K1048" s="50"/>
      <c r="L1048" s="50"/>
    </row>
    <row r="1049" spans="1:12" x14ac:dyDescent="0.25">
      <c r="A104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49">
        <v>10302</v>
      </c>
      <c r="C1049" t="s">
        <v>240</v>
      </c>
      <c r="D1049" s="46"/>
      <c r="E1049" t="s">
        <v>874</v>
      </c>
      <c r="F1049" s="50"/>
      <c r="G1049" t="s">
        <v>2884</v>
      </c>
      <c r="H1049" t="s">
        <v>2890</v>
      </c>
      <c r="I1049" t="s">
        <v>1471</v>
      </c>
      <c r="J1049" s="50" t="str">
        <f>IF(I1049="","",_xlfn.XLOOKUP(TRIM(I1049),'SkillMasterSkill ID'!$C:$C,'SkillMasterSkill ID'!$F:$F,"NOT FOUND",0))</f>
        <v>NOT FOUND</v>
      </c>
      <c r="K1049" s="50"/>
      <c r="L1049" s="50"/>
    </row>
    <row r="1050" spans="1:12" x14ac:dyDescent="0.25">
      <c r="A105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50">
        <v>10302</v>
      </c>
      <c r="C1050" t="s">
        <v>240</v>
      </c>
      <c r="D1050" s="46"/>
      <c r="E1050" t="s">
        <v>871</v>
      </c>
      <c r="F1050" s="50"/>
      <c r="G1050" t="s">
        <v>1622</v>
      </c>
      <c r="H1050" t="s">
        <v>2879</v>
      </c>
      <c r="I1050" t="s">
        <v>2880</v>
      </c>
      <c r="J1050" s="50" t="str">
        <f>IF(I1050="","",_xlfn.XLOOKUP(TRIM(I1050),'SkillMasterSkill ID'!$C:$C,'SkillMasterSkill ID'!$F:$F,"NOT FOUND",0))</f>
        <v>NOT FOUND</v>
      </c>
      <c r="K1050" s="50"/>
      <c r="L1050" s="50"/>
    </row>
    <row r="1051" spans="1:12" x14ac:dyDescent="0.25">
      <c r="A105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51">
        <v>10302</v>
      </c>
      <c r="C1051" t="s">
        <v>240</v>
      </c>
      <c r="D1051" s="46"/>
      <c r="E1051" t="s">
        <v>2899</v>
      </c>
      <c r="F1051" s="50"/>
      <c r="G1051" t="s">
        <v>2898</v>
      </c>
      <c r="H1051" t="s">
        <v>2902</v>
      </c>
      <c r="I1051" t="s">
        <v>2903</v>
      </c>
      <c r="J1051" s="50" t="str">
        <f>IF(I1051="","",_xlfn.XLOOKUP(TRIM(I1051),'SkillMasterSkill ID'!$C:$C,'SkillMasterSkill ID'!$F:$F,"NOT FOUND",0))</f>
        <v>NOT FOUND</v>
      </c>
      <c r="K1051" s="50"/>
      <c r="L1051" s="50"/>
    </row>
    <row r="1052" spans="1:12" x14ac:dyDescent="0.25">
      <c r="A105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52">
        <v>10302</v>
      </c>
      <c r="C1052" t="s">
        <v>240</v>
      </c>
      <c r="D1052" s="46"/>
      <c r="E1052" t="s">
        <v>816</v>
      </c>
      <c r="F1052" s="50"/>
      <c r="G1052" t="s">
        <v>2907</v>
      </c>
      <c r="H1052" t="s">
        <v>2908</v>
      </c>
      <c r="I1052" t="s">
        <v>2909</v>
      </c>
      <c r="J1052" s="50" t="str">
        <f>IF(I1052="","",_xlfn.XLOOKUP(TRIM(I1052),'SkillMasterSkill ID'!$C:$C,'SkillMasterSkill ID'!$F:$F,"NOT FOUND",0))</f>
        <v>NOT FOUND</v>
      </c>
      <c r="K1052" s="50"/>
      <c r="L1052" s="50"/>
    </row>
    <row r="1053" spans="1:12" x14ac:dyDescent="0.25">
      <c r="A105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53">
        <v>10302</v>
      </c>
      <c r="C1053" t="s">
        <v>240</v>
      </c>
      <c r="D1053" s="46"/>
      <c r="E1053" t="s">
        <v>2203</v>
      </c>
      <c r="F1053" s="50"/>
      <c r="G1053" t="s">
        <v>2907</v>
      </c>
      <c r="H1053" t="s">
        <v>2912</v>
      </c>
      <c r="I1053" t="s">
        <v>2913</v>
      </c>
      <c r="J1053" s="50" t="str">
        <f>IF(I1053="","",_xlfn.XLOOKUP(TRIM(I1053),'SkillMasterSkill ID'!$C:$C,'SkillMasterSkill ID'!$F:$F,"NOT FOUND",0))</f>
        <v>NOT FOUND</v>
      </c>
      <c r="K1053" s="50"/>
      <c r="L1053" s="50"/>
    </row>
    <row r="1054" spans="1:12" x14ac:dyDescent="0.25">
      <c r="A105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54">
        <v>10302</v>
      </c>
      <c r="C1054" t="s">
        <v>240</v>
      </c>
      <c r="D1054" s="46"/>
      <c r="E1054" t="s">
        <v>2207</v>
      </c>
      <c r="F1054" s="50"/>
      <c r="G1054" t="s">
        <v>1622</v>
      </c>
      <c r="H1054" t="s">
        <v>2881</v>
      </c>
      <c r="I1054" t="s">
        <v>2882</v>
      </c>
      <c r="J1054" s="50" t="str">
        <f>IF(I1054="","",_xlfn.XLOOKUP(TRIM(I1054),'SkillMasterSkill ID'!$C:$C,'SkillMasterSkill ID'!$F:$F,"NOT FOUND",0))</f>
        <v>NOT FOUND</v>
      </c>
      <c r="K1054" s="50"/>
      <c r="L1054" s="50"/>
    </row>
    <row r="1055" spans="1:12" x14ac:dyDescent="0.25">
      <c r="A105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55">
        <v>10302</v>
      </c>
      <c r="C1055" t="s">
        <v>240</v>
      </c>
      <c r="D1055" s="46"/>
      <c r="E1055" t="s">
        <v>816</v>
      </c>
      <c r="F1055" s="50"/>
      <c r="G1055" t="s">
        <v>2907</v>
      </c>
      <c r="H1055" t="s">
        <v>2910</v>
      </c>
      <c r="I1055" t="s">
        <v>2911</v>
      </c>
      <c r="J1055" s="50" t="str">
        <f>IF(I1055="","",_xlfn.XLOOKUP(TRIM(I1055),'SkillMasterSkill ID'!$C:$C,'SkillMasterSkill ID'!$F:$F,"NOT FOUND",0))</f>
        <v>NOT FOUND</v>
      </c>
      <c r="K1055" s="50"/>
      <c r="L1055" s="50"/>
    </row>
    <row r="1056" spans="1:12" x14ac:dyDescent="0.25">
      <c r="A105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56">
        <v>10302</v>
      </c>
      <c r="C1056" t="s">
        <v>240</v>
      </c>
      <c r="D1056" s="46"/>
      <c r="E1056" t="s">
        <v>934</v>
      </c>
      <c r="F1056" s="50"/>
      <c r="G1056" t="s">
        <v>2884</v>
      </c>
      <c r="H1056" t="s">
        <v>2823</v>
      </c>
      <c r="I1056" t="s">
        <v>2889</v>
      </c>
      <c r="J1056" s="50" t="str">
        <f>IF(I1056="","",_xlfn.XLOOKUP(TRIM(I1056),'SkillMasterSkill ID'!$C:$C,'SkillMasterSkill ID'!$F:$F,"NOT FOUND",0))</f>
        <v>NOT FOUND</v>
      </c>
      <c r="K1056" s="50"/>
      <c r="L1056" s="50"/>
    </row>
    <row r="1057" spans="1:12" x14ac:dyDescent="0.25">
      <c r="A105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57">
        <v>10302</v>
      </c>
      <c r="C1057" t="s">
        <v>240</v>
      </c>
      <c r="D1057" s="46"/>
      <c r="E1057" t="s">
        <v>1448</v>
      </c>
      <c r="F1057" s="50"/>
      <c r="G1057" t="s">
        <v>1622</v>
      </c>
      <c r="H1057" t="s">
        <v>2878</v>
      </c>
      <c r="I1057" t="s">
        <v>2528</v>
      </c>
      <c r="J1057" s="50" t="str">
        <f>IF(I1057="","",_xlfn.XLOOKUP(TRIM(I1057),'SkillMasterSkill ID'!$C:$C,'SkillMasterSkill ID'!$F:$F,"NOT FOUND",0))</f>
        <v>NOT FOUND</v>
      </c>
      <c r="K1057" s="50"/>
      <c r="L1057" s="50"/>
    </row>
    <row r="1058" spans="1:12" x14ac:dyDescent="0.25">
      <c r="A105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58">
        <v>10302</v>
      </c>
      <c r="C1058" t="s">
        <v>240</v>
      </c>
      <c r="D1058" s="46"/>
      <c r="E1058" t="s">
        <v>871</v>
      </c>
      <c r="F1058" s="50"/>
      <c r="G1058" t="s">
        <v>2483</v>
      </c>
      <c r="H1058" t="s">
        <v>2896</v>
      </c>
      <c r="I1058" t="s">
        <v>2897</v>
      </c>
      <c r="J1058" s="50" t="str">
        <f>IF(I1058="","",_xlfn.XLOOKUP(TRIM(I1058),'SkillMasterSkill ID'!$C:$C,'SkillMasterSkill ID'!$F:$F,"NOT FOUND",0))</f>
        <v>NOT FOUND</v>
      </c>
      <c r="K1058" s="50"/>
      <c r="L1058" s="50"/>
    </row>
    <row r="1059" spans="1:12" x14ac:dyDescent="0.25">
      <c r="A105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59">
        <v>10302</v>
      </c>
      <c r="C1059" t="s">
        <v>240</v>
      </c>
      <c r="D1059" s="46"/>
      <c r="E1059" t="s">
        <v>953</v>
      </c>
      <c r="F1059" s="50"/>
      <c r="G1059" t="s">
        <v>2256</v>
      </c>
      <c r="H1059" t="s">
        <v>2876</v>
      </c>
      <c r="I1059" t="s">
        <v>2921</v>
      </c>
      <c r="J1059" s="50" t="str">
        <f>IF(I1059="","",_xlfn.XLOOKUP(TRIM(I1059),'SkillMasterSkill ID'!$C:$C,'SkillMasterSkill ID'!$F:$F,"NOT FOUND",0))</f>
        <v>NOT FOUND</v>
      </c>
      <c r="K1059" s="50"/>
      <c r="L1059" s="50"/>
    </row>
    <row r="1060" spans="1:12" x14ac:dyDescent="0.25">
      <c r="A106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60">
        <v>10303</v>
      </c>
      <c r="C1060" t="s">
        <v>200</v>
      </c>
      <c r="D1060" s="46"/>
      <c r="E1060" t="s">
        <v>953</v>
      </c>
      <c r="F1060" s="50"/>
      <c r="G1060" t="s">
        <v>2961</v>
      </c>
      <c r="H1060" t="s">
        <v>2964</v>
      </c>
      <c r="I1060" t="s">
        <v>2965</v>
      </c>
      <c r="J1060" s="50" t="str">
        <f>IF(I1060="","",_xlfn.XLOOKUP(TRIM(I1060),'SkillMasterSkill ID'!$C:$C,'SkillMasterSkill ID'!$F:$F,"NOT FOUND",0))</f>
        <v>NOT FOUND</v>
      </c>
      <c r="K1060" s="50"/>
      <c r="L1060" s="50"/>
    </row>
    <row r="1061" spans="1:12" x14ac:dyDescent="0.25">
      <c r="A106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61">
        <v>10303</v>
      </c>
      <c r="C1061" t="s">
        <v>200</v>
      </c>
      <c r="D1061" s="46"/>
      <c r="E1061" t="s">
        <v>871</v>
      </c>
      <c r="F1061" s="50"/>
      <c r="G1061" t="s">
        <v>1622</v>
      </c>
      <c r="H1061" t="s">
        <v>2924</v>
      </c>
      <c r="I1061" t="s">
        <v>2925</v>
      </c>
      <c r="J1061" s="50" t="str">
        <f>IF(I1061="","",_xlfn.XLOOKUP(TRIM(I1061),'SkillMasterSkill ID'!$C:$C,'SkillMasterSkill ID'!$F:$F,"NOT FOUND",0))</f>
        <v>NOT FOUND</v>
      </c>
      <c r="K1061" s="50"/>
      <c r="L1061" s="50"/>
    </row>
    <row r="1062" spans="1:12" x14ac:dyDescent="0.25">
      <c r="A106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62">
        <v>10303</v>
      </c>
      <c r="C1062" t="s">
        <v>200</v>
      </c>
      <c r="D1062" s="46"/>
      <c r="E1062" t="s">
        <v>2899</v>
      </c>
      <c r="F1062" s="50"/>
      <c r="G1062" t="s">
        <v>2944</v>
      </c>
      <c r="H1062" t="s">
        <v>2949</v>
      </c>
      <c r="I1062" t="s">
        <v>2950</v>
      </c>
      <c r="J1062" s="50" t="str">
        <f>IF(I1062="","",_xlfn.XLOOKUP(TRIM(I1062),'SkillMasterSkill ID'!$C:$C,'SkillMasterSkill ID'!$F:$F,"NOT FOUND",0))</f>
        <v>NOT FOUND</v>
      </c>
      <c r="K1062" s="50"/>
      <c r="L1062" s="50"/>
    </row>
    <row r="1063" spans="1:12" x14ac:dyDescent="0.25">
      <c r="A106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63">
        <v>10303</v>
      </c>
      <c r="C1063" t="s">
        <v>200</v>
      </c>
      <c r="D1063" s="46"/>
      <c r="E1063" t="s">
        <v>874</v>
      </c>
      <c r="F1063" s="50"/>
      <c r="G1063" t="s">
        <v>2944</v>
      </c>
      <c r="H1063" t="s">
        <v>2947</v>
      </c>
      <c r="I1063" t="s">
        <v>2948</v>
      </c>
      <c r="J1063" s="50" t="str">
        <f>IF(I1063="","",_xlfn.XLOOKUP(TRIM(I1063),'SkillMasterSkill ID'!$C:$C,'SkillMasterSkill ID'!$F:$F,"NOT FOUND",0))</f>
        <v>NOT FOUND</v>
      </c>
      <c r="K1063" s="50"/>
      <c r="L1063" s="50"/>
    </row>
    <row r="1064" spans="1:12" x14ac:dyDescent="0.25">
      <c r="A106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64">
        <v>10303</v>
      </c>
      <c r="C1064" t="s">
        <v>200</v>
      </c>
      <c r="D1064" s="46"/>
      <c r="E1064" t="s">
        <v>873</v>
      </c>
      <c r="F1064" s="50"/>
      <c r="G1064" t="s">
        <v>2956</v>
      </c>
      <c r="H1064" t="s">
        <v>2959</v>
      </c>
      <c r="I1064" t="s">
        <v>2960</v>
      </c>
      <c r="J1064" s="50" t="str">
        <f>IF(I1064="","",_xlfn.XLOOKUP(TRIM(I1064),'SkillMasterSkill ID'!$C:$C,'SkillMasterSkill ID'!$F:$F,"NOT FOUND",0))</f>
        <v>NOT FOUND</v>
      </c>
      <c r="K1064" s="50"/>
      <c r="L1064" s="50"/>
    </row>
    <row r="1065" spans="1:12" x14ac:dyDescent="0.25">
      <c r="A106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65">
        <v>10303</v>
      </c>
      <c r="C1065" t="s">
        <v>200</v>
      </c>
      <c r="D1065" s="46"/>
      <c r="E1065" t="s">
        <v>951</v>
      </c>
      <c r="F1065" s="50"/>
      <c r="G1065" t="s">
        <v>2961</v>
      </c>
      <c r="H1065" t="s">
        <v>2962</v>
      </c>
      <c r="I1065" t="s">
        <v>2963</v>
      </c>
      <c r="J1065" s="50" t="str">
        <f>IF(I1065="","",_xlfn.XLOOKUP(TRIM(I1065),'SkillMasterSkill ID'!$C:$C,'SkillMasterSkill ID'!$F:$F,"NOT FOUND",0))</f>
        <v>NOT FOUND</v>
      </c>
      <c r="K1065" s="50"/>
      <c r="L1065" s="50"/>
    </row>
    <row r="1066" spans="1:12" x14ac:dyDescent="0.25">
      <c r="A106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66">
        <v>10303</v>
      </c>
      <c r="C1066" t="s">
        <v>200</v>
      </c>
      <c r="D1066" s="46"/>
      <c r="E1066" t="s">
        <v>2208</v>
      </c>
      <c r="F1066" s="50"/>
      <c r="G1066" t="s">
        <v>2951</v>
      </c>
      <c r="H1066" t="s">
        <v>2954</v>
      </c>
      <c r="I1066" t="s">
        <v>2955</v>
      </c>
      <c r="J1066" s="50" t="str">
        <f>IF(I1066="","",_xlfn.XLOOKUP(TRIM(I1066),'SkillMasterSkill ID'!$C:$C,'SkillMasterSkill ID'!$F:$F,"NOT FOUND",0))</f>
        <v>NOT FOUND</v>
      </c>
      <c r="K1066" s="50"/>
      <c r="L1066" s="50"/>
    </row>
    <row r="1067" spans="1:12" x14ac:dyDescent="0.25">
      <c r="A106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67">
        <v>10303</v>
      </c>
      <c r="C1067" t="s">
        <v>200</v>
      </c>
      <c r="D1067" s="46"/>
      <c r="E1067" t="s">
        <v>934</v>
      </c>
      <c r="F1067" s="50"/>
      <c r="G1067" t="s">
        <v>2930</v>
      </c>
      <c r="H1067" t="s">
        <v>2934</v>
      </c>
      <c r="I1067" t="s">
        <v>2935</v>
      </c>
      <c r="J1067" s="50" t="str">
        <f>IF(I1067="","",_xlfn.XLOOKUP(TRIM(I1067),'SkillMasterSkill ID'!$C:$C,'SkillMasterSkill ID'!$F:$F,"NOT FOUND",0))</f>
        <v>NOT FOUND</v>
      </c>
      <c r="K1067" s="50"/>
      <c r="L1067" s="50"/>
    </row>
    <row r="1068" spans="1:12" x14ac:dyDescent="0.25">
      <c r="A106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68">
        <v>10303</v>
      </c>
      <c r="C1068" t="s">
        <v>200</v>
      </c>
      <c r="D1068" s="46"/>
      <c r="E1068" t="s">
        <v>2665</v>
      </c>
      <c r="F1068" s="50"/>
      <c r="G1068" t="s">
        <v>1622</v>
      </c>
      <c r="H1068" t="s">
        <v>2928</v>
      </c>
      <c r="I1068" t="s">
        <v>2929</v>
      </c>
      <c r="J1068" s="50" t="str">
        <f>IF(I1068="","",_xlfn.XLOOKUP(TRIM(I1068),'SkillMasterSkill ID'!$C:$C,'SkillMasterSkill ID'!$F:$F,"NOT FOUND",0))</f>
        <v>NOT FOUND</v>
      </c>
      <c r="K1068" s="50"/>
      <c r="L1068" s="50"/>
    </row>
    <row r="1069" spans="1:12" x14ac:dyDescent="0.25">
      <c r="A106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69">
        <v>10303</v>
      </c>
      <c r="C1069" t="s">
        <v>200</v>
      </c>
      <c r="D1069" s="46"/>
      <c r="E1069" t="s">
        <v>872</v>
      </c>
      <c r="F1069" s="50"/>
      <c r="G1069" t="s">
        <v>2930</v>
      </c>
      <c r="H1069" t="s">
        <v>2931</v>
      </c>
      <c r="I1069" t="s">
        <v>2796</v>
      </c>
      <c r="J1069" s="50" t="str">
        <f>IF(I1069="","",_xlfn.XLOOKUP(TRIM(I1069),'SkillMasterSkill ID'!$C:$C,'SkillMasterSkill ID'!$F:$F,"NOT FOUND",0))</f>
        <v>NOT FOUND</v>
      </c>
      <c r="K1069" s="50"/>
      <c r="L1069" s="50"/>
    </row>
    <row r="1070" spans="1:12" x14ac:dyDescent="0.25">
      <c r="A107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70">
        <v>10303</v>
      </c>
      <c r="C1070" t="s">
        <v>200</v>
      </c>
      <c r="D1070" s="46"/>
      <c r="E1070" t="s">
        <v>2937</v>
      </c>
      <c r="F1070" s="50"/>
      <c r="G1070" t="s">
        <v>2936</v>
      </c>
      <c r="H1070" t="s">
        <v>2939</v>
      </c>
      <c r="I1070" t="s">
        <v>2940</v>
      </c>
      <c r="J1070" s="50" t="str">
        <f>IF(I1070="","",_xlfn.XLOOKUP(TRIM(I1070),'SkillMasterSkill ID'!$C:$C,'SkillMasterSkill ID'!$F:$F,"NOT FOUND",0))</f>
        <v>NOT FOUND</v>
      </c>
      <c r="K1070" s="50"/>
      <c r="L1070" s="50"/>
    </row>
    <row r="1071" spans="1:12" x14ac:dyDescent="0.25">
      <c r="A107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71">
        <v>10303</v>
      </c>
      <c r="C1071" t="s">
        <v>200</v>
      </c>
      <c r="D1071" s="46"/>
      <c r="E1071" t="s">
        <v>2203</v>
      </c>
      <c r="F1071" s="50"/>
      <c r="G1071" t="s">
        <v>2951</v>
      </c>
      <c r="H1071" t="s">
        <v>2952</v>
      </c>
      <c r="I1071" t="s">
        <v>2953</v>
      </c>
      <c r="J1071" s="50" t="str">
        <f>IF(I1071="","",_xlfn.XLOOKUP(TRIM(I1071),'SkillMasterSkill ID'!$C:$C,'SkillMasterSkill ID'!$F:$F,"NOT FOUND",0))</f>
        <v>NOT FOUND</v>
      </c>
      <c r="K1071" s="50"/>
      <c r="L1071" s="50"/>
    </row>
    <row r="1072" spans="1:12" x14ac:dyDescent="0.25">
      <c r="A107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72">
        <v>10303</v>
      </c>
      <c r="C1072" t="s">
        <v>200</v>
      </c>
      <c r="D1072" s="46"/>
      <c r="E1072" t="s">
        <v>2203</v>
      </c>
      <c r="F1072" s="50"/>
      <c r="G1072" t="s">
        <v>2951</v>
      </c>
      <c r="H1072" t="s">
        <v>2752</v>
      </c>
      <c r="I1072" t="s">
        <v>2323</v>
      </c>
      <c r="J1072" s="50" t="str">
        <f>IF(I1072="","",_xlfn.XLOOKUP(TRIM(I1072),'SkillMasterSkill ID'!$C:$C,'SkillMasterSkill ID'!$F:$F,"NOT FOUND",0))</f>
        <v>NOT FOUND</v>
      </c>
      <c r="K1072" s="50"/>
      <c r="L1072" s="50"/>
    </row>
    <row r="1073" spans="1:12" x14ac:dyDescent="0.25">
      <c r="A107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73">
        <v>10303</v>
      </c>
      <c r="C1073" t="s">
        <v>200</v>
      </c>
      <c r="D1073" s="46"/>
      <c r="E1073" t="s">
        <v>2207</v>
      </c>
      <c r="F1073" s="50"/>
      <c r="G1073" t="s">
        <v>1622</v>
      </c>
      <c r="H1073" t="s">
        <v>2926</v>
      </c>
      <c r="I1073" t="s">
        <v>2927</v>
      </c>
      <c r="J1073" s="50" t="str">
        <f>IF(I1073="","",_xlfn.XLOOKUP(TRIM(I1073),'SkillMasterSkill ID'!$C:$C,'SkillMasterSkill ID'!$F:$F,"NOT FOUND",0))</f>
        <v>NOT FOUND</v>
      </c>
      <c r="K1073" s="50"/>
      <c r="L1073" s="50"/>
    </row>
    <row r="1074" spans="1:12" x14ac:dyDescent="0.25">
      <c r="A107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74">
        <v>10303</v>
      </c>
      <c r="C1074" t="s">
        <v>200</v>
      </c>
      <c r="D1074" s="46"/>
      <c r="E1074" t="s">
        <v>2937</v>
      </c>
      <c r="F1074" s="50"/>
      <c r="G1074" t="s">
        <v>2936</v>
      </c>
      <c r="H1074" t="s">
        <v>2942</v>
      </c>
      <c r="I1074" t="s">
        <v>2943</v>
      </c>
      <c r="J1074" s="50" t="str">
        <f>IF(I1074="","",_xlfn.XLOOKUP(TRIM(I1074),'SkillMasterSkill ID'!$C:$C,'SkillMasterSkill ID'!$F:$F,"NOT FOUND",0))</f>
        <v>NOT FOUND</v>
      </c>
      <c r="K1074" s="50"/>
      <c r="L1074" s="50"/>
    </row>
    <row r="1075" spans="1:12" x14ac:dyDescent="0.25">
      <c r="A107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75">
        <v>10303</v>
      </c>
      <c r="C1075" t="s">
        <v>200</v>
      </c>
      <c r="D1075" s="46"/>
      <c r="E1075" t="s">
        <v>1448</v>
      </c>
      <c r="F1075" s="50"/>
      <c r="G1075" t="s">
        <v>1622</v>
      </c>
      <c r="H1075" t="s">
        <v>2922</v>
      </c>
      <c r="I1075" t="s">
        <v>2923</v>
      </c>
      <c r="J1075" s="50" t="str">
        <f>IF(I1075="","",_xlfn.XLOOKUP(TRIM(I1075),'SkillMasterSkill ID'!$C:$C,'SkillMasterSkill ID'!$F:$F,"NOT FOUND",0))</f>
        <v>NOT FOUND</v>
      </c>
      <c r="K1075" s="50"/>
      <c r="L1075" s="50"/>
    </row>
    <row r="1076" spans="1:12" x14ac:dyDescent="0.25">
      <c r="A107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76">
        <v>10303</v>
      </c>
      <c r="C1076" t="s">
        <v>200</v>
      </c>
      <c r="D1076" s="46"/>
      <c r="E1076" t="s">
        <v>872</v>
      </c>
      <c r="F1076" s="50"/>
      <c r="G1076" t="s">
        <v>2930</v>
      </c>
      <c r="H1076" t="s">
        <v>2932</v>
      </c>
      <c r="I1076" t="s">
        <v>2933</v>
      </c>
      <c r="J1076" s="50" t="str">
        <f>IF(I1076="","",_xlfn.XLOOKUP(TRIM(I1076),'SkillMasterSkill ID'!$C:$C,'SkillMasterSkill ID'!$F:$F,"NOT FOUND",0))</f>
        <v>NOT FOUND</v>
      </c>
      <c r="K1076" s="50"/>
      <c r="L1076" s="50"/>
    </row>
    <row r="1077" spans="1:12" x14ac:dyDescent="0.25">
      <c r="A107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77">
        <v>10303</v>
      </c>
      <c r="C1077" t="s">
        <v>200</v>
      </c>
      <c r="D1077" s="46"/>
      <c r="E1077" t="s">
        <v>873</v>
      </c>
      <c r="F1077" s="50"/>
      <c r="G1077" t="s">
        <v>2956</v>
      </c>
      <c r="H1077" t="s">
        <v>2957</v>
      </c>
      <c r="I1077" t="s">
        <v>2958</v>
      </c>
      <c r="J1077" s="50" t="str">
        <f>IF(I1077="","",_xlfn.XLOOKUP(TRIM(I1077),'SkillMasterSkill ID'!$C:$C,'SkillMasterSkill ID'!$F:$F,"NOT FOUND",0))</f>
        <v>NOT FOUND</v>
      </c>
      <c r="K1077" s="50"/>
      <c r="L1077" s="50"/>
    </row>
    <row r="1078" spans="1:12" x14ac:dyDescent="0.25">
      <c r="A107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78">
        <v>10303</v>
      </c>
      <c r="C1078" t="s">
        <v>200</v>
      </c>
      <c r="D1078" s="46"/>
      <c r="E1078" t="s">
        <v>2519</v>
      </c>
      <c r="F1078" s="50"/>
      <c r="G1078" t="s">
        <v>2944</v>
      </c>
      <c r="H1078" t="s">
        <v>2945</v>
      </c>
      <c r="I1078" t="s">
        <v>2946</v>
      </c>
      <c r="J1078" s="50" t="str">
        <f>IF(I1078="","",_xlfn.XLOOKUP(TRIM(I1078),'SkillMasterSkill ID'!$C:$C,'SkillMasterSkill ID'!$F:$F,"NOT FOUND",0))</f>
        <v>NOT FOUND</v>
      </c>
      <c r="K1078" s="50"/>
      <c r="L1078" s="50"/>
    </row>
    <row r="1079" spans="1:12" x14ac:dyDescent="0.25">
      <c r="A107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79">
        <v>10303</v>
      </c>
      <c r="C1079" t="s">
        <v>200</v>
      </c>
      <c r="D1079" s="46"/>
      <c r="E1079" t="s">
        <v>2937</v>
      </c>
      <c r="F1079" s="50"/>
      <c r="G1079" t="s">
        <v>2936</v>
      </c>
      <c r="H1079" t="s">
        <v>2941</v>
      </c>
      <c r="I1079" t="s">
        <v>895</v>
      </c>
      <c r="J1079" s="50" t="str">
        <f>IF(I1079="","",_xlfn.XLOOKUP(TRIM(I1079),'SkillMasterSkill ID'!$C:$C,'SkillMasterSkill ID'!$F:$F,"NOT FOUND",0))</f>
        <v>Ability to analyze performance and trends, evaluate execution quality, and identify issues early for action.</v>
      </c>
      <c r="K1079" s="50"/>
      <c r="L1079" s="50"/>
    </row>
    <row r="1080" spans="1:12" x14ac:dyDescent="0.25">
      <c r="A108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80">
        <v>5113</v>
      </c>
      <c r="C1080" t="s">
        <v>72</v>
      </c>
      <c r="D1080" s="46"/>
      <c r="E1080" t="s">
        <v>2665</v>
      </c>
      <c r="F1080" s="50"/>
      <c r="G1080" t="s">
        <v>1622</v>
      </c>
      <c r="H1080" t="s">
        <v>4405</v>
      </c>
      <c r="I1080" t="s">
        <v>1325</v>
      </c>
      <c r="J1080" s="50" t="str">
        <f>IF(I1080="","",_xlfn.XLOOKUP(TRIM(I1080),'SkillMasterSkill ID'!$C:$C,'SkillMasterSkill ID'!$F:$F,"NOT FOUND",0))</f>
        <v>NOT FOUND</v>
      </c>
      <c r="K1080" s="50"/>
      <c r="L1080" s="50"/>
    </row>
    <row r="1081" spans="1:12" x14ac:dyDescent="0.25">
      <c r="A108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81">
        <v>5113</v>
      </c>
      <c r="C1081" t="s">
        <v>72</v>
      </c>
      <c r="D1081" s="46"/>
      <c r="E1081" t="s">
        <v>4344</v>
      </c>
      <c r="F1081" s="50"/>
      <c r="G1081" t="s">
        <v>4406</v>
      </c>
      <c r="H1081" t="s">
        <v>4412</v>
      </c>
      <c r="I1081" t="s">
        <v>4413</v>
      </c>
      <c r="J1081" s="50" t="str">
        <f>IF(I1081="","",_xlfn.XLOOKUP(TRIM(I1081),'SkillMasterSkill ID'!$C:$C,'SkillMasterSkill ID'!$F:$F,"NOT FOUND",0))</f>
        <v>NOT FOUND</v>
      </c>
      <c r="K1081" s="50"/>
      <c r="L1081" s="50"/>
    </row>
    <row r="1082" spans="1:12" x14ac:dyDescent="0.25">
      <c r="A108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82">
        <v>5113</v>
      </c>
      <c r="C1082" t="s">
        <v>72</v>
      </c>
      <c r="D1082" s="46"/>
      <c r="E1082" t="s">
        <v>2215</v>
      </c>
      <c r="F1082" s="50"/>
      <c r="G1082" t="s">
        <v>1622</v>
      </c>
      <c r="H1082" t="s">
        <v>4403</v>
      </c>
      <c r="I1082" t="s">
        <v>1413</v>
      </c>
      <c r="J1082" s="50" t="str">
        <f>IF(I1082="","",_xlfn.XLOOKUP(TRIM(I1082),'SkillMasterSkill ID'!$C:$C,'SkillMasterSkill ID'!$F:$F,"NOT FOUND",0))</f>
        <v>NOT FOUND</v>
      </c>
      <c r="K1082" s="50"/>
      <c r="L1082" s="50"/>
    </row>
    <row r="1083" spans="1:12" x14ac:dyDescent="0.25">
      <c r="A108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83">
        <v>5113</v>
      </c>
      <c r="C1083" t="s">
        <v>72</v>
      </c>
      <c r="D1083" s="46"/>
      <c r="E1083" t="s">
        <v>2207</v>
      </c>
      <c r="F1083" s="50"/>
      <c r="G1083" t="s">
        <v>1622</v>
      </c>
      <c r="H1083" t="s">
        <v>4400</v>
      </c>
      <c r="I1083" t="s">
        <v>4401</v>
      </c>
      <c r="J1083" s="50" t="str">
        <f>IF(I1083="","",_xlfn.XLOOKUP(TRIM(I1083),'SkillMasterSkill ID'!$C:$C,'SkillMasterSkill ID'!$F:$F,"NOT FOUND",0))</f>
        <v>NOT FOUND</v>
      </c>
      <c r="K1083" s="50"/>
      <c r="L1083" s="50"/>
    </row>
    <row r="1084" spans="1:12" x14ac:dyDescent="0.25">
      <c r="A108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84">
        <v>5113</v>
      </c>
      <c r="C1084" t="s">
        <v>72</v>
      </c>
      <c r="D1084" s="46"/>
      <c r="E1084" t="s">
        <v>4337</v>
      </c>
      <c r="F1084" s="50"/>
      <c r="G1084" t="s">
        <v>4406</v>
      </c>
      <c r="H1084" t="s">
        <v>4416</v>
      </c>
      <c r="I1084" t="s">
        <v>4417</v>
      </c>
      <c r="J1084" s="50" t="str">
        <f>IF(I1084="","",_xlfn.XLOOKUP(TRIM(I1084),'SkillMasterSkill ID'!$C:$C,'SkillMasterSkill ID'!$F:$F,"NOT FOUND",0))</f>
        <v>NOT FOUND</v>
      </c>
      <c r="K1084" s="50"/>
      <c r="L1084" s="50"/>
    </row>
    <row r="1085" spans="1:12" x14ac:dyDescent="0.25">
      <c r="A108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85">
        <v>5113</v>
      </c>
      <c r="C1085" t="s">
        <v>72</v>
      </c>
      <c r="D1085" s="46"/>
      <c r="E1085" t="s">
        <v>1378</v>
      </c>
      <c r="F1085" s="50"/>
      <c r="G1085" t="s">
        <v>4428</v>
      </c>
      <c r="H1085" t="s">
        <v>4429</v>
      </c>
      <c r="I1085" t="s">
        <v>4430</v>
      </c>
      <c r="J1085" s="50" t="str">
        <f>IF(I1085="","",_xlfn.XLOOKUP(TRIM(I1085),'SkillMasterSkill ID'!$C:$C,'SkillMasterSkill ID'!$F:$F,"NOT FOUND",0))</f>
        <v>NOT FOUND</v>
      </c>
      <c r="K1085" s="50"/>
      <c r="L1085" s="50"/>
    </row>
    <row r="1086" spans="1:12" x14ac:dyDescent="0.25">
      <c r="A108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86">
        <v>5113</v>
      </c>
      <c r="C1086" t="s">
        <v>72</v>
      </c>
      <c r="D1086" s="46"/>
      <c r="E1086" t="s">
        <v>4344</v>
      </c>
      <c r="F1086" s="50"/>
      <c r="G1086" t="s">
        <v>4406</v>
      </c>
      <c r="H1086" t="s">
        <v>4409</v>
      </c>
      <c r="I1086" t="s">
        <v>4410</v>
      </c>
      <c r="J1086" s="50" t="str">
        <f>IF(I1086="","",_xlfn.XLOOKUP(TRIM(I1086),'SkillMasterSkill ID'!$C:$C,'SkillMasterSkill ID'!$F:$F,"NOT FOUND",0))</f>
        <v>NOT FOUND</v>
      </c>
      <c r="K1086" s="50"/>
      <c r="L1086" s="50"/>
    </row>
    <row r="1087" spans="1:12" x14ac:dyDescent="0.25">
      <c r="A108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87">
        <v>5113</v>
      </c>
      <c r="C1087" t="s">
        <v>72</v>
      </c>
      <c r="D1087" s="46"/>
      <c r="E1087" t="s">
        <v>4337</v>
      </c>
      <c r="F1087" s="50"/>
      <c r="G1087" t="s">
        <v>4406</v>
      </c>
      <c r="H1087" t="s">
        <v>4414</v>
      </c>
      <c r="I1087" t="s">
        <v>4415</v>
      </c>
      <c r="J1087" s="50" t="str">
        <f>IF(I1087="","",_xlfn.XLOOKUP(TRIM(I1087),'SkillMasterSkill ID'!$C:$C,'SkillMasterSkill ID'!$F:$F,"NOT FOUND",0))</f>
        <v>NOT FOUND</v>
      </c>
      <c r="K1087" s="50"/>
      <c r="L1087" s="50"/>
    </row>
    <row r="1088" spans="1:12" x14ac:dyDescent="0.25">
      <c r="A108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88">
        <v>5113</v>
      </c>
      <c r="C1088" t="s">
        <v>72</v>
      </c>
      <c r="D1088" s="46"/>
      <c r="E1088" t="s">
        <v>873</v>
      </c>
      <c r="F1088" s="50"/>
      <c r="G1088" t="s">
        <v>4438</v>
      </c>
      <c r="H1088" t="s">
        <v>4439</v>
      </c>
      <c r="I1088" t="s">
        <v>4440</v>
      </c>
      <c r="J1088" s="50" t="str">
        <f>IF(I1088="","",_xlfn.XLOOKUP(TRIM(I1088),'SkillMasterSkill ID'!$C:$C,'SkillMasterSkill ID'!$F:$F,"NOT FOUND",0))</f>
        <v>NOT FOUND</v>
      </c>
      <c r="K1088" s="50"/>
      <c r="L1088" s="50"/>
    </row>
    <row r="1089" spans="1:12" x14ac:dyDescent="0.25">
      <c r="A108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89">
        <v>5113</v>
      </c>
      <c r="C1089" t="s">
        <v>72</v>
      </c>
      <c r="D1089" s="46"/>
      <c r="E1089" t="s">
        <v>4419</v>
      </c>
      <c r="F1089" s="50"/>
      <c r="G1089" t="s">
        <v>4418</v>
      </c>
      <c r="H1089" t="s">
        <v>4421</v>
      </c>
      <c r="I1089" t="s">
        <v>4422</v>
      </c>
      <c r="J1089" s="50" t="str">
        <f>IF(I1089="","",_xlfn.XLOOKUP(TRIM(I1089),'SkillMasterSkill ID'!$C:$C,'SkillMasterSkill ID'!$F:$F,"NOT FOUND",0))</f>
        <v>NOT FOUND</v>
      </c>
      <c r="K1089" s="50"/>
      <c r="L1089" s="50"/>
    </row>
    <row r="1090" spans="1:12" x14ac:dyDescent="0.25">
      <c r="A109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90">
        <v>5113</v>
      </c>
      <c r="C1090" t="s">
        <v>72</v>
      </c>
      <c r="D1090" s="46"/>
      <c r="E1090" t="s">
        <v>4419</v>
      </c>
      <c r="F1090" s="50"/>
      <c r="G1090" t="s">
        <v>4418</v>
      </c>
      <c r="H1090" t="s">
        <v>4423</v>
      </c>
      <c r="I1090" t="s">
        <v>4424</v>
      </c>
      <c r="J1090" s="50" t="str">
        <f>IF(I1090="","",_xlfn.XLOOKUP(TRIM(I1090),'SkillMasterSkill ID'!$C:$C,'SkillMasterSkill ID'!$F:$F,"NOT FOUND",0))</f>
        <v>NOT FOUND</v>
      </c>
      <c r="K1090" s="50"/>
      <c r="L1090" s="50"/>
    </row>
    <row r="1091" spans="1:12" x14ac:dyDescent="0.25">
      <c r="A109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91">
        <v>5113</v>
      </c>
      <c r="C1091" t="s">
        <v>72</v>
      </c>
      <c r="D1091" s="46"/>
      <c r="E1091" t="s">
        <v>2203</v>
      </c>
      <c r="F1091" s="50"/>
      <c r="G1091" t="s">
        <v>4418</v>
      </c>
      <c r="H1091" t="s">
        <v>4427</v>
      </c>
      <c r="I1091" t="s">
        <v>4311</v>
      </c>
      <c r="J1091" s="50" t="str">
        <f>IF(I1091="","",_xlfn.XLOOKUP(TRIM(I1091),'SkillMasterSkill ID'!$C:$C,'SkillMasterSkill ID'!$F:$F,"NOT FOUND",0))</f>
        <v>NOT FOUND</v>
      </c>
      <c r="K1091" s="50"/>
      <c r="L1091" s="50"/>
    </row>
    <row r="1092" spans="1:12" x14ac:dyDescent="0.25">
      <c r="A109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92">
        <v>5113</v>
      </c>
      <c r="C1092" t="s">
        <v>72</v>
      </c>
      <c r="D1092" s="46"/>
      <c r="E1092" t="s">
        <v>1448</v>
      </c>
      <c r="F1092" s="50"/>
      <c r="G1092" t="s">
        <v>1622</v>
      </c>
      <c r="H1092" t="s">
        <v>1540</v>
      </c>
      <c r="I1092" t="s">
        <v>2209</v>
      </c>
      <c r="J1092" s="50" t="str">
        <f>IF(I1092="","",_xlfn.XLOOKUP(TRIM(I1092),'SkillMasterSkill ID'!$C:$C,'SkillMasterSkill ID'!$F:$F,"NOT FOUND",0))</f>
        <v>NOT FOUND</v>
      </c>
      <c r="K1092" s="50"/>
      <c r="L1092" s="50"/>
    </row>
    <row r="1093" spans="1:12" x14ac:dyDescent="0.25">
      <c r="A109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93">
        <v>5113</v>
      </c>
      <c r="C1093" t="s">
        <v>72</v>
      </c>
      <c r="D1093" s="46"/>
      <c r="E1093" t="s">
        <v>4431</v>
      </c>
      <c r="F1093" s="50"/>
      <c r="G1093" t="s">
        <v>4428</v>
      </c>
      <c r="H1093" t="s">
        <v>4433</v>
      </c>
      <c r="I1093" t="s">
        <v>4434</v>
      </c>
      <c r="J1093" s="50" t="str">
        <f>IF(I1093="","",_xlfn.XLOOKUP(TRIM(I1093),'SkillMasterSkill ID'!$C:$C,'SkillMasterSkill ID'!$F:$F,"NOT FOUND",0))</f>
        <v>NOT FOUND</v>
      </c>
      <c r="K1093" s="50"/>
      <c r="L1093" s="50"/>
    </row>
    <row r="1094" spans="1:12" x14ac:dyDescent="0.25">
      <c r="A109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94">
        <v>5113</v>
      </c>
      <c r="C1094" t="s">
        <v>72</v>
      </c>
      <c r="D1094" s="46"/>
      <c r="E1094" t="s">
        <v>2203</v>
      </c>
      <c r="F1094" s="50"/>
      <c r="G1094" t="s">
        <v>4418</v>
      </c>
      <c r="H1094" t="s">
        <v>4425</v>
      </c>
      <c r="I1094" t="s">
        <v>4426</v>
      </c>
      <c r="J1094" s="50" t="str">
        <f>IF(I1094="","",_xlfn.XLOOKUP(TRIM(I1094),'SkillMasterSkill ID'!$C:$C,'SkillMasterSkill ID'!$F:$F,"NOT FOUND",0))</f>
        <v>NOT FOUND</v>
      </c>
      <c r="K1094" s="50"/>
      <c r="L1094" s="50"/>
    </row>
    <row r="1095" spans="1:12" x14ac:dyDescent="0.25">
      <c r="A109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95">
        <v>5113</v>
      </c>
      <c r="C1095" t="s">
        <v>72</v>
      </c>
      <c r="D1095" s="46"/>
      <c r="E1095" t="s">
        <v>953</v>
      </c>
      <c r="F1095" s="50"/>
      <c r="G1095" t="s">
        <v>4438</v>
      </c>
      <c r="H1095" t="s">
        <v>4441</v>
      </c>
      <c r="I1095" t="s">
        <v>4442</v>
      </c>
      <c r="J1095" s="50" t="str">
        <f>IF(I1095="","",_xlfn.XLOOKUP(TRIM(I1095),'SkillMasterSkill ID'!$C:$C,'SkillMasterSkill ID'!$F:$F,"NOT FOUND",0))</f>
        <v>NOT FOUND</v>
      </c>
      <c r="K1095" s="50"/>
      <c r="L1095" s="50"/>
    </row>
    <row r="1096" spans="1:12" x14ac:dyDescent="0.25">
      <c r="A109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96">
        <v>5113</v>
      </c>
      <c r="C1096" t="s">
        <v>72</v>
      </c>
      <c r="D1096" s="46"/>
      <c r="E1096" t="s">
        <v>871</v>
      </c>
      <c r="F1096" s="50"/>
      <c r="G1096" t="s">
        <v>1622</v>
      </c>
      <c r="H1096" t="s">
        <v>4402</v>
      </c>
      <c r="I1096" t="s">
        <v>2212</v>
      </c>
      <c r="J1096" s="50" t="str">
        <f>IF(I1096="","",_xlfn.XLOOKUP(TRIM(I1096),'SkillMasterSkill ID'!$C:$C,'SkillMasterSkill ID'!$F:$F,"NOT FOUND",0))</f>
        <v>NOT FOUND</v>
      </c>
      <c r="K1096" s="50"/>
      <c r="L1096" s="50"/>
    </row>
    <row r="1097" spans="1:12" x14ac:dyDescent="0.25">
      <c r="A109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97">
        <v>5113</v>
      </c>
      <c r="C1097" t="s">
        <v>72</v>
      </c>
      <c r="D1097" s="46"/>
      <c r="E1097" t="s">
        <v>4344</v>
      </c>
      <c r="F1097" s="50"/>
      <c r="G1097" t="s">
        <v>4406</v>
      </c>
      <c r="H1097" t="s">
        <v>4408</v>
      </c>
      <c r="I1097" t="s">
        <v>4379</v>
      </c>
      <c r="J1097" s="50" t="str">
        <f>IF(I1097="","",_xlfn.XLOOKUP(TRIM(I1097),'SkillMasterSkill ID'!$C:$C,'SkillMasterSkill ID'!$F:$F,"NOT FOUND",0))</f>
        <v>NOT FOUND</v>
      </c>
      <c r="K1097" s="50"/>
      <c r="L1097" s="50"/>
    </row>
    <row r="1098" spans="1:12" x14ac:dyDescent="0.25">
      <c r="A109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98">
        <v>5113</v>
      </c>
      <c r="C1098" t="s">
        <v>72</v>
      </c>
      <c r="D1098" s="46"/>
      <c r="E1098" t="s">
        <v>3260</v>
      </c>
      <c r="F1098" s="50"/>
      <c r="G1098" t="s">
        <v>4428</v>
      </c>
      <c r="H1098" t="s">
        <v>4436</v>
      </c>
      <c r="I1098" t="s">
        <v>4437</v>
      </c>
      <c r="J1098" s="50" t="str">
        <f>IF(I1098="","",_xlfn.XLOOKUP(TRIM(I1098),'SkillMasterSkill ID'!$C:$C,'SkillMasterSkill ID'!$F:$F,"NOT FOUND",0))</f>
        <v>NOT FOUND</v>
      </c>
      <c r="K1098" s="50"/>
      <c r="L1098" s="50"/>
    </row>
    <row r="1099" spans="1:12" x14ac:dyDescent="0.25">
      <c r="A109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099" s="46"/>
      <c r="C1099" s="46"/>
      <c r="D1099" s="46"/>
      <c r="E1099" s="46" t="str">
        <f>IF(I1099="","",_xlfn.XLOOKUP(TRIM(I1099),'SkillMasterSkill ID'!$C:$C,'SkillMasterSkill ID'!$D:$D,"NOT FOUND",0))</f>
        <v/>
      </c>
      <c r="F1099" s="50"/>
      <c r="G1099" s="50"/>
      <c r="H1099" s="51"/>
      <c r="I1099" s="50"/>
      <c r="J1099" s="50" t="str">
        <f>IF(I1099="","",_xlfn.XLOOKUP(TRIM(I1099),'SkillMasterSkill ID'!$C:$C,'SkillMasterSkill ID'!$F:$F,"NOT FOUND",0))</f>
        <v/>
      </c>
      <c r="K1099" s="50"/>
      <c r="L1099" s="50"/>
    </row>
    <row r="1100" spans="1:12" x14ac:dyDescent="0.25">
      <c r="A110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00" s="46"/>
      <c r="C1100" s="46"/>
      <c r="D1100" s="46"/>
      <c r="E1100" s="46" t="str">
        <f>IF(I1100="","",_xlfn.XLOOKUP(TRIM(I1100),'SkillMasterSkill ID'!$C:$C,'SkillMasterSkill ID'!$D:$D,"NOT FOUND",0))</f>
        <v/>
      </c>
      <c r="F1100" s="50"/>
      <c r="G1100" s="50"/>
      <c r="H1100" s="51"/>
      <c r="I1100" s="50"/>
      <c r="J1100" s="50" t="str">
        <f>IF(I1100="","",_xlfn.XLOOKUP(TRIM(I1100),'SkillMasterSkill ID'!$C:$C,'SkillMasterSkill ID'!$F:$F,"NOT FOUND",0))</f>
        <v/>
      </c>
      <c r="K1100" s="50"/>
      <c r="L1100" s="50"/>
    </row>
    <row r="1101" spans="1:12" x14ac:dyDescent="0.25">
      <c r="A110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01" s="46"/>
      <c r="C1101" s="46"/>
      <c r="D1101" s="46"/>
      <c r="E1101" s="46" t="str">
        <f>IF(I1101="","",_xlfn.XLOOKUP(TRIM(I1101),'SkillMasterSkill ID'!$C:$C,'SkillMasterSkill ID'!$D:$D,"NOT FOUND",0))</f>
        <v/>
      </c>
      <c r="F1101" s="50"/>
      <c r="G1101" s="50"/>
      <c r="H1101" s="51"/>
      <c r="I1101" s="50"/>
      <c r="J1101" s="50" t="str">
        <f>IF(I1101="","",_xlfn.XLOOKUP(TRIM(I1101),'SkillMasterSkill ID'!$C:$C,'SkillMasterSkill ID'!$F:$F,"NOT FOUND",0))</f>
        <v/>
      </c>
      <c r="K1101" s="50"/>
      <c r="L1101" s="50"/>
    </row>
    <row r="1102" spans="1:12" x14ac:dyDescent="0.25">
      <c r="A110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02" s="46"/>
      <c r="C1102" s="46"/>
      <c r="D1102" s="46"/>
      <c r="E1102" s="46" t="str">
        <f>IF(I1102="","",_xlfn.XLOOKUP(TRIM(I1102),'SkillMasterSkill ID'!$C:$C,'SkillMasterSkill ID'!$D:$D,"NOT FOUND",0))</f>
        <v/>
      </c>
      <c r="F1102" s="50"/>
      <c r="G1102" s="50"/>
      <c r="H1102" s="51"/>
      <c r="I1102" s="50"/>
      <c r="J1102" s="50" t="str">
        <f>IF(I1102="","",_xlfn.XLOOKUP(TRIM(I1102),'SkillMasterSkill ID'!$C:$C,'SkillMasterSkill ID'!$F:$F,"NOT FOUND",0))</f>
        <v/>
      </c>
      <c r="K1102" s="50"/>
      <c r="L1102" s="50"/>
    </row>
    <row r="1103" spans="1:12" x14ac:dyDescent="0.25">
      <c r="A110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03" s="46"/>
      <c r="C1103" s="46"/>
      <c r="D1103" s="46"/>
      <c r="E1103" s="46" t="str">
        <f>IF(I1103="","",_xlfn.XLOOKUP(TRIM(I1103),'SkillMasterSkill ID'!$C:$C,'SkillMasterSkill ID'!$D:$D,"NOT FOUND",0))</f>
        <v/>
      </c>
      <c r="F1103" s="50"/>
      <c r="G1103" s="50"/>
      <c r="H1103" s="51"/>
      <c r="I1103" s="50"/>
      <c r="J1103" s="50" t="str">
        <f>IF(I1103="","",_xlfn.XLOOKUP(TRIM(I1103),'SkillMasterSkill ID'!$C:$C,'SkillMasterSkill ID'!$F:$F,"NOT FOUND",0))</f>
        <v/>
      </c>
      <c r="K1103" s="50"/>
      <c r="L1103" s="50"/>
    </row>
    <row r="1104" spans="1:12" x14ac:dyDescent="0.25">
      <c r="A110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04" s="46"/>
      <c r="C1104" s="46"/>
      <c r="D1104" s="46"/>
      <c r="E1104" s="46" t="str">
        <f>IF(I1104="","",_xlfn.XLOOKUP(TRIM(I1104),'SkillMasterSkill ID'!$C:$C,'SkillMasterSkill ID'!$D:$D,"NOT FOUND",0))</f>
        <v/>
      </c>
      <c r="F1104" s="50"/>
      <c r="G1104" s="50"/>
      <c r="H1104" s="51"/>
      <c r="I1104" s="50"/>
      <c r="J1104" s="50" t="str">
        <f>IF(I1104="","",_xlfn.XLOOKUP(TRIM(I1104),'SkillMasterSkill ID'!$C:$C,'SkillMasterSkill ID'!$F:$F,"NOT FOUND",0))</f>
        <v/>
      </c>
      <c r="K1104" s="50"/>
      <c r="L1104" s="50"/>
    </row>
    <row r="1105" spans="1:12" x14ac:dyDescent="0.25">
      <c r="A110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05" s="46"/>
      <c r="C1105" s="46"/>
      <c r="D1105" s="46"/>
      <c r="E1105" s="46" t="str">
        <f>IF(I1105="","",_xlfn.XLOOKUP(TRIM(I1105),'SkillMasterSkill ID'!$C:$C,'SkillMasterSkill ID'!$D:$D,"NOT FOUND",0))</f>
        <v/>
      </c>
      <c r="F1105" s="50"/>
      <c r="G1105" s="50"/>
      <c r="H1105" s="51"/>
      <c r="I1105" s="50"/>
      <c r="J1105" s="50" t="str">
        <f>IF(I1105="","",_xlfn.XLOOKUP(TRIM(I1105),'SkillMasterSkill ID'!$C:$C,'SkillMasterSkill ID'!$F:$F,"NOT FOUND",0))</f>
        <v/>
      </c>
      <c r="K1105" s="50"/>
      <c r="L1105" s="50"/>
    </row>
    <row r="1106" spans="1:12" x14ac:dyDescent="0.25">
      <c r="A110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06" s="46"/>
      <c r="C1106" s="46"/>
      <c r="D1106" s="46"/>
      <c r="E1106" s="46" t="str">
        <f>IF(I1106="","",_xlfn.XLOOKUP(TRIM(I1106),'SkillMasterSkill ID'!$C:$C,'SkillMasterSkill ID'!$D:$D,"NOT FOUND",0))</f>
        <v/>
      </c>
      <c r="F1106" s="50"/>
      <c r="G1106" s="50"/>
      <c r="H1106" s="51"/>
      <c r="I1106" s="50"/>
      <c r="J1106" s="50" t="str">
        <f>IF(I1106="","",_xlfn.XLOOKUP(TRIM(I1106),'SkillMasterSkill ID'!$C:$C,'SkillMasterSkill ID'!$F:$F,"NOT FOUND",0))</f>
        <v/>
      </c>
      <c r="K1106" s="50"/>
      <c r="L1106" s="50"/>
    </row>
    <row r="1107" spans="1:12" x14ac:dyDescent="0.25">
      <c r="A110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07" s="46"/>
      <c r="C1107" s="46"/>
      <c r="D1107" s="46"/>
      <c r="E1107" s="46" t="str">
        <f>IF(I1107="","",_xlfn.XLOOKUP(TRIM(I1107),'SkillMasterSkill ID'!$C:$C,'SkillMasterSkill ID'!$D:$D,"NOT FOUND",0))</f>
        <v/>
      </c>
      <c r="F1107" s="50"/>
      <c r="G1107" s="50"/>
      <c r="H1107" s="51"/>
      <c r="I1107" s="50"/>
      <c r="J1107" s="50" t="str">
        <f>IF(I1107="","",_xlfn.XLOOKUP(TRIM(I1107),'SkillMasterSkill ID'!$C:$C,'SkillMasterSkill ID'!$F:$F,"NOT FOUND",0))</f>
        <v/>
      </c>
      <c r="K1107" s="50"/>
      <c r="L1107" s="50"/>
    </row>
    <row r="1108" spans="1:12" x14ac:dyDescent="0.25">
      <c r="A110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08" s="46"/>
      <c r="C1108" s="46"/>
      <c r="D1108" s="46"/>
      <c r="E1108" s="46" t="str">
        <f>IF(I1108="","",_xlfn.XLOOKUP(TRIM(I1108),'SkillMasterSkill ID'!$C:$C,'SkillMasterSkill ID'!$D:$D,"NOT FOUND",0))</f>
        <v/>
      </c>
      <c r="F1108" s="50"/>
      <c r="G1108" s="50"/>
      <c r="H1108" s="51"/>
      <c r="I1108" s="50"/>
      <c r="J1108" s="50" t="str">
        <f>IF(I1108="","",_xlfn.XLOOKUP(TRIM(I1108),'SkillMasterSkill ID'!$C:$C,'SkillMasterSkill ID'!$F:$F,"NOT FOUND",0))</f>
        <v/>
      </c>
      <c r="K1108" s="50"/>
      <c r="L1108" s="50"/>
    </row>
    <row r="1109" spans="1:12" x14ac:dyDescent="0.25">
      <c r="A110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09" s="46"/>
      <c r="C1109" s="46"/>
      <c r="D1109" s="46"/>
      <c r="E1109" s="46" t="str">
        <f>IF(I1109="","",_xlfn.XLOOKUP(TRIM(I1109),'SkillMasterSkill ID'!$C:$C,'SkillMasterSkill ID'!$D:$D,"NOT FOUND",0))</f>
        <v/>
      </c>
      <c r="F1109" s="50"/>
      <c r="G1109" s="50"/>
      <c r="H1109" s="51"/>
      <c r="I1109" s="50"/>
      <c r="J1109" s="50" t="str">
        <f>IF(I1109="","",_xlfn.XLOOKUP(TRIM(I1109),'SkillMasterSkill ID'!$C:$C,'SkillMasterSkill ID'!$F:$F,"NOT FOUND",0))</f>
        <v/>
      </c>
      <c r="K1109" s="50"/>
      <c r="L1109" s="50"/>
    </row>
    <row r="1110" spans="1:12" x14ac:dyDescent="0.25">
      <c r="A111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10" s="46"/>
      <c r="C1110" s="46"/>
      <c r="D1110" s="46"/>
      <c r="E1110" s="46" t="str">
        <f>IF(I1110="","",_xlfn.XLOOKUP(TRIM(I1110),'SkillMasterSkill ID'!$C:$C,'SkillMasterSkill ID'!$D:$D,"NOT FOUND",0))</f>
        <v/>
      </c>
      <c r="F1110" s="50"/>
      <c r="G1110" s="50"/>
      <c r="H1110" s="51"/>
      <c r="I1110" s="50"/>
      <c r="J1110" s="50" t="str">
        <f>IF(I1110="","",_xlfn.XLOOKUP(TRIM(I1110),'SkillMasterSkill ID'!$C:$C,'SkillMasterSkill ID'!$F:$F,"NOT FOUND",0))</f>
        <v/>
      </c>
      <c r="K1110" s="50"/>
      <c r="L1110" s="50"/>
    </row>
    <row r="1111" spans="1:12" x14ac:dyDescent="0.25">
      <c r="A111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11" s="46"/>
      <c r="C1111" s="46"/>
      <c r="D1111" s="46"/>
      <c r="E1111" s="46" t="str">
        <f>IF(I1111="","",_xlfn.XLOOKUP(TRIM(I1111),'SkillMasterSkill ID'!$C:$C,'SkillMasterSkill ID'!$D:$D,"NOT FOUND",0))</f>
        <v/>
      </c>
      <c r="F1111" s="50"/>
      <c r="G1111" s="50"/>
      <c r="H1111" s="51"/>
      <c r="I1111" s="50"/>
      <c r="J1111" s="50" t="str">
        <f>IF(I1111="","",_xlfn.XLOOKUP(TRIM(I1111),'SkillMasterSkill ID'!$C:$C,'SkillMasterSkill ID'!$F:$F,"NOT FOUND",0))</f>
        <v/>
      </c>
      <c r="K1111" s="50"/>
      <c r="L1111" s="50"/>
    </row>
    <row r="1112" spans="1:12" x14ac:dyDescent="0.25">
      <c r="A111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12" s="46"/>
      <c r="C1112" s="46"/>
      <c r="D1112" s="46"/>
      <c r="E1112" s="46" t="str">
        <f>IF(I1112="","",_xlfn.XLOOKUP(TRIM(I1112),'SkillMasterSkill ID'!$C:$C,'SkillMasterSkill ID'!$D:$D,"NOT FOUND",0))</f>
        <v/>
      </c>
      <c r="F1112" s="50"/>
      <c r="G1112" s="50"/>
      <c r="H1112" s="51"/>
      <c r="I1112" s="50"/>
      <c r="J1112" s="50" t="str">
        <f>IF(I1112="","",_xlfn.XLOOKUP(TRIM(I1112),'SkillMasterSkill ID'!$C:$C,'SkillMasterSkill ID'!$F:$F,"NOT FOUND",0))</f>
        <v/>
      </c>
      <c r="K1112" s="50"/>
      <c r="L1112" s="50"/>
    </row>
    <row r="1113" spans="1:12" x14ac:dyDescent="0.25">
      <c r="A111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13" s="46"/>
      <c r="C1113" s="46"/>
      <c r="D1113" s="46"/>
      <c r="E1113" s="46" t="str">
        <f>IF(I1113="","",_xlfn.XLOOKUP(TRIM(I1113),'SkillMasterSkill ID'!$C:$C,'SkillMasterSkill ID'!$D:$D,"NOT FOUND",0))</f>
        <v/>
      </c>
      <c r="F1113" s="50"/>
      <c r="G1113" s="50"/>
      <c r="H1113" s="51"/>
      <c r="I1113" s="50"/>
      <c r="J1113" s="50" t="str">
        <f>IF(I1113="","",_xlfn.XLOOKUP(TRIM(I1113),'SkillMasterSkill ID'!$C:$C,'SkillMasterSkill ID'!$F:$F,"NOT FOUND",0))</f>
        <v/>
      </c>
      <c r="K1113" s="50"/>
      <c r="L1113" s="50"/>
    </row>
    <row r="1114" spans="1:12" x14ac:dyDescent="0.25">
      <c r="A111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14" s="46"/>
      <c r="C1114" s="46"/>
      <c r="D1114" s="46"/>
      <c r="E1114" s="46" t="str">
        <f>IF(I1114="","",_xlfn.XLOOKUP(TRIM(I1114),'SkillMasterSkill ID'!$C:$C,'SkillMasterSkill ID'!$D:$D,"NOT FOUND",0))</f>
        <v/>
      </c>
      <c r="F1114" s="50"/>
      <c r="G1114" s="50"/>
      <c r="H1114" s="51"/>
      <c r="I1114" s="50"/>
      <c r="J1114" s="50" t="str">
        <f>IF(I1114="","",_xlfn.XLOOKUP(TRIM(I1114),'SkillMasterSkill ID'!$C:$C,'SkillMasterSkill ID'!$F:$F,"NOT FOUND",0))</f>
        <v/>
      </c>
      <c r="K1114" s="50"/>
      <c r="L1114" s="50"/>
    </row>
    <row r="1115" spans="1:12" x14ac:dyDescent="0.25">
      <c r="A111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15" s="46"/>
      <c r="C1115" s="46"/>
      <c r="D1115" s="46"/>
      <c r="E1115" s="46" t="str">
        <f>IF(I1115="","",_xlfn.XLOOKUP(TRIM(I1115),'SkillMasterSkill ID'!$C:$C,'SkillMasterSkill ID'!$D:$D,"NOT FOUND",0))</f>
        <v/>
      </c>
      <c r="F1115" s="50"/>
      <c r="G1115" s="50"/>
      <c r="H1115" s="51"/>
      <c r="I1115" s="50"/>
      <c r="J1115" s="50" t="str">
        <f>IF(I1115="","",_xlfn.XLOOKUP(TRIM(I1115),'SkillMasterSkill ID'!$C:$C,'SkillMasterSkill ID'!$F:$F,"NOT FOUND",0))</f>
        <v/>
      </c>
      <c r="K1115" s="50"/>
      <c r="L1115" s="50"/>
    </row>
    <row r="1116" spans="1:12" x14ac:dyDescent="0.25">
      <c r="A111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16" s="46"/>
      <c r="C1116" s="46"/>
      <c r="D1116" s="46"/>
      <c r="E1116" s="46" t="str">
        <f>IF(I1116="","",_xlfn.XLOOKUP(TRIM(I1116),'SkillMasterSkill ID'!$C:$C,'SkillMasterSkill ID'!$D:$D,"NOT FOUND",0))</f>
        <v/>
      </c>
      <c r="F1116" s="50"/>
      <c r="G1116" s="50"/>
      <c r="H1116" s="51"/>
      <c r="I1116" s="50"/>
      <c r="J1116" s="50" t="str">
        <f>IF(I1116="","",_xlfn.XLOOKUP(TRIM(I1116),'SkillMasterSkill ID'!$C:$C,'SkillMasterSkill ID'!$F:$F,"NOT FOUND",0))</f>
        <v/>
      </c>
      <c r="K1116" s="50"/>
      <c r="L1116" s="50"/>
    </row>
    <row r="1117" spans="1:12" x14ac:dyDescent="0.25">
      <c r="A111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17" s="46"/>
      <c r="C1117" s="46"/>
      <c r="D1117" s="46"/>
      <c r="E1117" s="46" t="str">
        <f>IF(I1117="","",_xlfn.XLOOKUP(TRIM(I1117),'SkillMasterSkill ID'!$C:$C,'SkillMasterSkill ID'!$D:$D,"NOT FOUND",0))</f>
        <v/>
      </c>
      <c r="F1117" s="50"/>
      <c r="G1117" s="50"/>
      <c r="H1117" s="51"/>
      <c r="I1117" s="50"/>
      <c r="J1117" s="50" t="str">
        <f>IF(I1117="","",_xlfn.XLOOKUP(TRIM(I1117),'SkillMasterSkill ID'!$C:$C,'SkillMasterSkill ID'!$F:$F,"NOT FOUND",0))</f>
        <v/>
      </c>
      <c r="K1117" s="50"/>
      <c r="L1117" s="50"/>
    </row>
    <row r="1118" spans="1:12" x14ac:dyDescent="0.25">
      <c r="A111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18" s="46"/>
      <c r="C1118" s="46"/>
      <c r="D1118" s="46"/>
      <c r="E1118" s="46" t="str">
        <f>IF(I1118="","",_xlfn.XLOOKUP(TRIM(I1118),'SkillMasterSkill ID'!$C:$C,'SkillMasterSkill ID'!$D:$D,"NOT FOUND",0))</f>
        <v/>
      </c>
      <c r="F1118" s="50"/>
      <c r="G1118" s="50"/>
      <c r="H1118" s="51"/>
      <c r="I1118" s="50"/>
      <c r="J1118" s="50" t="str">
        <f>IF(I1118="","",_xlfn.XLOOKUP(TRIM(I1118),'SkillMasterSkill ID'!$C:$C,'SkillMasterSkill ID'!$F:$F,"NOT FOUND",0))</f>
        <v/>
      </c>
      <c r="K1118" s="50"/>
      <c r="L1118" s="50"/>
    </row>
    <row r="1119" spans="1:12" x14ac:dyDescent="0.25">
      <c r="A111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19" s="46"/>
      <c r="C1119" s="46"/>
      <c r="D1119" s="46"/>
      <c r="E1119" s="46" t="str">
        <f>IF(I1119="","",_xlfn.XLOOKUP(TRIM(I1119),'SkillMasterSkill ID'!$C:$C,'SkillMasterSkill ID'!$D:$D,"NOT FOUND",0))</f>
        <v/>
      </c>
      <c r="F1119" s="50"/>
      <c r="G1119" s="50"/>
      <c r="H1119" s="51"/>
      <c r="I1119" s="50"/>
      <c r="J1119" s="50" t="str">
        <f>IF(I1119="","",_xlfn.XLOOKUP(TRIM(I1119),'SkillMasterSkill ID'!$C:$C,'SkillMasterSkill ID'!$F:$F,"NOT FOUND",0))</f>
        <v/>
      </c>
      <c r="K1119" s="50"/>
      <c r="L1119" s="50"/>
    </row>
    <row r="1120" spans="1:12" x14ac:dyDescent="0.25">
      <c r="A112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20" s="46"/>
      <c r="C1120" s="46"/>
      <c r="D1120" s="46"/>
      <c r="E1120" s="46" t="str">
        <f>IF(I1120="","",_xlfn.XLOOKUP(TRIM(I1120),'SkillMasterSkill ID'!$C:$C,'SkillMasterSkill ID'!$D:$D,"NOT FOUND",0))</f>
        <v/>
      </c>
      <c r="F1120" s="50"/>
      <c r="G1120" s="50"/>
      <c r="H1120" s="51"/>
      <c r="I1120" s="50"/>
      <c r="J1120" s="50" t="str">
        <f>IF(I1120="","",_xlfn.XLOOKUP(TRIM(I1120),'SkillMasterSkill ID'!$C:$C,'SkillMasterSkill ID'!$F:$F,"NOT FOUND",0))</f>
        <v/>
      </c>
      <c r="K1120" s="50"/>
      <c r="L1120" s="50"/>
    </row>
    <row r="1121" spans="1:12" x14ac:dyDescent="0.25">
      <c r="A112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21" s="46"/>
      <c r="C1121" s="46"/>
      <c r="D1121" s="46"/>
      <c r="E1121" s="46" t="str">
        <f>IF(I1121="","",_xlfn.XLOOKUP(TRIM(I1121),'SkillMasterSkill ID'!$C:$C,'SkillMasterSkill ID'!$D:$D,"NOT FOUND",0))</f>
        <v/>
      </c>
      <c r="F1121" s="50"/>
      <c r="G1121" s="50"/>
      <c r="H1121" s="51"/>
      <c r="I1121" s="50"/>
      <c r="J1121" s="50" t="str">
        <f>IF(I1121="","",_xlfn.XLOOKUP(TRIM(I1121),'SkillMasterSkill ID'!$C:$C,'SkillMasterSkill ID'!$F:$F,"NOT FOUND",0))</f>
        <v/>
      </c>
      <c r="K1121" s="50"/>
      <c r="L1121" s="50"/>
    </row>
    <row r="1122" spans="1:12" x14ac:dyDescent="0.25">
      <c r="A112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22" s="46"/>
      <c r="C1122" s="46"/>
      <c r="D1122" s="46"/>
      <c r="E1122" s="46" t="str">
        <f>IF(I1122="","",_xlfn.XLOOKUP(TRIM(I1122),'SkillMasterSkill ID'!$C:$C,'SkillMasterSkill ID'!$D:$D,"NOT FOUND",0))</f>
        <v/>
      </c>
      <c r="F1122" s="50"/>
      <c r="G1122" s="50"/>
      <c r="H1122" s="51"/>
      <c r="I1122" s="50"/>
      <c r="J1122" s="50" t="str">
        <f>IF(I1122="","",_xlfn.XLOOKUP(TRIM(I1122),'SkillMasterSkill ID'!$C:$C,'SkillMasterSkill ID'!$F:$F,"NOT FOUND",0))</f>
        <v/>
      </c>
      <c r="K1122" s="50"/>
      <c r="L1122" s="50"/>
    </row>
    <row r="1123" spans="1:12" x14ac:dyDescent="0.25">
      <c r="A112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23" s="46"/>
      <c r="C1123" s="46"/>
      <c r="D1123" s="46"/>
      <c r="E1123" s="46" t="str">
        <f>IF(I1123="","",_xlfn.XLOOKUP(TRIM(I1123),'SkillMasterSkill ID'!$C:$C,'SkillMasterSkill ID'!$D:$D,"NOT FOUND",0))</f>
        <v/>
      </c>
      <c r="F1123" s="50"/>
      <c r="G1123" s="50"/>
      <c r="H1123" s="51"/>
      <c r="I1123" s="50"/>
      <c r="J1123" s="50" t="str">
        <f>IF(I1123="","",_xlfn.XLOOKUP(TRIM(I1123),'SkillMasterSkill ID'!$C:$C,'SkillMasterSkill ID'!$F:$F,"NOT FOUND",0))</f>
        <v/>
      </c>
      <c r="K1123" s="50"/>
      <c r="L1123" s="50"/>
    </row>
    <row r="1124" spans="1:12" x14ac:dyDescent="0.25">
      <c r="A112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24" s="46"/>
      <c r="C1124" s="46"/>
      <c r="D1124" s="46"/>
      <c r="E1124" s="46" t="str">
        <f>IF(I1124="","",_xlfn.XLOOKUP(TRIM(I1124),'SkillMasterSkill ID'!$C:$C,'SkillMasterSkill ID'!$D:$D,"NOT FOUND",0))</f>
        <v/>
      </c>
      <c r="F1124" s="50"/>
      <c r="G1124" s="50"/>
      <c r="H1124" s="51"/>
      <c r="I1124" s="50"/>
      <c r="J1124" s="50" t="str">
        <f>IF(I1124="","",_xlfn.XLOOKUP(TRIM(I1124),'SkillMasterSkill ID'!$C:$C,'SkillMasterSkill ID'!$F:$F,"NOT FOUND",0))</f>
        <v/>
      </c>
      <c r="K1124" s="50"/>
      <c r="L1124" s="50"/>
    </row>
    <row r="1125" spans="1:12" x14ac:dyDescent="0.25">
      <c r="A112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25" s="46"/>
      <c r="C1125" s="46"/>
      <c r="D1125" s="46"/>
      <c r="E1125" s="46" t="str">
        <f>IF(I1125="","",_xlfn.XLOOKUP(TRIM(I1125),'SkillMasterSkill ID'!$C:$C,'SkillMasterSkill ID'!$D:$D,"NOT FOUND",0))</f>
        <v/>
      </c>
      <c r="F1125" s="50"/>
      <c r="G1125" s="50"/>
      <c r="H1125" s="51"/>
      <c r="I1125" s="50"/>
      <c r="J1125" s="50" t="str">
        <f>IF(I1125="","",_xlfn.XLOOKUP(TRIM(I1125),'SkillMasterSkill ID'!$C:$C,'SkillMasterSkill ID'!$F:$F,"NOT FOUND",0))</f>
        <v/>
      </c>
      <c r="K1125" s="50"/>
      <c r="L1125" s="50"/>
    </row>
    <row r="1126" spans="1:12" x14ac:dyDescent="0.25">
      <c r="A112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26" s="46"/>
      <c r="C1126" s="46"/>
      <c r="D1126" s="46"/>
      <c r="E1126" s="46" t="str">
        <f>IF(I1126="","",_xlfn.XLOOKUP(TRIM(I1126),'SkillMasterSkill ID'!$C:$C,'SkillMasterSkill ID'!$D:$D,"NOT FOUND",0))</f>
        <v/>
      </c>
      <c r="F1126" s="50"/>
      <c r="G1126" s="50"/>
      <c r="H1126" s="51"/>
      <c r="I1126" s="50"/>
      <c r="J1126" s="50" t="str">
        <f>IF(I1126="","",_xlfn.XLOOKUP(TRIM(I1126),'SkillMasterSkill ID'!$C:$C,'SkillMasterSkill ID'!$F:$F,"NOT FOUND",0))</f>
        <v/>
      </c>
      <c r="K1126" s="50"/>
      <c r="L1126" s="50"/>
    </row>
    <row r="1127" spans="1:12" x14ac:dyDescent="0.25">
      <c r="A112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27" s="46"/>
      <c r="C1127" s="46"/>
      <c r="D1127" s="46"/>
      <c r="E1127" s="46" t="str">
        <f>IF(I1127="","",_xlfn.XLOOKUP(TRIM(I1127),'SkillMasterSkill ID'!$C:$C,'SkillMasterSkill ID'!$D:$D,"NOT FOUND",0))</f>
        <v/>
      </c>
      <c r="F1127" s="50"/>
      <c r="G1127" s="50"/>
      <c r="H1127" s="51"/>
      <c r="I1127" s="50"/>
      <c r="J1127" s="50" t="str">
        <f>IF(I1127="","",_xlfn.XLOOKUP(TRIM(I1127),'SkillMasterSkill ID'!$C:$C,'SkillMasterSkill ID'!$F:$F,"NOT FOUND",0))</f>
        <v/>
      </c>
      <c r="K1127" s="50"/>
      <c r="L1127" s="50"/>
    </row>
    <row r="1128" spans="1:12" x14ac:dyDescent="0.25">
      <c r="A112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28" s="46"/>
      <c r="C1128" s="46"/>
      <c r="D1128" s="46"/>
      <c r="E1128" s="46" t="str">
        <f>IF(I1128="","",_xlfn.XLOOKUP(TRIM(I1128),'SkillMasterSkill ID'!$C:$C,'SkillMasterSkill ID'!$D:$D,"NOT FOUND",0))</f>
        <v/>
      </c>
      <c r="F1128" s="50"/>
      <c r="G1128" s="50"/>
      <c r="H1128" s="51"/>
      <c r="I1128" s="50"/>
      <c r="J1128" s="50" t="str">
        <f>IF(I1128="","",_xlfn.XLOOKUP(TRIM(I1128),'SkillMasterSkill ID'!$C:$C,'SkillMasterSkill ID'!$F:$F,"NOT FOUND",0))</f>
        <v/>
      </c>
      <c r="K1128" s="50"/>
      <c r="L1128" s="50"/>
    </row>
    <row r="1129" spans="1:12" x14ac:dyDescent="0.25">
      <c r="A112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29" s="46"/>
      <c r="C1129" s="46"/>
      <c r="D1129" s="46"/>
      <c r="E1129" s="46" t="str">
        <f>IF(I1129="","",_xlfn.XLOOKUP(TRIM(I1129),'SkillMasterSkill ID'!$C:$C,'SkillMasterSkill ID'!$D:$D,"NOT FOUND",0))</f>
        <v/>
      </c>
      <c r="F1129" s="50"/>
      <c r="G1129" s="50"/>
      <c r="H1129" s="51"/>
      <c r="I1129" s="50"/>
      <c r="J1129" s="50" t="str">
        <f>IF(I1129="","",_xlfn.XLOOKUP(TRIM(I1129),'SkillMasterSkill ID'!$C:$C,'SkillMasterSkill ID'!$F:$F,"NOT FOUND",0))</f>
        <v/>
      </c>
      <c r="K1129" s="50"/>
      <c r="L1129" s="50"/>
    </row>
    <row r="1130" spans="1:12" x14ac:dyDescent="0.25">
      <c r="A113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30" s="46"/>
      <c r="C1130" s="46"/>
      <c r="D1130" s="46"/>
      <c r="E1130" s="46" t="str">
        <f>IF(I1130="","",_xlfn.XLOOKUP(TRIM(I1130),'SkillMasterSkill ID'!$C:$C,'SkillMasterSkill ID'!$D:$D,"NOT FOUND",0))</f>
        <v/>
      </c>
      <c r="F1130" s="50"/>
      <c r="G1130" s="50"/>
      <c r="H1130" s="51"/>
      <c r="I1130" s="50"/>
      <c r="J1130" s="50" t="str">
        <f>IF(I1130="","",_xlfn.XLOOKUP(TRIM(I1130),'SkillMasterSkill ID'!$C:$C,'SkillMasterSkill ID'!$F:$F,"NOT FOUND",0))</f>
        <v/>
      </c>
      <c r="K1130" s="50"/>
      <c r="L1130" s="50"/>
    </row>
    <row r="1131" spans="1:12" x14ac:dyDescent="0.25">
      <c r="A113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31" s="46"/>
      <c r="C1131" s="46"/>
      <c r="D1131" s="46"/>
      <c r="E1131" s="46" t="str">
        <f>IF(I1131="","",_xlfn.XLOOKUP(TRIM(I1131),'SkillMasterSkill ID'!$C:$C,'SkillMasterSkill ID'!$D:$D,"NOT FOUND",0))</f>
        <v/>
      </c>
      <c r="F1131" s="50"/>
      <c r="G1131" s="50"/>
      <c r="H1131" s="51"/>
      <c r="I1131" s="50"/>
      <c r="J1131" s="50" t="str">
        <f>IF(I1131="","",_xlfn.XLOOKUP(TRIM(I1131),'SkillMasterSkill ID'!$C:$C,'SkillMasterSkill ID'!$F:$F,"NOT FOUND",0))</f>
        <v/>
      </c>
      <c r="K1131" s="50"/>
      <c r="L1131" s="50"/>
    </row>
    <row r="1132" spans="1:12" x14ac:dyDescent="0.25">
      <c r="A113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32" s="46"/>
      <c r="C1132" s="46"/>
      <c r="D1132" s="46"/>
      <c r="E1132" s="46" t="str">
        <f>IF(I1132="","",_xlfn.XLOOKUP(TRIM(I1132),'SkillMasterSkill ID'!$C:$C,'SkillMasterSkill ID'!$D:$D,"NOT FOUND",0))</f>
        <v/>
      </c>
      <c r="F1132" s="50"/>
      <c r="G1132" s="50"/>
      <c r="H1132" s="51"/>
      <c r="I1132" s="50"/>
      <c r="J1132" s="50" t="str">
        <f>IF(I1132="","",_xlfn.XLOOKUP(TRIM(I1132),'SkillMasterSkill ID'!$C:$C,'SkillMasterSkill ID'!$F:$F,"NOT FOUND",0))</f>
        <v/>
      </c>
      <c r="K1132" s="50"/>
      <c r="L1132" s="50"/>
    </row>
    <row r="1133" spans="1:12" x14ac:dyDescent="0.25">
      <c r="A113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33" s="46"/>
      <c r="C1133" s="46"/>
      <c r="D1133" s="46"/>
      <c r="E1133" s="46" t="str">
        <f>IF(I1133="","",_xlfn.XLOOKUP(TRIM(I1133),'SkillMasterSkill ID'!$C:$C,'SkillMasterSkill ID'!$D:$D,"NOT FOUND",0))</f>
        <v/>
      </c>
      <c r="F1133" s="50"/>
      <c r="G1133" s="50"/>
      <c r="H1133" s="51"/>
      <c r="I1133" s="50"/>
      <c r="J1133" s="50" t="str">
        <f>IF(I1133="","",_xlfn.XLOOKUP(TRIM(I1133),'SkillMasterSkill ID'!$C:$C,'SkillMasterSkill ID'!$F:$F,"NOT FOUND",0))</f>
        <v/>
      </c>
      <c r="K1133" s="50"/>
      <c r="L1133" s="50"/>
    </row>
    <row r="1134" spans="1:12" x14ac:dyDescent="0.25">
      <c r="A113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34" s="46"/>
      <c r="C1134" s="46"/>
      <c r="D1134" s="46"/>
      <c r="E1134" s="46" t="str">
        <f>IF(I1134="","",_xlfn.XLOOKUP(TRIM(I1134),'SkillMasterSkill ID'!$C:$C,'SkillMasterSkill ID'!$D:$D,"NOT FOUND",0))</f>
        <v/>
      </c>
      <c r="F1134" s="50"/>
      <c r="G1134" s="50"/>
      <c r="H1134" s="51"/>
      <c r="I1134" s="50"/>
      <c r="J1134" s="50" t="str">
        <f>IF(I1134="","",_xlfn.XLOOKUP(TRIM(I1134),'SkillMasterSkill ID'!$C:$C,'SkillMasterSkill ID'!$F:$F,"NOT FOUND",0))</f>
        <v/>
      </c>
      <c r="K1134" s="50"/>
      <c r="L1134" s="50"/>
    </row>
    <row r="1135" spans="1:12" x14ac:dyDescent="0.25">
      <c r="A113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35" s="46"/>
      <c r="C1135" s="46"/>
      <c r="D1135" s="46"/>
      <c r="E1135" s="46" t="str">
        <f>IF(I1135="","",_xlfn.XLOOKUP(TRIM(I1135),'SkillMasterSkill ID'!$C:$C,'SkillMasterSkill ID'!$D:$D,"NOT FOUND",0))</f>
        <v/>
      </c>
      <c r="F1135" s="50"/>
      <c r="G1135" s="50"/>
      <c r="H1135" s="51"/>
      <c r="I1135" s="50"/>
      <c r="J1135" s="50" t="str">
        <f>IF(I1135="","",_xlfn.XLOOKUP(TRIM(I1135),'SkillMasterSkill ID'!$C:$C,'SkillMasterSkill ID'!$F:$F,"NOT FOUND",0))</f>
        <v/>
      </c>
      <c r="K1135" s="50"/>
      <c r="L1135" s="50"/>
    </row>
    <row r="1136" spans="1:12" x14ac:dyDescent="0.25">
      <c r="A113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36" s="46"/>
      <c r="C1136" s="46"/>
      <c r="D1136" s="46"/>
      <c r="E1136" s="46" t="str">
        <f>IF(I1136="","",_xlfn.XLOOKUP(TRIM(I1136),'SkillMasterSkill ID'!$C:$C,'SkillMasterSkill ID'!$D:$D,"NOT FOUND",0))</f>
        <v/>
      </c>
      <c r="F1136" s="50"/>
      <c r="G1136" s="50"/>
      <c r="H1136" s="51"/>
      <c r="I1136" s="50"/>
      <c r="J1136" s="50" t="str">
        <f>IF(I1136="","",_xlfn.XLOOKUP(TRIM(I1136),'SkillMasterSkill ID'!$C:$C,'SkillMasterSkill ID'!$F:$F,"NOT FOUND",0))</f>
        <v/>
      </c>
      <c r="K1136" s="50"/>
      <c r="L1136" s="50"/>
    </row>
    <row r="1137" spans="1:12" x14ac:dyDescent="0.25">
      <c r="A113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37" s="46"/>
      <c r="C1137" s="46"/>
      <c r="D1137" s="46"/>
      <c r="E1137" s="46" t="str">
        <f>IF(I1137="","",_xlfn.XLOOKUP(TRIM(I1137),'SkillMasterSkill ID'!$C:$C,'SkillMasterSkill ID'!$D:$D,"NOT FOUND",0))</f>
        <v/>
      </c>
      <c r="F1137" s="50"/>
      <c r="G1137" s="50"/>
      <c r="H1137" s="51"/>
      <c r="I1137" s="50"/>
      <c r="J1137" s="50" t="str">
        <f>IF(I1137="","",_xlfn.XLOOKUP(TRIM(I1137),'SkillMasterSkill ID'!$C:$C,'SkillMasterSkill ID'!$F:$F,"NOT FOUND",0))</f>
        <v/>
      </c>
      <c r="K1137" s="50"/>
      <c r="L1137" s="50"/>
    </row>
    <row r="1138" spans="1:12" x14ac:dyDescent="0.25">
      <c r="A113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38" s="46"/>
      <c r="C1138" s="46"/>
      <c r="D1138" s="46"/>
      <c r="E1138" s="46" t="str">
        <f>IF(I1138="","",_xlfn.XLOOKUP(TRIM(I1138),'SkillMasterSkill ID'!$C:$C,'SkillMasterSkill ID'!$D:$D,"NOT FOUND",0))</f>
        <v/>
      </c>
      <c r="F1138" s="50"/>
      <c r="G1138" s="50"/>
      <c r="H1138" s="51"/>
      <c r="I1138" s="50"/>
      <c r="J1138" s="50" t="str">
        <f>IF(I1138="","",_xlfn.XLOOKUP(TRIM(I1138),'SkillMasterSkill ID'!$C:$C,'SkillMasterSkill ID'!$F:$F,"NOT FOUND",0))</f>
        <v/>
      </c>
      <c r="K1138" s="50"/>
      <c r="L1138" s="50"/>
    </row>
    <row r="1139" spans="1:12" x14ac:dyDescent="0.25">
      <c r="A113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39" s="46"/>
      <c r="C1139" s="46"/>
      <c r="D1139" s="46"/>
      <c r="E1139" s="46" t="str">
        <f>IF(I1139="","",_xlfn.XLOOKUP(TRIM(I1139),'SkillMasterSkill ID'!$C:$C,'SkillMasterSkill ID'!$D:$D,"NOT FOUND",0))</f>
        <v/>
      </c>
      <c r="F1139" s="50"/>
      <c r="G1139" s="50"/>
      <c r="H1139" s="51"/>
      <c r="I1139" s="50"/>
      <c r="J1139" s="50" t="str">
        <f>IF(I1139="","",_xlfn.XLOOKUP(TRIM(I1139),'SkillMasterSkill ID'!$C:$C,'SkillMasterSkill ID'!$F:$F,"NOT FOUND",0))</f>
        <v/>
      </c>
      <c r="K1139" s="50"/>
      <c r="L1139" s="50"/>
    </row>
    <row r="1140" spans="1:12" x14ac:dyDescent="0.25">
      <c r="A114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40" s="46"/>
      <c r="C1140" s="46"/>
      <c r="D1140" s="46"/>
      <c r="E1140" s="46" t="str">
        <f>IF(I1140="","",_xlfn.XLOOKUP(TRIM(I1140),'SkillMasterSkill ID'!$C:$C,'SkillMasterSkill ID'!$D:$D,"NOT FOUND",0))</f>
        <v/>
      </c>
      <c r="F1140" s="50"/>
      <c r="G1140" s="50"/>
      <c r="H1140" s="51"/>
      <c r="I1140" s="50"/>
      <c r="J1140" s="50" t="str">
        <f>IF(I1140="","",_xlfn.XLOOKUP(TRIM(I1140),'SkillMasterSkill ID'!$C:$C,'SkillMasterSkill ID'!$F:$F,"NOT FOUND",0))</f>
        <v/>
      </c>
      <c r="K1140" s="50"/>
      <c r="L1140" s="50"/>
    </row>
    <row r="1141" spans="1:12" x14ac:dyDescent="0.25">
      <c r="A114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41" s="46"/>
      <c r="C1141" s="46"/>
      <c r="D1141" s="46"/>
      <c r="E1141" s="46" t="str">
        <f>IF(I1141="","",_xlfn.XLOOKUP(TRIM(I1141),'SkillMasterSkill ID'!$C:$C,'SkillMasterSkill ID'!$D:$D,"NOT FOUND",0))</f>
        <v/>
      </c>
      <c r="F1141" s="50"/>
      <c r="G1141" s="50"/>
      <c r="H1141" s="51"/>
      <c r="I1141" s="50"/>
      <c r="J1141" s="50" t="str">
        <f>IF(I1141="","",_xlfn.XLOOKUP(TRIM(I1141),'SkillMasterSkill ID'!$C:$C,'SkillMasterSkill ID'!$F:$F,"NOT FOUND",0))</f>
        <v/>
      </c>
      <c r="K1141" s="50"/>
      <c r="L1141" s="50"/>
    </row>
    <row r="1142" spans="1:12" x14ac:dyDescent="0.25">
      <c r="A114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42" s="46"/>
      <c r="C1142" s="46"/>
      <c r="D1142" s="46"/>
      <c r="E1142" s="46" t="str">
        <f>IF(I1142="","",_xlfn.XLOOKUP(TRIM(I1142),'SkillMasterSkill ID'!$C:$C,'SkillMasterSkill ID'!$D:$D,"NOT FOUND",0))</f>
        <v/>
      </c>
      <c r="F1142" s="50"/>
      <c r="G1142" s="50"/>
      <c r="H1142" s="51"/>
      <c r="I1142" s="50"/>
      <c r="J1142" s="50" t="str">
        <f>IF(I1142="","",_xlfn.XLOOKUP(TRIM(I1142),'SkillMasterSkill ID'!$C:$C,'SkillMasterSkill ID'!$F:$F,"NOT FOUND",0))</f>
        <v/>
      </c>
      <c r="K1142" s="50"/>
      <c r="L1142" s="50"/>
    </row>
    <row r="1143" spans="1:12" x14ac:dyDescent="0.25">
      <c r="A114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43" s="46"/>
      <c r="C1143" s="46"/>
      <c r="D1143" s="46"/>
      <c r="E1143" s="46" t="str">
        <f>IF(I1143="","",_xlfn.XLOOKUP(TRIM(I1143),'SkillMasterSkill ID'!$C:$C,'SkillMasterSkill ID'!$D:$D,"NOT FOUND",0))</f>
        <v/>
      </c>
      <c r="F1143" s="50"/>
      <c r="G1143" s="50"/>
      <c r="H1143" s="51"/>
      <c r="I1143" s="50"/>
      <c r="J1143" s="50" t="str">
        <f>IF(I1143="","",_xlfn.XLOOKUP(TRIM(I1143),'SkillMasterSkill ID'!$C:$C,'SkillMasterSkill ID'!$F:$F,"NOT FOUND",0))</f>
        <v/>
      </c>
      <c r="K1143" s="50"/>
      <c r="L1143" s="50"/>
    </row>
    <row r="1144" spans="1:12" x14ac:dyDescent="0.25">
      <c r="A114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44" s="46"/>
      <c r="C1144" s="46"/>
      <c r="D1144" s="46"/>
      <c r="E1144" s="46" t="str">
        <f>IF(I1144="","",_xlfn.XLOOKUP(TRIM(I1144),'SkillMasterSkill ID'!$C:$C,'SkillMasterSkill ID'!$D:$D,"NOT FOUND",0))</f>
        <v/>
      </c>
      <c r="F1144" s="50"/>
      <c r="G1144" s="50"/>
      <c r="H1144" s="51"/>
      <c r="I1144" s="50"/>
      <c r="J1144" s="50" t="str">
        <f>IF(I1144="","",_xlfn.XLOOKUP(TRIM(I1144),'SkillMasterSkill ID'!$C:$C,'SkillMasterSkill ID'!$F:$F,"NOT FOUND",0))</f>
        <v/>
      </c>
      <c r="K1144" s="50"/>
      <c r="L1144" s="50"/>
    </row>
    <row r="1145" spans="1:12" x14ac:dyDescent="0.25">
      <c r="A114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45" s="46"/>
      <c r="C1145" s="46"/>
      <c r="D1145" s="46"/>
      <c r="E1145" s="46" t="str">
        <f>IF(I1145="","",_xlfn.XLOOKUP(TRIM(I1145),'SkillMasterSkill ID'!$C:$C,'SkillMasterSkill ID'!$D:$D,"NOT FOUND",0))</f>
        <v/>
      </c>
      <c r="F1145" s="50"/>
      <c r="G1145" s="50"/>
      <c r="H1145" s="51"/>
      <c r="I1145" s="50"/>
      <c r="J1145" s="50" t="str">
        <f>IF(I1145="","",_xlfn.XLOOKUP(TRIM(I1145),'SkillMasterSkill ID'!$C:$C,'SkillMasterSkill ID'!$F:$F,"NOT FOUND",0))</f>
        <v/>
      </c>
      <c r="K1145" s="50"/>
      <c r="L1145" s="50"/>
    </row>
    <row r="1146" spans="1:12" x14ac:dyDescent="0.25">
      <c r="A114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46" s="46"/>
      <c r="C1146" s="46"/>
      <c r="D1146" s="46"/>
      <c r="E1146" s="46" t="str">
        <f>IF(I1146="","",_xlfn.XLOOKUP(TRIM(I1146),'SkillMasterSkill ID'!$C:$C,'SkillMasterSkill ID'!$D:$D,"NOT FOUND",0))</f>
        <v/>
      </c>
      <c r="F1146" s="50"/>
      <c r="G1146" s="50"/>
      <c r="H1146" s="51"/>
      <c r="I1146" s="50"/>
      <c r="J1146" s="50" t="str">
        <f>IF(I1146="","",_xlfn.XLOOKUP(TRIM(I1146),'SkillMasterSkill ID'!$C:$C,'SkillMasterSkill ID'!$F:$F,"NOT FOUND",0))</f>
        <v/>
      </c>
      <c r="K1146" s="50"/>
      <c r="L1146" s="50"/>
    </row>
    <row r="1147" spans="1:12" x14ac:dyDescent="0.25">
      <c r="A114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47" s="46"/>
      <c r="C1147" s="46"/>
      <c r="D1147" s="46"/>
      <c r="E1147" s="46" t="str">
        <f>IF(I1147="","",_xlfn.XLOOKUP(TRIM(I1147),'SkillMasterSkill ID'!$C:$C,'SkillMasterSkill ID'!$D:$D,"NOT FOUND",0))</f>
        <v/>
      </c>
      <c r="F1147" s="50"/>
      <c r="G1147" s="50"/>
      <c r="H1147" s="51"/>
      <c r="I1147" s="50"/>
      <c r="J1147" s="50" t="str">
        <f>IF(I1147="","",_xlfn.XLOOKUP(TRIM(I1147),'SkillMasterSkill ID'!$C:$C,'SkillMasterSkill ID'!$F:$F,"NOT FOUND",0))</f>
        <v/>
      </c>
      <c r="K1147" s="50"/>
      <c r="L1147" s="50"/>
    </row>
    <row r="1148" spans="1:12" x14ac:dyDescent="0.25">
      <c r="A114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48" s="46"/>
      <c r="C1148" s="46"/>
      <c r="D1148" s="46"/>
      <c r="E1148" s="46" t="str">
        <f>IF(I1148="","",_xlfn.XLOOKUP(TRIM(I1148),'SkillMasterSkill ID'!$C:$C,'SkillMasterSkill ID'!$D:$D,"NOT FOUND",0))</f>
        <v/>
      </c>
      <c r="F1148" s="50"/>
      <c r="G1148" s="50"/>
      <c r="H1148" s="51"/>
      <c r="I1148" s="50"/>
      <c r="J1148" s="50" t="str">
        <f>IF(I1148="","",_xlfn.XLOOKUP(TRIM(I1148),'SkillMasterSkill ID'!$C:$C,'SkillMasterSkill ID'!$F:$F,"NOT FOUND",0))</f>
        <v/>
      </c>
      <c r="K1148" s="50"/>
      <c r="L1148" s="50"/>
    </row>
    <row r="1149" spans="1:12" x14ac:dyDescent="0.25">
      <c r="A114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49" s="46"/>
      <c r="C1149" s="46"/>
      <c r="D1149" s="46"/>
      <c r="E1149" s="46" t="str">
        <f>IF(I1149="","",_xlfn.XLOOKUP(TRIM(I1149),'SkillMasterSkill ID'!$C:$C,'SkillMasterSkill ID'!$D:$D,"NOT FOUND",0))</f>
        <v/>
      </c>
      <c r="F1149" s="50"/>
      <c r="G1149" s="50"/>
      <c r="H1149" s="51"/>
      <c r="I1149" s="50"/>
      <c r="J1149" s="50" t="str">
        <f>IF(I1149="","",_xlfn.XLOOKUP(TRIM(I1149),'SkillMasterSkill ID'!$C:$C,'SkillMasterSkill ID'!$F:$F,"NOT FOUND",0))</f>
        <v/>
      </c>
      <c r="K1149" s="50"/>
      <c r="L1149" s="50"/>
    </row>
    <row r="1150" spans="1:12" x14ac:dyDescent="0.25">
      <c r="A115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50" s="46"/>
      <c r="C1150" s="46"/>
      <c r="D1150" s="46"/>
      <c r="E1150" s="46" t="str">
        <f>IF(I1150="","",_xlfn.XLOOKUP(TRIM(I1150),'SkillMasterSkill ID'!$C:$C,'SkillMasterSkill ID'!$D:$D,"NOT FOUND",0))</f>
        <v/>
      </c>
      <c r="F1150" s="50"/>
      <c r="G1150" s="50"/>
      <c r="H1150" s="51"/>
      <c r="I1150" s="50"/>
      <c r="J1150" s="50" t="str">
        <f>IF(I1150="","",_xlfn.XLOOKUP(TRIM(I1150),'SkillMasterSkill ID'!$C:$C,'SkillMasterSkill ID'!$F:$F,"NOT FOUND",0))</f>
        <v/>
      </c>
      <c r="K1150" s="50"/>
      <c r="L1150" s="50"/>
    </row>
    <row r="1151" spans="1:12" x14ac:dyDescent="0.25">
      <c r="A115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51" s="46"/>
      <c r="C1151" s="46"/>
      <c r="D1151" s="46"/>
      <c r="E1151" s="46" t="str">
        <f>IF(I1151="","",_xlfn.XLOOKUP(TRIM(I1151),'SkillMasterSkill ID'!$C:$C,'SkillMasterSkill ID'!$D:$D,"NOT FOUND",0))</f>
        <v/>
      </c>
      <c r="F1151" s="50"/>
      <c r="G1151" s="50"/>
      <c r="H1151" s="51"/>
      <c r="I1151" s="50"/>
      <c r="J1151" s="50" t="str">
        <f>IF(I1151="","",_xlfn.XLOOKUP(TRIM(I1151),'SkillMasterSkill ID'!$C:$C,'SkillMasterSkill ID'!$F:$F,"NOT FOUND",0))</f>
        <v/>
      </c>
      <c r="K1151" s="50"/>
      <c r="L1151" s="50"/>
    </row>
    <row r="1152" spans="1:12" x14ac:dyDescent="0.25">
      <c r="A115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52" s="46"/>
      <c r="C1152" s="46"/>
      <c r="D1152" s="46"/>
      <c r="E1152" s="46" t="str">
        <f>IF(I1152="","",_xlfn.XLOOKUP(TRIM(I1152),'SkillMasterSkill ID'!$C:$C,'SkillMasterSkill ID'!$D:$D,"NOT FOUND",0))</f>
        <v/>
      </c>
      <c r="F1152" s="50"/>
      <c r="G1152" s="50"/>
      <c r="H1152" s="51"/>
      <c r="I1152" s="50"/>
      <c r="J1152" s="50" t="str">
        <f>IF(I1152="","",_xlfn.XLOOKUP(TRIM(I1152),'SkillMasterSkill ID'!$C:$C,'SkillMasterSkill ID'!$F:$F,"NOT FOUND",0))</f>
        <v/>
      </c>
      <c r="K1152" s="50"/>
      <c r="L1152" s="50"/>
    </row>
    <row r="1153" spans="1:12" x14ac:dyDescent="0.25">
      <c r="A115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53" s="46"/>
      <c r="C1153" s="46"/>
      <c r="D1153" s="46"/>
      <c r="E1153" s="46" t="str">
        <f>IF(I1153="","",_xlfn.XLOOKUP(TRIM(I1153),'SkillMasterSkill ID'!$C:$C,'SkillMasterSkill ID'!$D:$D,"NOT FOUND",0))</f>
        <v/>
      </c>
      <c r="F1153" s="50"/>
      <c r="G1153" s="50"/>
      <c r="H1153" s="51"/>
      <c r="I1153" s="50"/>
      <c r="J1153" s="50" t="str">
        <f>IF(I1153="","",_xlfn.XLOOKUP(TRIM(I1153),'SkillMasterSkill ID'!$C:$C,'SkillMasterSkill ID'!$F:$F,"NOT FOUND",0))</f>
        <v/>
      </c>
      <c r="K1153" s="50"/>
      <c r="L1153" s="50"/>
    </row>
    <row r="1154" spans="1:12" x14ac:dyDescent="0.25">
      <c r="A115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54" s="46"/>
      <c r="C1154" s="46"/>
      <c r="D1154" s="46"/>
      <c r="E1154" s="46" t="str">
        <f>IF(I1154="","",_xlfn.XLOOKUP(TRIM(I1154),'SkillMasterSkill ID'!$C:$C,'SkillMasterSkill ID'!$D:$D,"NOT FOUND",0))</f>
        <v/>
      </c>
      <c r="F1154" s="50"/>
      <c r="G1154" s="50"/>
      <c r="H1154" s="51"/>
      <c r="I1154" s="50"/>
      <c r="J1154" s="50" t="str">
        <f>IF(I1154="","",_xlfn.XLOOKUP(TRIM(I1154),'SkillMasterSkill ID'!$C:$C,'SkillMasterSkill ID'!$F:$F,"NOT FOUND",0))</f>
        <v/>
      </c>
      <c r="K1154" s="50"/>
      <c r="L1154" s="50"/>
    </row>
    <row r="1155" spans="1:12" x14ac:dyDescent="0.25">
      <c r="A115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55" s="46"/>
      <c r="C1155" s="46"/>
      <c r="D1155" s="46"/>
      <c r="E1155" s="46" t="str">
        <f>IF(I1155="","",_xlfn.XLOOKUP(TRIM(I1155),'SkillMasterSkill ID'!$C:$C,'SkillMasterSkill ID'!$D:$D,"NOT FOUND",0))</f>
        <v/>
      </c>
      <c r="F1155" s="50"/>
      <c r="G1155" s="50"/>
      <c r="H1155" s="51"/>
      <c r="I1155" s="50"/>
      <c r="J1155" s="50" t="str">
        <f>IF(I1155="","",_xlfn.XLOOKUP(TRIM(I1155),'SkillMasterSkill ID'!$C:$C,'SkillMasterSkill ID'!$F:$F,"NOT FOUND",0))</f>
        <v/>
      </c>
      <c r="K1155" s="50"/>
      <c r="L1155" s="50"/>
    </row>
    <row r="1156" spans="1:12" x14ac:dyDescent="0.25">
      <c r="A115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56" s="46"/>
      <c r="C1156" s="46"/>
      <c r="D1156" s="46"/>
      <c r="E1156" s="46" t="str">
        <f>IF(I1156="","",_xlfn.XLOOKUP(TRIM(I1156),'SkillMasterSkill ID'!$C:$C,'SkillMasterSkill ID'!$D:$D,"NOT FOUND",0))</f>
        <v/>
      </c>
      <c r="F1156" s="50"/>
      <c r="G1156" s="50"/>
      <c r="H1156" s="51"/>
      <c r="I1156" s="50"/>
      <c r="J1156" s="50" t="str">
        <f>IF(I1156="","",_xlfn.XLOOKUP(TRIM(I1156),'SkillMasterSkill ID'!$C:$C,'SkillMasterSkill ID'!$F:$F,"NOT FOUND",0))</f>
        <v/>
      </c>
      <c r="K1156" s="50"/>
      <c r="L1156" s="50"/>
    </row>
    <row r="1157" spans="1:12" x14ac:dyDescent="0.25">
      <c r="A115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57" s="46"/>
      <c r="C1157" s="46"/>
      <c r="D1157" s="46"/>
      <c r="E1157" s="46" t="str">
        <f>IF(I1157="","",_xlfn.XLOOKUP(TRIM(I1157),'SkillMasterSkill ID'!$C:$C,'SkillMasterSkill ID'!$D:$D,"NOT FOUND",0))</f>
        <v/>
      </c>
      <c r="F1157" s="50"/>
      <c r="G1157" s="50"/>
      <c r="H1157" s="51"/>
      <c r="I1157" s="50"/>
      <c r="J1157" s="50" t="str">
        <f>IF(I1157="","",_xlfn.XLOOKUP(TRIM(I1157),'SkillMasterSkill ID'!$C:$C,'SkillMasterSkill ID'!$F:$F,"NOT FOUND",0))</f>
        <v/>
      </c>
      <c r="K1157" s="50"/>
      <c r="L1157" s="50"/>
    </row>
    <row r="1158" spans="1:12" x14ac:dyDescent="0.25">
      <c r="A115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58" s="46"/>
      <c r="C1158" s="46"/>
      <c r="D1158" s="46"/>
      <c r="E1158" s="46" t="str">
        <f>IF(I1158="","",_xlfn.XLOOKUP(TRIM(I1158),'SkillMasterSkill ID'!$C:$C,'SkillMasterSkill ID'!$D:$D,"NOT FOUND",0))</f>
        <v/>
      </c>
      <c r="F1158" s="50"/>
      <c r="G1158" s="50"/>
      <c r="H1158" s="51"/>
      <c r="I1158" s="50"/>
      <c r="J1158" s="50" t="str">
        <f>IF(I1158="","",_xlfn.XLOOKUP(TRIM(I1158),'SkillMasterSkill ID'!$C:$C,'SkillMasterSkill ID'!$F:$F,"NOT FOUND",0))</f>
        <v/>
      </c>
      <c r="K1158" s="50"/>
      <c r="L1158" s="50"/>
    </row>
    <row r="1159" spans="1:12" x14ac:dyDescent="0.25">
      <c r="A115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59" s="46"/>
      <c r="C1159" s="46"/>
      <c r="D1159" s="46"/>
      <c r="E1159" s="46" t="str">
        <f>IF(I1159="","",_xlfn.XLOOKUP(TRIM(I1159),'SkillMasterSkill ID'!$C:$C,'SkillMasterSkill ID'!$D:$D,"NOT FOUND",0))</f>
        <v/>
      </c>
      <c r="F1159" s="50"/>
      <c r="G1159" s="50"/>
      <c r="H1159" s="51"/>
      <c r="I1159" s="50"/>
      <c r="J1159" s="50" t="str">
        <f>IF(I1159="","",_xlfn.XLOOKUP(TRIM(I1159),'SkillMasterSkill ID'!$C:$C,'SkillMasterSkill ID'!$F:$F,"NOT FOUND",0))</f>
        <v/>
      </c>
      <c r="K1159" s="50"/>
      <c r="L1159" s="50"/>
    </row>
    <row r="1160" spans="1:12" x14ac:dyDescent="0.25">
      <c r="A116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60" s="46"/>
      <c r="C1160" s="46"/>
      <c r="D1160" s="46"/>
      <c r="E1160" s="46" t="str">
        <f>IF(I1160="","",_xlfn.XLOOKUP(TRIM(I1160),'SkillMasterSkill ID'!$C:$C,'SkillMasterSkill ID'!$D:$D,"NOT FOUND",0))</f>
        <v/>
      </c>
      <c r="F1160" s="50"/>
      <c r="G1160" s="50"/>
      <c r="H1160" s="51"/>
      <c r="I1160" s="50"/>
      <c r="J1160" s="50" t="str">
        <f>IF(I1160="","",_xlfn.XLOOKUP(TRIM(I1160),'SkillMasterSkill ID'!$C:$C,'SkillMasterSkill ID'!$F:$F,"NOT FOUND",0))</f>
        <v/>
      </c>
      <c r="K1160" s="50"/>
      <c r="L1160" s="50"/>
    </row>
    <row r="1161" spans="1:12" x14ac:dyDescent="0.25">
      <c r="A116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61" s="46"/>
      <c r="C1161" s="46"/>
      <c r="D1161" s="46"/>
      <c r="E1161" s="46" t="str">
        <f>IF(I1161="","",_xlfn.XLOOKUP(TRIM(I1161),'SkillMasterSkill ID'!$C:$C,'SkillMasterSkill ID'!$D:$D,"NOT FOUND",0))</f>
        <v/>
      </c>
      <c r="F1161" s="50"/>
      <c r="G1161" s="50"/>
      <c r="H1161" s="51"/>
      <c r="I1161" s="50"/>
      <c r="J1161" s="50" t="str">
        <f>IF(I1161="","",_xlfn.XLOOKUP(TRIM(I1161),'SkillMasterSkill ID'!$C:$C,'SkillMasterSkill ID'!$F:$F,"NOT FOUND",0))</f>
        <v/>
      </c>
      <c r="K1161" s="50"/>
      <c r="L1161" s="50"/>
    </row>
    <row r="1162" spans="1:12" x14ac:dyDescent="0.25">
      <c r="A116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62" s="46"/>
      <c r="C1162" s="46"/>
      <c r="D1162" s="46"/>
      <c r="E1162" s="46" t="str">
        <f>IF(I1162="","",_xlfn.XLOOKUP(TRIM(I1162),'SkillMasterSkill ID'!$C:$C,'SkillMasterSkill ID'!$D:$D,"NOT FOUND",0))</f>
        <v/>
      </c>
      <c r="F1162" s="50"/>
      <c r="G1162" s="50"/>
      <c r="H1162" s="51"/>
      <c r="I1162" s="50"/>
      <c r="J1162" s="50" t="str">
        <f>IF(I1162="","",_xlfn.XLOOKUP(TRIM(I1162),'SkillMasterSkill ID'!$C:$C,'SkillMasterSkill ID'!$F:$F,"NOT FOUND",0))</f>
        <v/>
      </c>
      <c r="K1162" s="50"/>
      <c r="L1162" s="50"/>
    </row>
    <row r="1163" spans="1:12" x14ac:dyDescent="0.25">
      <c r="A116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63" s="46"/>
      <c r="C1163" s="46"/>
      <c r="D1163" s="46"/>
      <c r="E1163" s="46" t="str">
        <f>IF(I1163="","",_xlfn.XLOOKUP(TRIM(I1163),'SkillMasterSkill ID'!$C:$C,'SkillMasterSkill ID'!$D:$D,"NOT FOUND",0))</f>
        <v/>
      </c>
      <c r="F1163" s="50"/>
      <c r="G1163" s="50"/>
      <c r="H1163" s="51"/>
      <c r="I1163" s="50"/>
      <c r="J1163" s="50" t="str">
        <f>IF(I1163="","",_xlfn.XLOOKUP(TRIM(I1163),'SkillMasterSkill ID'!$C:$C,'SkillMasterSkill ID'!$F:$F,"NOT FOUND",0))</f>
        <v/>
      </c>
      <c r="K1163" s="50"/>
      <c r="L1163" s="50"/>
    </row>
    <row r="1164" spans="1:12" x14ac:dyDescent="0.25">
      <c r="A116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64" s="46"/>
      <c r="C1164" s="46"/>
      <c r="D1164" s="46"/>
      <c r="E1164" s="46" t="str">
        <f>IF(I1164="","",_xlfn.XLOOKUP(TRIM(I1164),'SkillMasterSkill ID'!$C:$C,'SkillMasterSkill ID'!$D:$D,"NOT FOUND",0))</f>
        <v/>
      </c>
      <c r="F1164" s="50"/>
      <c r="G1164" s="50"/>
      <c r="H1164" s="51"/>
      <c r="I1164" s="50"/>
      <c r="J1164" s="50" t="str">
        <f>IF(I1164="","",_xlfn.XLOOKUP(TRIM(I1164),'SkillMasterSkill ID'!$C:$C,'SkillMasterSkill ID'!$F:$F,"NOT FOUND",0))</f>
        <v/>
      </c>
      <c r="K1164" s="50"/>
      <c r="L1164" s="50"/>
    </row>
    <row r="1165" spans="1:12" x14ac:dyDescent="0.25">
      <c r="A116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65" s="46"/>
      <c r="C1165" s="46"/>
      <c r="D1165" s="46"/>
      <c r="E1165" s="46" t="str">
        <f>IF(I1165="","",_xlfn.XLOOKUP(TRIM(I1165),'SkillMasterSkill ID'!$C:$C,'SkillMasterSkill ID'!$D:$D,"NOT FOUND",0))</f>
        <v/>
      </c>
      <c r="F1165" s="50"/>
      <c r="G1165" s="50"/>
      <c r="H1165" s="51"/>
      <c r="I1165" s="50"/>
      <c r="J1165" s="50" t="str">
        <f>IF(I1165="","",_xlfn.XLOOKUP(TRIM(I1165),'SkillMasterSkill ID'!$C:$C,'SkillMasterSkill ID'!$F:$F,"NOT FOUND",0))</f>
        <v/>
      </c>
      <c r="K1165" s="50"/>
      <c r="L1165" s="50"/>
    </row>
    <row r="1166" spans="1:12" x14ac:dyDescent="0.25">
      <c r="A116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66" s="46"/>
      <c r="C1166" s="46"/>
      <c r="D1166" s="46"/>
      <c r="E1166" s="46" t="str">
        <f>IF(I1166="","",_xlfn.XLOOKUP(TRIM(I1166),'SkillMasterSkill ID'!$C:$C,'SkillMasterSkill ID'!$D:$D,"NOT FOUND",0))</f>
        <v/>
      </c>
      <c r="F1166" s="50"/>
      <c r="G1166" s="50"/>
      <c r="H1166" s="51"/>
      <c r="I1166" s="50"/>
      <c r="J1166" s="50" t="str">
        <f>IF(I1166="","",_xlfn.XLOOKUP(TRIM(I1166),'SkillMasterSkill ID'!$C:$C,'SkillMasterSkill ID'!$F:$F,"NOT FOUND",0))</f>
        <v/>
      </c>
      <c r="K1166" s="50"/>
      <c r="L1166" s="50"/>
    </row>
    <row r="1167" spans="1:12" x14ac:dyDescent="0.25">
      <c r="A116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67" s="46"/>
      <c r="C1167" s="46"/>
      <c r="D1167" s="46"/>
      <c r="E1167" s="46" t="str">
        <f>IF(I1167="","",_xlfn.XLOOKUP(TRIM(I1167),'SkillMasterSkill ID'!$C:$C,'SkillMasterSkill ID'!$D:$D,"NOT FOUND",0))</f>
        <v/>
      </c>
      <c r="F1167" s="50"/>
      <c r="G1167" s="50"/>
      <c r="H1167" s="51"/>
      <c r="I1167" s="50"/>
      <c r="J1167" s="50" t="str">
        <f>IF(I1167="","",_xlfn.XLOOKUP(TRIM(I1167),'SkillMasterSkill ID'!$C:$C,'SkillMasterSkill ID'!$F:$F,"NOT FOUND",0))</f>
        <v/>
      </c>
      <c r="K1167" s="50"/>
      <c r="L1167" s="50"/>
    </row>
    <row r="1168" spans="1:12" x14ac:dyDescent="0.25">
      <c r="A116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68" s="46"/>
      <c r="C1168" s="46"/>
      <c r="D1168" s="46"/>
      <c r="E1168" s="46" t="str">
        <f>IF(I1168="","",_xlfn.XLOOKUP(TRIM(I1168),'SkillMasterSkill ID'!$C:$C,'SkillMasterSkill ID'!$D:$D,"NOT FOUND",0))</f>
        <v/>
      </c>
      <c r="F1168" s="50"/>
      <c r="G1168" s="50"/>
      <c r="H1168" s="51"/>
      <c r="I1168" s="50"/>
      <c r="J1168" s="50" t="str">
        <f>IF(I1168="","",_xlfn.XLOOKUP(TRIM(I1168),'SkillMasterSkill ID'!$C:$C,'SkillMasterSkill ID'!$F:$F,"NOT FOUND",0))</f>
        <v/>
      </c>
      <c r="K1168" s="50"/>
      <c r="L1168" s="50"/>
    </row>
    <row r="1169" spans="1:12" x14ac:dyDescent="0.25">
      <c r="A116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69" s="46"/>
      <c r="C1169" s="46"/>
      <c r="D1169" s="46"/>
      <c r="E1169" s="46" t="str">
        <f>IF(I1169="","",_xlfn.XLOOKUP(TRIM(I1169),'SkillMasterSkill ID'!$C:$C,'SkillMasterSkill ID'!$D:$D,"NOT FOUND",0))</f>
        <v/>
      </c>
      <c r="F1169" s="50"/>
      <c r="G1169" s="50"/>
      <c r="H1169" s="51"/>
      <c r="I1169" s="50"/>
      <c r="J1169" s="50" t="str">
        <f>IF(I1169="","",_xlfn.XLOOKUP(TRIM(I1169),'SkillMasterSkill ID'!$C:$C,'SkillMasterSkill ID'!$F:$F,"NOT FOUND",0))</f>
        <v/>
      </c>
      <c r="K1169" s="50"/>
      <c r="L1169" s="50"/>
    </row>
    <row r="1170" spans="1:12" x14ac:dyDescent="0.25">
      <c r="A117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70" s="46"/>
      <c r="C1170" s="46"/>
      <c r="D1170" s="46"/>
      <c r="E1170" s="46" t="str">
        <f>IF(I1170="","",_xlfn.XLOOKUP(TRIM(I1170),'SkillMasterSkill ID'!$C:$C,'SkillMasterSkill ID'!$D:$D,"NOT FOUND",0))</f>
        <v/>
      </c>
      <c r="F1170" s="50"/>
      <c r="G1170" s="50"/>
      <c r="H1170" s="51"/>
      <c r="I1170" s="50"/>
      <c r="J1170" s="50" t="str">
        <f>IF(I1170="","",_xlfn.XLOOKUP(TRIM(I1170),'SkillMasterSkill ID'!$C:$C,'SkillMasterSkill ID'!$F:$F,"NOT FOUND",0))</f>
        <v/>
      </c>
      <c r="K1170" s="50"/>
      <c r="L1170" s="50"/>
    </row>
    <row r="1171" spans="1:12" x14ac:dyDescent="0.25">
      <c r="A117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71" s="46"/>
      <c r="C1171" s="46"/>
      <c r="D1171" s="46"/>
      <c r="E1171" s="46" t="str">
        <f>IF(I1171="","",_xlfn.XLOOKUP(TRIM(I1171),'SkillMasterSkill ID'!$C:$C,'SkillMasterSkill ID'!$D:$D,"NOT FOUND",0))</f>
        <v/>
      </c>
      <c r="F1171" s="50"/>
      <c r="G1171" s="50"/>
      <c r="H1171" s="51"/>
      <c r="I1171" s="50"/>
      <c r="J1171" s="50" t="str">
        <f>IF(I1171="","",_xlfn.XLOOKUP(TRIM(I1171),'SkillMasterSkill ID'!$C:$C,'SkillMasterSkill ID'!$F:$F,"NOT FOUND",0))</f>
        <v/>
      </c>
      <c r="K1171" s="50"/>
      <c r="L1171" s="50"/>
    </row>
    <row r="1172" spans="1:12" x14ac:dyDescent="0.25">
      <c r="A117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72" s="46"/>
      <c r="C1172" s="46"/>
      <c r="D1172" s="46"/>
      <c r="E1172" s="46" t="str">
        <f>IF(I1172="","",_xlfn.XLOOKUP(TRIM(I1172),'SkillMasterSkill ID'!$C:$C,'SkillMasterSkill ID'!$D:$D,"NOT FOUND",0))</f>
        <v/>
      </c>
      <c r="F1172" s="50"/>
      <c r="G1172" s="50"/>
      <c r="H1172" s="51"/>
      <c r="I1172" s="50"/>
      <c r="J1172" s="50" t="str">
        <f>IF(I1172="","",_xlfn.XLOOKUP(TRIM(I1172),'SkillMasterSkill ID'!$C:$C,'SkillMasterSkill ID'!$F:$F,"NOT FOUND",0))</f>
        <v/>
      </c>
      <c r="K1172" s="50"/>
      <c r="L1172" s="50"/>
    </row>
    <row r="1173" spans="1:12" x14ac:dyDescent="0.25">
      <c r="A117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73" s="46"/>
      <c r="C1173" s="46"/>
      <c r="D1173" s="46"/>
      <c r="E1173" s="46" t="str">
        <f>IF(I1173="","",_xlfn.XLOOKUP(TRIM(I1173),'SkillMasterSkill ID'!$C:$C,'SkillMasterSkill ID'!$D:$D,"NOT FOUND",0))</f>
        <v/>
      </c>
      <c r="F1173" s="50"/>
      <c r="G1173" s="50"/>
      <c r="H1173" s="51"/>
      <c r="I1173" s="50"/>
      <c r="J1173" s="50" t="str">
        <f>IF(I1173="","",_xlfn.XLOOKUP(TRIM(I1173),'SkillMasterSkill ID'!$C:$C,'SkillMasterSkill ID'!$F:$F,"NOT FOUND",0))</f>
        <v/>
      </c>
      <c r="K1173" s="50"/>
      <c r="L1173" s="50"/>
    </row>
    <row r="1174" spans="1:12" x14ac:dyDescent="0.25">
      <c r="A117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74" s="46"/>
      <c r="C1174" s="46"/>
      <c r="D1174" s="46"/>
      <c r="E1174" s="46" t="str">
        <f>IF(I1174="","",_xlfn.XLOOKUP(TRIM(I1174),'SkillMasterSkill ID'!$C:$C,'SkillMasterSkill ID'!$D:$D,"NOT FOUND",0))</f>
        <v/>
      </c>
      <c r="F1174" s="50"/>
      <c r="G1174" s="50"/>
      <c r="H1174" s="51"/>
      <c r="I1174" s="50"/>
      <c r="J1174" s="50" t="str">
        <f>IF(I1174="","",_xlfn.XLOOKUP(TRIM(I1174),'SkillMasterSkill ID'!$C:$C,'SkillMasterSkill ID'!$F:$F,"NOT FOUND",0))</f>
        <v/>
      </c>
      <c r="K1174" s="50"/>
      <c r="L1174" s="50"/>
    </row>
    <row r="1175" spans="1:12" x14ac:dyDescent="0.25">
      <c r="A117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75" s="46"/>
      <c r="C1175" s="46"/>
      <c r="D1175" s="46"/>
      <c r="E1175" s="46" t="str">
        <f>IF(I1175="","",_xlfn.XLOOKUP(TRIM(I1175),'SkillMasterSkill ID'!$C:$C,'SkillMasterSkill ID'!$D:$D,"NOT FOUND",0))</f>
        <v/>
      </c>
      <c r="F1175" s="50"/>
      <c r="G1175" s="50"/>
      <c r="H1175" s="51"/>
      <c r="I1175" s="50"/>
      <c r="J1175" s="50" t="str">
        <f>IF(I1175="","",_xlfn.XLOOKUP(TRIM(I1175),'SkillMasterSkill ID'!$C:$C,'SkillMasterSkill ID'!$F:$F,"NOT FOUND",0))</f>
        <v/>
      </c>
      <c r="K1175" s="50"/>
      <c r="L1175" s="50"/>
    </row>
    <row r="1176" spans="1:12" x14ac:dyDescent="0.25">
      <c r="A117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76" s="46"/>
      <c r="C1176" s="46"/>
      <c r="D1176" s="46"/>
      <c r="E1176" s="46" t="str">
        <f>IF(I1176="","",_xlfn.XLOOKUP(TRIM(I1176),'SkillMasterSkill ID'!$C:$C,'SkillMasterSkill ID'!$D:$D,"NOT FOUND",0))</f>
        <v/>
      </c>
      <c r="F1176" s="50"/>
      <c r="G1176" s="50"/>
      <c r="H1176" s="51"/>
      <c r="I1176" s="50"/>
      <c r="J1176" s="50" t="str">
        <f>IF(I1176="","",_xlfn.XLOOKUP(TRIM(I1176),'SkillMasterSkill ID'!$C:$C,'SkillMasterSkill ID'!$F:$F,"NOT FOUND",0))</f>
        <v/>
      </c>
      <c r="K1176" s="50"/>
      <c r="L1176" s="50"/>
    </row>
    <row r="1177" spans="1:12" x14ac:dyDescent="0.25">
      <c r="A117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77" s="46"/>
      <c r="C1177" s="46"/>
      <c r="D1177" s="46"/>
      <c r="E1177" s="46" t="str">
        <f>IF(I1177="","",_xlfn.XLOOKUP(TRIM(I1177),'SkillMasterSkill ID'!$C:$C,'SkillMasterSkill ID'!$D:$D,"NOT FOUND",0))</f>
        <v/>
      </c>
      <c r="F1177" s="50"/>
      <c r="G1177" s="50"/>
      <c r="H1177" s="51"/>
      <c r="I1177" s="50"/>
      <c r="J1177" s="50" t="str">
        <f>IF(I1177="","",_xlfn.XLOOKUP(TRIM(I1177),'SkillMasterSkill ID'!$C:$C,'SkillMasterSkill ID'!$F:$F,"NOT FOUND",0))</f>
        <v/>
      </c>
      <c r="K1177" s="50"/>
      <c r="L1177" s="50"/>
    </row>
    <row r="1178" spans="1:12" x14ac:dyDescent="0.25">
      <c r="A117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78" s="46"/>
      <c r="C1178" s="46"/>
      <c r="D1178" s="46"/>
      <c r="E1178" s="46" t="str">
        <f>IF(I1178="","",_xlfn.XLOOKUP(TRIM(I1178),'SkillMasterSkill ID'!$C:$C,'SkillMasterSkill ID'!$D:$D,"NOT FOUND",0))</f>
        <v/>
      </c>
      <c r="F1178" s="50"/>
      <c r="G1178" s="50"/>
      <c r="H1178" s="51"/>
      <c r="I1178" s="50"/>
      <c r="J1178" s="50" t="str">
        <f>IF(I1178="","",_xlfn.XLOOKUP(TRIM(I1178),'SkillMasterSkill ID'!$C:$C,'SkillMasterSkill ID'!$F:$F,"NOT FOUND",0))</f>
        <v/>
      </c>
      <c r="K1178" s="50"/>
      <c r="L1178" s="50"/>
    </row>
    <row r="1179" spans="1:12" x14ac:dyDescent="0.25">
      <c r="A117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79" s="46"/>
      <c r="C1179" s="46"/>
      <c r="D1179" s="46"/>
      <c r="E1179" s="46" t="str">
        <f>IF(I1179="","",_xlfn.XLOOKUP(TRIM(I1179),'SkillMasterSkill ID'!$C:$C,'SkillMasterSkill ID'!$D:$D,"NOT FOUND",0))</f>
        <v/>
      </c>
      <c r="F1179" s="50"/>
      <c r="G1179" s="50"/>
      <c r="H1179" s="51"/>
      <c r="I1179" s="50"/>
      <c r="J1179" s="50" t="str">
        <f>IF(I1179="","",_xlfn.XLOOKUP(TRIM(I1179),'SkillMasterSkill ID'!$C:$C,'SkillMasterSkill ID'!$F:$F,"NOT FOUND",0))</f>
        <v/>
      </c>
      <c r="K1179" s="50"/>
      <c r="L1179" s="50"/>
    </row>
    <row r="1180" spans="1:12" x14ac:dyDescent="0.25">
      <c r="A118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80" s="46"/>
      <c r="C1180" s="46"/>
      <c r="D1180" s="46"/>
      <c r="E1180" s="46" t="str">
        <f>IF(I1180="","",_xlfn.XLOOKUP(TRIM(I1180),'SkillMasterSkill ID'!$C:$C,'SkillMasterSkill ID'!$D:$D,"NOT FOUND",0))</f>
        <v/>
      </c>
      <c r="F1180" s="50"/>
      <c r="G1180" s="50"/>
      <c r="H1180" s="51"/>
      <c r="I1180" s="50"/>
      <c r="J1180" s="50" t="str">
        <f>IF(I1180="","",_xlfn.XLOOKUP(TRIM(I1180),'SkillMasterSkill ID'!$C:$C,'SkillMasterSkill ID'!$F:$F,"NOT FOUND",0))</f>
        <v/>
      </c>
      <c r="K1180" s="50"/>
      <c r="L1180" s="50"/>
    </row>
    <row r="1181" spans="1:12" x14ac:dyDescent="0.25">
      <c r="A118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81" s="46"/>
      <c r="C1181" s="46"/>
      <c r="D1181" s="46"/>
      <c r="E1181" s="46" t="str">
        <f>IF(I1181="","",_xlfn.XLOOKUP(TRIM(I1181),'SkillMasterSkill ID'!$C:$C,'SkillMasterSkill ID'!$D:$D,"NOT FOUND",0))</f>
        <v/>
      </c>
      <c r="F1181" s="50"/>
      <c r="G1181" s="50"/>
      <c r="H1181" s="51"/>
      <c r="I1181" s="50"/>
      <c r="J1181" s="50" t="str">
        <f>IF(I1181="","",_xlfn.XLOOKUP(TRIM(I1181),'SkillMasterSkill ID'!$C:$C,'SkillMasterSkill ID'!$F:$F,"NOT FOUND",0))</f>
        <v/>
      </c>
      <c r="K1181" s="50"/>
      <c r="L1181" s="50"/>
    </row>
    <row r="1182" spans="1:12" x14ac:dyDescent="0.25">
      <c r="A118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82" s="46"/>
      <c r="C1182" s="46"/>
      <c r="D1182" s="46"/>
      <c r="E1182" s="46" t="str">
        <f>IF(I1182="","",_xlfn.XLOOKUP(TRIM(I1182),'SkillMasterSkill ID'!$C:$C,'SkillMasterSkill ID'!$D:$D,"NOT FOUND",0))</f>
        <v/>
      </c>
      <c r="F1182" s="50"/>
      <c r="G1182" s="50"/>
      <c r="H1182" s="51"/>
      <c r="I1182" s="50"/>
      <c r="J1182" s="50" t="str">
        <f>IF(I1182="","",_xlfn.XLOOKUP(TRIM(I1182),'SkillMasterSkill ID'!$C:$C,'SkillMasterSkill ID'!$F:$F,"NOT FOUND",0))</f>
        <v/>
      </c>
      <c r="K1182" s="50"/>
      <c r="L1182" s="50"/>
    </row>
    <row r="1183" spans="1:12" x14ac:dyDescent="0.25">
      <c r="A118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83" s="46"/>
      <c r="C1183" s="46"/>
      <c r="D1183" s="46"/>
      <c r="E1183" s="46" t="str">
        <f>IF(I1183="","",_xlfn.XLOOKUP(TRIM(I1183),'SkillMasterSkill ID'!$C:$C,'SkillMasterSkill ID'!$D:$D,"NOT FOUND",0))</f>
        <v/>
      </c>
      <c r="F1183" s="50"/>
      <c r="G1183" s="50"/>
      <c r="H1183" s="51"/>
      <c r="I1183" s="50"/>
      <c r="J1183" s="50" t="str">
        <f>IF(I1183="","",_xlfn.XLOOKUP(TRIM(I1183),'SkillMasterSkill ID'!$C:$C,'SkillMasterSkill ID'!$F:$F,"NOT FOUND",0))</f>
        <v/>
      </c>
      <c r="K1183" s="50"/>
      <c r="L1183" s="50"/>
    </row>
    <row r="1184" spans="1:12" x14ac:dyDescent="0.25">
      <c r="A118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84" s="46"/>
      <c r="C1184" s="46"/>
      <c r="D1184" s="46"/>
      <c r="E1184" s="46" t="str">
        <f>IF(I1184="","",_xlfn.XLOOKUP(TRIM(I1184),'SkillMasterSkill ID'!$C:$C,'SkillMasterSkill ID'!$D:$D,"NOT FOUND",0))</f>
        <v/>
      </c>
      <c r="F1184" s="50"/>
      <c r="G1184" s="50"/>
      <c r="H1184" s="51"/>
      <c r="I1184" s="50"/>
      <c r="J1184" s="50" t="str">
        <f>IF(I1184="","",_xlfn.XLOOKUP(TRIM(I1184),'SkillMasterSkill ID'!$C:$C,'SkillMasterSkill ID'!$F:$F,"NOT FOUND",0))</f>
        <v/>
      </c>
      <c r="K1184" s="50"/>
      <c r="L1184" s="50"/>
    </row>
    <row r="1185" spans="1:12" x14ac:dyDescent="0.25">
      <c r="A118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85" s="46"/>
      <c r="C1185" s="46"/>
      <c r="D1185" s="46"/>
      <c r="E1185" s="46" t="str">
        <f>IF(I1185="","",_xlfn.XLOOKUP(TRIM(I1185),'SkillMasterSkill ID'!$C:$C,'SkillMasterSkill ID'!$D:$D,"NOT FOUND",0))</f>
        <v/>
      </c>
      <c r="F1185" s="50"/>
      <c r="G1185" s="50"/>
      <c r="H1185" s="51"/>
      <c r="I1185" s="50"/>
      <c r="J1185" s="50" t="str">
        <f>IF(I1185="","",_xlfn.XLOOKUP(TRIM(I1185),'SkillMasterSkill ID'!$C:$C,'SkillMasterSkill ID'!$F:$F,"NOT FOUND",0))</f>
        <v/>
      </c>
      <c r="K1185" s="50"/>
      <c r="L1185" s="50"/>
    </row>
    <row r="1186" spans="1:12" x14ac:dyDescent="0.25">
      <c r="A118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86" s="46"/>
      <c r="C1186" s="46"/>
      <c r="D1186" s="46"/>
      <c r="E1186" s="46" t="str">
        <f>IF(I1186="","",_xlfn.XLOOKUP(TRIM(I1186),'SkillMasterSkill ID'!$C:$C,'SkillMasterSkill ID'!$D:$D,"NOT FOUND",0))</f>
        <v/>
      </c>
      <c r="F1186" s="50"/>
      <c r="G1186" s="50"/>
      <c r="H1186" s="51"/>
      <c r="I1186" s="50"/>
      <c r="J1186" s="50" t="str">
        <f>IF(I1186="","",_xlfn.XLOOKUP(TRIM(I1186),'SkillMasterSkill ID'!$C:$C,'SkillMasterSkill ID'!$F:$F,"NOT FOUND",0))</f>
        <v/>
      </c>
      <c r="K1186" s="50"/>
      <c r="L1186" s="50"/>
    </row>
    <row r="1187" spans="1:12" x14ac:dyDescent="0.25">
      <c r="A118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87" s="46"/>
      <c r="C1187" s="46"/>
      <c r="D1187" s="46"/>
      <c r="E1187" s="46" t="str">
        <f>IF(I1187="","",_xlfn.XLOOKUP(TRIM(I1187),'SkillMasterSkill ID'!$C:$C,'SkillMasterSkill ID'!$D:$D,"NOT FOUND",0))</f>
        <v/>
      </c>
      <c r="F1187" s="50"/>
      <c r="G1187" s="50"/>
      <c r="H1187" s="51"/>
      <c r="I1187" s="50"/>
      <c r="J1187" s="50" t="str">
        <f>IF(I1187="","",_xlfn.XLOOKUP(TRIM(I1187),'SkillMasterSkill ID'!$C:$C,'SkillMasterSkill ID'!$F:$F,"NOT FOUND",0))</f>
        <v/>
      </c>
      <c r="K1187" s="50"/>
      <c r="L1187" s="50"/>
    </row>
    <row r="1188" spans="1:12" x14ac:dyDescent="0.25">
      <c r="A118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88" s="46"/>
      <c r="C1188" s="46"/>
      <c r="D1188" s="46"/>
      <c r="E1188" s="46" t="str">
        <f>IF(I1188="","",_xlfn.XLOOKUP(TRIM(I1188),'SkillMasterSkill ID'!$C:$C,'SkillMasterSkill ID'!$D:$D,"NOT FOUND",0))</f>
        <v/>
      </c>
      <c r="F1188" s="50"/>
      <c r="G1188" s="50"/>
      <c r="H1188" s="51"/>
      <c r="I1188" s="50"/>
      <c r="J1188" s="50" t="str">
        <f>IF(I1188="","",_xlfn.XLOOKUP(TRIM(I1188),'SkillMasterSkill ID'!$C:$C,'SkillMasterSkill ID'!$F:$F,"NOT FOUND",0))</f>
        <v/>
      </c>
      <c r="K1188" s="50"/>
      <c r="L1188" s="50"/>
    </row>
    <row r="1189" spans="1:12" x14ac:dyDescent="0.25">
      <c r="A118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89" s="46"/>
      <c r="C1189" s="46"/>
      <c r="D1189" s="46"/>
      <c r="E1189" s="46" t="str">
        <f>IF(I1189="","",_xlfn.XLOOKUP(TRIM(I1189),'SkillMasterSkill ID'!$C:$C,'SkillMasterSkill ID'!$D:$D,"NOT FOUND",0))</f>
        <v/>
      </c>
      <c r="F1189" s="50"/>
      <c r="G1189" s="50"/>
      <c r="H1189" s="51"/>
      <c r="I1189" s="50"/>
      <c r="J1189" s="50" t="str">
        <f>IF(I1189="","",_xlfn.XLOOKUP(TRIM(I1189),'SkillMasterSkill ID'!$C:$C,'SkillMasterSkill ID'!$F:$F,"NOT FOUND",0))</f>
        <v/>
      </c>
      <c r="K1189" s="50"/>
      <c r="L1189" s="50"/>
    </row>
    <row r="1190" spans="1:12" x14ac:dyDescent="0.25">
      <c r="A119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90" s="46"/>
      <c r="C1190" s="46"/>
      <c r="D1190" s="46"/>
      <c r="E1190" s="46" t="str">
        <f>IF(I1190="","",_xlfn.XLOOKUP(TRIM(I1190),'SkillMasterSkill ID'!$C:$C,'SkillMasterSkill ID'!$D:$D,"NOT FOUND",0))</f>
        <v/>
      </c>
      <c r="F1190" s="50"/>
      <c r="G1190" s="50"/>
      <c r="H1190" s="51"/>
      <c r="I1190" s="50"/>
      <c r="J1190" s="50" t="str">
        <f>IF(I1190="","",_xlfn.XLOOKUP(TRIM(I1190),'SkillMasterSkill ID'!$C:$C,'SkillMasterSkill ID'!$F:$F,"NOT FOUND",0))</f>
        <v/>
      </c>
      <c r="K1190" s="50"/>
      <c r="L1190" s="50"/>
    </row>
    <row r="1191" spans="1:12" x14ac:dyDescent="0.25">
      <c r="A119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91" s="46"/>
      <c r="C1191" s="46"/>
      <c r="D1191" s="46"/>
      <c r="E1191" s="46" t="str">
        <f>IF(I1191="","",_xlfn.XLOOKUP(TRIM(I1191),'SkillMasterSkill ID'!$C:$C,'SkillMasterSkill ID'!$D:$D,"NOT FOUND",0))</f>
        <v/>
      </c>
      <c r="F1191" s="50"/>
      <c r="G1191" s="50"/>
      <c r="H1191" s="51"/>
      <c r="I1191" s="50"/>
      <c r="J1191" s="50" t="str">
        <f>IF(I1191="","",_xlfn.XLOOKUP(TRIM(I1191),'SkillMasterSkill ID'!$C:$C,'SkillMasterSkill ID'!$F:$F,"NOT FOUND",0))</f>
        <v/>
      </c>
      <c r="K1191" s="50"/>
      <c r="L1191" s="50"/>
    </row>
    <row r="1192" spans="1:12" x14ac:dyDescent="0.25">
      <c r="A119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92" s="46"/>
      <c r="C1192" s="46"/>
      <c r="D1192" s="46"/>
      <c r="E1192" s="46" t="str">
        <f>IF(I1192="","",_xlfn.XLOOKUP(TRIM(I1192),'SkillMasterSkill ID'!$C:$C,'SkillMasterSkill ID'!$D:$D,"NOT FOUND",0))</f>
        <v/>
      </c>
      <c r="F1192" s="50"/>
      <c r="G1192" s="50"/>
      <c r="H1192" s="51"/>
      <c r="I1192" s="50"/>
      <c r="J1192" s="50" t="str">
        <f>IF(I1192="","",_xlfn.XLOOKUP(TRIM(I1192),'SkillMasterSkill ID'!$C:$C,'SkillMasterSkill ID'!$F:$F,"NOT FOUND",0))</f>
        <v/>
      </c>
      <c r="K1192" s="50"/>
      <c r="L1192" s="50"/>
    </row>
    <row r="1193" spans="1:12" x14ac:dyDescent="0.25">
      <c r="A119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93" s="46"/>
      <c r="C1193" s="46"/>
      <c r="D1193" s="46"/>
      <c r="E1193" s="46" t="str">
        <f>IF(I1193="","",_xlfn.XLOOKUP(TRIM(I1193),'SkillMasterSkill ID'!$C:$C,'SkillMasterSkill ID'!$D:$D,"NOT FOUND",0))</f>
        <v/>
      </c>
      <c r="F1193" s="50"/>
      <c r="G1193" s="50"/>
      <c r="H1193" s="51"/>
      <c r="I1193" s="50"/>
      <c r="J1193" s="50" t="str">
        <f>IF(I1193="","",_xlfn.XLOOKUP(TRIM(I1193),'SkillMasterSkill ID'!$C:$C,'SkillMasterSkill ID'!$F:$F,"NOT FOUND",0))</f>
        <v/>
      </c>
      <c r="K1193" s="50"/>
      <c r="L1193" s="50"/>
    </row>
    <row r="1194" spans="1:12" x14ac:dyDescent="0.25">
      <c r="A119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94" s="46"/>
      <c r="C1194" s="46"/>
      <c r="D1194" s="46"/>
      <c r="E1194" s="46" t="str">
        <f>IF(I1194="","",_xlfn.XLOOKUP(TRIM(I1194),'SkillMasterSkill ID'!$C:$C,'SkillMasterSkill ID'!$D:$D,"NOT FOUND",0))</f>
        <v/>
      </c>
      <c r="F1194" s="50"/>
      <c r="G1194" s="50"/>
      <c r="H1194" s="51"/>
      <c r="I1194" s="50"/>
      <c r="J1194" s="50" t="str">
        <f>IF(I1194="","",_xlfn.XLOOKUP(TRIM(I1194),'SkillMasterSkill ID'!$C:$C,'SkillMasterSkill ID'!$F:$F,"NOT FOUND",0))</f>
        <v/>
      </c>
      <c r="K1194" s="50"/>
      <c r="L1194" s="50"/>
    </row>
    <row r="1195" spans="1:12" x14ac:dyDescent="0.25">
      <c r="A119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95" s="46"/>
      <c r="C1195" s="46"/>
      <c r="D1195" s="46"/>
      <c r="E1195" s="46" t="str">
        <f>IF(I1195="","",_xlfn.XLOOKUP(TRIM(I1195),'SkillMasterSkill ID'!$C:$C,'SkillMasterSkill ID'!$D:$D,"NOT FOUND",0))</f>
        <v/>
      </c>
      <c r="F1195" s="50"/>
      <c r="G1195" s="50"/>
      <c r="H1195" s="51"/>
      <c r="I1195" s="50"/>
      <c r="J1195" s="50" t="str">
        <f>IF(I1195="","",_xlfn.XLOOKUP(TRIM(I1195),'SkillMasterSkill ID'!$C:$C,'SkillMasterSkill ID'!$F:$F,"NOT FOUND",0))</f>
        <v/>
      </c>
      <c r="K1195" s="50"/>
      <c r="L1195" s="50"/>
    </row>
    <row r="1196" spans="1:12" x14ac:dyDescent="0.25">
      <c r="A119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96" s="46"/>
      <c r="C1196" s="46"/>
      <c r="D1196" s="46"/>
      <c r="E1196" s="46" t="str">
        <f>IF(I1196="","",_xlfn.XLOOKUP(TRIM(I1196),'SkillMasterSkill ID'!$C:$C,'SkillMasterSkill ID'!$D:$D,"NOT FOUND",0))</f>
        <v/>
      </c>
      <c r="F1196" s="50"/>
      <c r="G1196" s="50"/>
      <c r="H1196" s="51"/>
      <c r="I1196" s="50"/>
      <c r="J1196" s="50" t="str">
        <f>IF(I1196="","",_xlfn.XLOOKUP(TRIM(I1196),'SkillMasterSkill ID'!$C:$C,'SkillMasterSkill ID'!$F:$F,"NOT FOUND",0))</f>
        <v/>
      </c>
      <c r="K1196" s="50"/>
      <c r="L1196" s="50"/>
    </row>
    <row r="1197" spans="1:12" x14ac:dyDescent="0.25">
      <c r="A119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97" s="46"/>
      <c r="C1197" s="46"/>
      <c r="D1197" s="46"/>
      <c r="E1197" s="46" t="str">
        <f>IF(I1197="","",_xlfn.XLOOKUP(TRIM(I1197),'SkillMasterSkill ID'!$C:$C,'SkillMasterSkill ID'!$D:$D,"NOT FOUND",0))</f>
        <v/>
      </c>
      <c r="F1197" s="50"/>
      <c r="G1197" s="50"/>
      <c r="H1197" s="51"/>
      <c r="I1197" s="50"/>
      <c r="J1197" s="50" t="str">
        <f>IF(I1197="","",_xlfn.XLOOKUP(TRIM(I1197),'SkillMasterSkill ID'!$C:$C,'SkillMasterSkill ID'!$F:$F,"NOT FOUND",0))</f>
        <v/>
      </c>
      <c r="K1197" s="50"/>
      <c r="L1197" s="50"/>
    </row>
    <row r="1198" spans="1:12" x14ac:dyDescent="0.25">
      <c r="A119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98" s="46"/>
      <c r="C1198" s="46"/>
      <c r="D1198" s="46"/>
      <c r="E1198" s="46" t="str">
        <f>IF(I1198="","",_xlfn.XLOOKUP(TRIM(I1198),'SkillMasterSkill ID'!$C:$C,'SkillMasterSkill ID'!$D:$D,"NOT FOUND",0))</f>
        <v/>
      </c>
      <c r="F1198" s="50"/>
      <c r="G1198" s="50"/>
      <c r="H1198" s="51"/>
      <c r="I1198" s="50"/>
      <c r="J1198" s="50" t="str">
        <f>IF(I1198="","",_xlfn.XLOOKUP(TRIM(I1198),'SkillMasterSkill ID'!$C:$C,'SkillMasterSkill ID'!$F:$F,"NOT FOUND",0))</f>
        <v/>
      </c>
      <c r="K1198" s="50"/>
      <c r="L1198" s="50"/>
    </row>
    <row r="1199" spans="1:12" x14ac:dyDescent="0.25">
      <c r="A119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199" s="46"/>
      <c r="C1199" s="46"/>
      <c r="D1199" s="46"/>
      <c r="E1199" s="46" t="str">
        <f>IF(I1199="","",_xlfn.XLOOKUP(TRIM(I1199),'SkillMasterSkill ID'!$C:$C,'SkillMasterSkill ID'!$D:$D,"NOT FOUND",0))</f>
        <v/>
      </c>
      <c r="F1199" s="50"/>
      <c r="G1199" s="50"/>
      <c r="H1199" s="51"/>
      <c r="I1199" s="50"/>
      <c r="J1199" s="50" t="str">
        <f>IF(I1199="","",_xlfn.XLOOKUP(TRIM(I1199),'SkillMasterSkill ID'!$C:$C,'SkillMasterSkill ID'!$F:$F,"NOT FOUND",0))</f>
        <v/>
      </c>
      <c r="K1199" s="50"/>
      <c r="L1199" s="50"/>
    </row>
    <row r="1200" spans="1:12" x14ac:dyDescent="0.25">
      <c r="A120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00" s="46"/>
      <c r="C1200" s="46"/>
      <c r="D1200" s="46"/>
      <c r="E1200" s="46" t="str">
        <f>IF(I1200="","",_xlfn.XLOOKUP(TRIM(I1200),'SkillMasterSkill ID'!$C:$C,'SkillMasterSkill ID'!$D:$D,"NOT FOUND",0))</f>
        <v/>
      </c>
      <c r="F1200" s="50"/>
      <c r="G1200" s="50"/>
      <c r="H1200" s="51"/>
      <c r="I1200" s="50"/>
      <c r="J1200" s="50" t="str">
        <f>IF(I1200="","",_xlfn.XLOOKUP(TRIM(I1200),'SkillMasterSkill ID'!$C:$C,'SkillMasterSkill ID'!$F:$F,"NOT FOUND",0))</f>
        <v/>
      </c>
      <c r="K1200" s="50"/>
      <c r="L1200" s="50"/>
    </row>
    <row r="1201" spans="1:12" x14ac:dyDescent="0.25">
      <c r="A120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01" s="46"/>
      <c r="C1201" s="46"/>
      <c r="D1201" s="46"/>
      <c r="E1201" s="46" t="str">
        <f>IF(I1201="","",_xlfn.XLOOKUP(TRIM(I1201),'SkillMasterSkill ID'!$C:$C,'SkillMasterSkill ID'!$D:$D,"NOT FOUND",0))</f>
        <v/>
      </c>
      <c r="F1201" s="50"/>
      <c r="G1201" s="50"/>
      <c r="H1201" s="51"/>
      <c r="I1201" s="50"/>
      <c r="J1201" s="50" t="str">
        <f>IF(I1201="","",_xlfn.XLOOKUP(TRIM(I1201),'SkillMasterSkill ID'!$C:$C,'SkillMasterSkill ID'!$F:$F,"NOT FOUND",0))</f>
        <v/>
      </c>
      <c r="K1201" s="50"/>
      <c r="L1201" s="50"/>
    </row>
    <row r="1202" spans="1:12" x14ac:dyDescent="0.25">
      <c r="A120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02" s="46"/>
      <c r="C1202" s="46"/>
      <c r="D1202" s="46"/>
      <c r="E1202" s="46" t="str">
        <f>IF(I1202="","",_xlfn.XLOOKUP(TRIM(I1202),'SkillMasterSkill ID'!$C:$C,'SkillMasterSkill ID'!$D:$D,"NOT FOUND",0))</f>
        <v/>
      </c>
      <c r="F1202" s="50"/>
      <c r="G1202" s="50"/>
      <c r="H1202" s="51"/>
      <c r="I1202" s="50"/>
      <c r="J1202" s="50" t="str">
        <f>IF(I1202="","",_xlfn.XLOOKUP(TRIM(I1202),'SkillMasterSkill ID'!$C:$C,'SkillMasterSkill ID'!$F:$F,"NOT FOUND",0))</f>
        <v/>
      </c>
      <c r="K1202" s="50"/>
      <c r="L1202" s="50"/>
    </row>
    <row r="1203" spans="1:12" x14ac:dyDescent="0.25">
      <c r="A120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03" s="46"/>
      <c r="C1203" s="46"/>
      <c r="D1203" s="46"/>
      <c r="E1203" s="46" t="str">
        <f>IF(I1203="","",_xlfn.XLOOKUP(TRIM(I1203),'SkillMasterSkill ID'!$C:$C,'SkillMasterSkill ID'!$D:$D,"NOT FOUND",0))</f>
        <v/>
      </c>
      <c r="F1203" s="50"/>
      <c r="G1203" s="50"/>
      <c r="H1203" s="51"/>
      <c r="I1203" s="50"/>
      <c r="J1203" s="50" t="str">
        <f>IF(I1203="","",_xlfn.XLOOKUP(TRIM(I1203),'SkillMasterSkill ID'!$C:$C,'SkillMasterSkill ID'!$F:$F,"NOT FOUND",0))</f>
        <v/>
      </c>
      <c r="K1203" s="50"/>
      <c r="L1203" s="50"/>
    </row>
    <row r="1204" spans="1:12" x14ac:dyDescent="0.25">
      <c r="A120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04" s="46"/>
      <c r="C1204" s="46"/>
      <c r="D1204" s="46"/>
      <c r="E1204" s="46" t="str">
        <f>IF(I1204="","",_xlfn.XLOOKUP(TRIM(I1204),'SkillMasterSkill ID'!$C:$C,'SkillMasterSkill ID'!$D:$D,"NOT FOUND",0))</f>
        <v/>
      </c>
      <c r="F1204" s="50"/>
      <c r="G1204" s="50"/>
      <c r="H1204" s="51"/>
      <c r="I1204" s="50"/>
      <c r="J1204" s="50" t="str">
        <f>IF(I1204="","",_xlfn.XLOOKUP(TRIM(I1204),'SkillMasterSkill ID'!$C:$C,'SkillMasterSkill ID'!$F:$F,"NOT FOUND",0))</f>
        <v/>
      </c>
      <c r="K1204" s="50"/>
      <c r="L1204" s="50"/>
    </row>
    <row r="1205" spans="1:12" x14ac:dyDescent="0.25">
      <c r="A120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05" s="46"/>
      <c r="C1205" s="46"/>
      <c r="D1205" s="46"/>
      <c r="E1205" s="46" t="str">
        <f>IF(I1205="","",_xlfn.XLOOKUP(TRIM(I1205),'SkillMasterSkill ID'!$C:$C,'SkillMasterSkill ID'!$D:$D,"NOT FOUND",0))</f>
        <v/>
      </c>
      <c r="F1205" s="50"/>
      <c r="G1205" s="50"/>
      <c r="H1205" s="51"/>
      <c r="I1205" s="50"/>
      <c r="J1205" s="50" t="str">
        <f>IF(I1205="","",_xlfn.XLOOKUP(TRIM(I1205),'SkillMasterSkill ID'!$C:$C,'SkillMasterSkill ID'!$F:$F,"NOT FOUND",0))</f>
        <v/>
      </c>
      <c r="K1205" s="50"/>
      <c r="L1205" s="50"/>
    </row>
    <row r="1206" spans="1:12" x14ac:dyDescent="0.25">
      <c r="A120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06" s="46"/>
      <c r="C1206" s="46"/>
      <c r="D1206" s="46"/>
      <c r="E1206" s="46" t="str">
        <f>IF(I1206="","",_xlfn.XLOOKUP(TRIM(I1206),'SkillMasterSkill ID'!$C:$C,'SkillMasterSkill ID'!$D:$D,"NOT FOUND",0))</f>
        <v/>
      </c>
      <c r="F1206" s="50"/>
      <c r="G1206" s="50"/>
      <c r="H1206" s="51"/>
      <c r="I1206" s="50"/>
      <c r="J1206" s="50" t="str">
        <f>IF(I1206="","",_xlfn.XLOOKUP(TRIM(I1206),'SkillMasterSkill ID'!$C:$C,'SkillMasterSkill ID'!$F:$F,"NOT FOUND",0))</f>
        <v/>
      </c>
      <c r="K1206" s="50"/>
      <c r="L1206" s="50"/>
    </row>
    <row r="1207" spans="1:12" x14ac:dyDescent="0.25">
      <c r="A120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07" s="46"/>
      <c r="C1207" s="46"/>
      <c r="D1207" s="46"/>
      <c r="E1207" s="46" t="str">
        <f>IF(I1207="","",_xlfn.XLOOKUP(TRIM(I1207),'SkillMasterSkill ID'!$C:$C,'SkillMasterSkill ID'!$D:$D,"NOT FOUND",0))</f>
        <v/>
      </c>
      <c r="F1207" s="50"/>
      <c r="G1207" s="50"/>
      <c r="H1207" s="51"/>
      <c r="I1207" s="50"/>
      <c r="J1207" s="50" t="str">
        <f>IF(I1207="","",_xlfn.XLOOKUP(TRIM(I1207),'SkillMasterSkill ID'!$C:$C,'SkillMasterSkill ID'!$F:$F,"NOT FOUND",0))</f>
        <v/>
      </c>
      <c r="K1207" s="50"/>
      <c r="L1207" s="50"/>
    </row>
    <row r="1208" spans="1:12" x14ac:dyDescent="0.25">
      <c r="A120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08" s="46"/>
      <c r="C1208" s="46"/>
      <c r="D1208" s="46"/>
      <c r="E1208" s="46" t="str">
        <f>IF(I1208="","",_xlfn.XLOOKUP(TRIM(I1208),'SkillMasterSkill ID'!$C:$C,'SkillMasterSkill ID'!$D:$D,"NOT FOUND",0))</f>
        <v/>
      </c>
      <c r="F1208" s="50"/>
      <c r="G1208" s="50"/>
      <c r="H1208" s="51"/>
      <c r="I1208" s="50"/>
      <c r="J1208" s="50" t="str">
        <f>IF(I1208="","",_xlfn.XLOOKUP(TRIM(I1208),'SkillMasterSkill ID'!$C:$C,'SkillMasterSkill ID'!$F:$F,"NOT FOUND",0))</f>
        <v/>
      </c>
      <c r="K1208" s="50"/>
      <c r="L1208" s="50"/>
    </row>
    <row r="1209" spans="1:12" x14ac:dyDescent="0.25">
      <c r="A120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09" s="46"/>
      <c r="C1209" s="46"/>
      <c r="D1209" s="46"/>
      <c r="E1209" s="46" t="str">
        <f>IF(I1209="","",_xlfn.XLOOKUP(TRIM(I1209),'SkillMasterSkill ID'!$C:$C,'SkillMasterSkill ID'!$D:$D,"NOT FOUND",0))</f>
        <v/>
      </c>
      <c r="F1209" s="50"/>
      <c r="G1209" s="50"/>
      <c r="H1209" s="51"/>
      <c r="I1209" s="50"/>
      <c r="J1209" s="50" t="str">
        <f>IF(I1209="","",_xlfn.XLOOKUP(TRIM(I1209),'SkillMasterSkill ID'!$C:$C,'SkillMasterSkill ID'!$F:$F,"NOT FOUND",0))</f>
        <v/>
      </c>
      <c r="K1209" s="50"/>
      <c r="L1209" s="50"/>
    </row>
    <row r="1210" spans="1:12" x14ac:dyDescent="0.25">
      <c r="A121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10" s="46"/>
      <c r="C1210" s="46"/>
      <c r="D1210" s="46"/>
      <c r="E1210" s="46" t="str">
        <f>IF(I1210="","",_xlfn.XLOOKUP(TRIM(I1210),'SkillMasterSkill ID'!$C:$C,'SkillMasterSkill ID'!$D:$D,"NOT FOUND",0))</f>
        <v/>
      </c>
      <c r="F1210" s="50"/>
      <c r="G1210" s="50"/>
      <c r="H1210" s="51"/>
      <c r="I1210" s="50"/>
      <c r="J1210" s="50" t="str">
        <f>IF(I1210="","",_xlfn.XLOOKUP(TRIM(I1210),'SkillMasterSkill ID'!$C:$C,'SkillMasterSkill ID'!$F:$F,"NOT FOUND",0))</f>
        <v/>
      </c>
      <c r="K1210" s="50"/>
      <c r="L1210" s="50"/>
    </row>
    <row r="1211" spans="1:12" x14ac:dyDescent="0.25">
      <c r="A121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11" s="46"/>
      <c r="C1211" s="46"/>
      <c r="D1211" s="46"/>
      <c r="E1211" s="46" t="str">
        <f>IF(I1211="","",_xlfn.XLOOKUP(TRIM(I1211),'SkillMasterSkill ID'!$C:$C,'SkillMasterSkill ID'!$D:$D,"NOT FOUND",0))</f>
        <v/>
      </c>
      <c r="F1211" s="50"/>
      <c r="G1211" s="50"/>
      <c r="H1211" s="51"/>
      <c r="I1211" s="50"/>
      <c r="J1211" s="50" t="str">
        <f>IF(I1211="","",_xlfn.XLOOKUP(TRIM(I1211),'SkillMasterSkill ID'!$C:$C,'SkillMasterSkill ID'!$F:$F,"NOT FOUND",0))</f>
        <v/>
      </c>
      <c r="K1211" s="50"/>
      <c r="L1211" s="50"/>
    </row>
    <row r="1212" spans="1:12" x14ac:dyDescent="0.25">
      <c r="A121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12" s="46"/>
      <c r="C1212" s="46"/>
      <c r="D1212" s="46"/>
      <c r="E1212" s="46" t="str">
        <f>IF(I1212="","",_xlfn.XLOOKUP(TRIM(I1212),'SkillMasterSkill ID'!$C:$C,'SkillMasterSkill ID'!$D:$D,"NOT FOUND",0))</f>
        <v/>
      </c>
      <c r="F1212" s="50"/>
      <c r="G1212" s="50"/>
      <c r="H1212" s="51"/>
      <c r="I1212" s="50"/>
      <c r="J1212" s="50" t="str">
        <f>IF(I1212="","",_xlfn.XLOOKUP(TRIM(I1212),'SkillMasterSkill ID'!$C:$C,'SkillMasterSkill ID'!$F:$F,"NOT FOUND",0))</f>
        <v/>
      </c>
      <c r="K1212" s="50"/>
      <c r="L1212" s="50"/>
    </row>
    <row r="1213" spans="1:12" x14ac:dyDescent="0.25">
      <c r="A121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13" s="46"/>
      <c r="C1213" s="46"/>
      <c r="D1213" s="46"/>
      <c r="E1213" s="46" t="str">
        <f>IF(I1213="","",_xlfn.XLOOKUP(TRIM(I1213),'SkillMasterSkill ID'!$C:$C,'SkillMasterSkill ID'!$D:$D,"NOT FOUND",0))</f>
        <v/>
      </c>
      <c r="F1213" s="50"/>
      <c r="G1213" s="50"/>
      <c r="H1213" s="51"/>
      <c r="I1213" s="50"/>
      <c r="J1213" s="50" t="str">
        <f>IF(I1213="","",_xlfn.XLOOKUP(TRIM(I1213),'SkillMasterSkill ID'!$C:$C,'SkillMasterSkill ID'!$F:$F,"NOT FOUND",0))</f>
        <v/>
      </c>
      <c r="K1213" s="50"/>
      <c r="L1213" s="50"/>
    </row>
    <row r="1214" spans="1:12" x14ac:dyDescent="0.25">
      <c r="A121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14" s="46"/>
      <c r="C1214" s="46"/>
      <c r="D1214" s="46"/>
      <c r="E1214" s="46" t="str">
        <f>IF(I1214="","",_xlfn.XLOOKUP(TRIM(I1214),'SkillMasterSkill ID'!$C:$C,'SkillMasterSkill ID'!$D:$D,"NOT FOUND",0))</f>
        <v/>
      </c>
      <c r="F1214" s="50"/>
      <c r="G1214" s="50"/>
      <c r="H1214" s="51"/>
      <c r="I1214" s="50"/>
      <c r="J1214" s="50" t="str">
        <f>IF(I1214="","",_xlfn.XLOOKUP(TRIM(I1214),'SkillMasterSkill ID'!$C:$C,'SkillMasterSkill ID'!$F:$F,"NOT FOUND",0))</f>
        <v/>
      </c>
      <c r="K1214" s="50"/>
      <c r="L1214" s="50"/>
    </row>
    <row r="1215" spans="1:12" x14ac:dyDescent="0.25">
      <c r="A121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15" s="46"/>
      <c r="C1215" s="46"/>
      <c r="D1215" s="46"/>
      <c r="E1215" s="46" t="str">
        <f>IF(I1215="","",_xlfn.XLOOKUP(TRIM(I1215),'SkillMasterSkill ID'!$C:$C,'SkillMasterSkill ID'!$D:$D,"NOT FOUND",0))</f>
        <v/>
      </c>
      <c r="F1215" s="50"/>
      <c r="G1215" s="50"/>
      <c r="H1215" s="51"/>
      <c r="I1215" s="50"/>
      <c r="J1215" s="50" t="str">
        <f>IF(I1215="","",_xlfn.XLOOKUP(TRIM(I1215),'SkillMasterSkill ID'!$C:$C,'SkillMasterSkill ID'!$F:$F,"NOT FOUND",0))</f>
        <v/>
      </c>
      <c r="K1215" s="50"/>
      <c r="L1215" s="50"/>
    </row>
    <row r="1216" spans="1:12" x14ac:dyDescent="0.25">
      <c r="A121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16" s="46"/>
      <c r="C1216" s="46"/>
      <c r="D1216" s="46"/>
      <c r="E1216" s="46" t="str">
        <f>IF(I1216="","",_xlfn.XLOOKUP(TRIM(I1216),'SkillMasterSkill ID'!$C:$C,'SkillMasterSkill ID'!$D:$D,"NOT FOUND",0))</f>
        <v/>
      </c>
      <c r="F1216" s="50"/>
      <c r="G1216" s="50"/>
      <c r="H1216" s="51"/>
      <c r="I1216" s="50"/>
      <c r="J1216" s="50" t="str">
        <f>IF(I1216="","",_xlfn.XLOOKUP(TRIM(I1216),'SkillMasterSkill ID'!$C:$C,'SkillMasterSkill ID'!$F:$F,"NOT FOUND",0))</f>
        <v/>
      </c>
      <c r="K1216" s="50"/>
      <c r="L1216" s="50"/>
    </row>
    <row r="1217" spans="1:12" x14ac:dyDescent="0.25">
      <c r="A121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17" s="46"/>
      <c r="C1217" s="46"/>
      <c r="D1217" s="46"/>
      <c r="E1217" s="46" t="str">
        <f>IF(I1217="","",_xlfn.XLOOKUP(TRIM(I1217),'SkillMasterSkill ID'!$C:$C,'SkillMasterSkill ID'!$D:$D,"NOT FOUND",0))</f>
        <v/>
      </c>
      <c r="F1217" s="50"/>
      <c r="G1217" s="50"/>
      <c r="H1217" s="51"/>
      <c r="I1217" s="50"/>
      <c r="J1217" s="50" t="str">
        <f>IF(I1217="","",_xlfn.XLOOKUP(TRIM(I1217),'SkillMasterSkill ID'!$C:$C,'SkillMasterSkill ID'!$F:$F,"NOT FOUND",0))</f>
        <v/>
      </c>
      <c r="K1217" s="50"/>
      <c r="L1217" s="50"/>
    </row>
    <row r="1218" spans="1:12" x14ac:dyDescent="0.25">
      <c r="A121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18" s="46"/>
      <c r="C1218" s="46"/>
      <c r="D1218" s="46"/>
      <c r="E1218" s="46" t="str">
        <f>IF(I1218="","",_xlfn.XLOOKUP(TRIM(I1218),'SkillMasterSkill ID'!$C:$C,'SkillMasterSkill ID'!$D:$D,"NOT FOUND",0))</f>
        <v/>
      </c>
      <c r="F1218" s="50"/>
      <c r="G1218" s="50"/>
      <c r="H1218" s="51"/>
      <c r="I1218" s="50"/>
      <c r="J1218" s="50" t="str">
        <f>IF(I1218="","",_xlfn.XLOOKUP(TRIM(I1218),'SkillMasterSkill ID'!$C:$C,'SkillMasterSkill ID'!$F:$F,"NOT FOUND",0))</f>
        <v/>
      </c>
      <c r="K1218" s="50"/>
      <c r="L1218" s="50"/>
    </row>
    <row r="1219" spans="1:12" x14ac:dyDescent="0.25">
      <c r="A121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19" s="46"/>
      <c r="C1219" s="46"/>
      <c r="D1219" s="46"/>
      <c r="E1219" s="46" t="str">
        <f>IF(I1219="","",_xlfn.XLOOKUP(TRIM(I1219),'SkillMasterSkill ID'!$C:$C,'SkillMasterSkill ID'!$D:$D,"NOT FOUND",0))</f>
        <v/>
      </c>
      <c r="F1219" s="50"/>
      <c r="G1219" s="50"/>
      <c r="H1219" s="51"/>
      <c r="I1219" s="50"/>
      <c r="J1219" s="50" t="str">
        <f>IF(I1219="","",_xlfn.XLOOKUP(TRIM(I1219),'SkillMasterSkill ID'!$C:$C,'SkillMasterSkill ID'!$F:$F,"NOT FOUND",0))</f>
        <v/>
      </c>
      <c r="K1219" s="50"/>
      <c r="L1219" s="50"/>
    </row>
    <row r="1220" spans="1:12" x14ac:dyDescent="0.25">
      <c r="A122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20" s="46"/>
      <c r="C1220" s="46"/>
      <c r="D1220" s="46"/>
      <c r="E1220" s="46" t="str">
        <f>IF(I1220="","",_xlfn.XLOOKUP(TRIM(I1220),'SkillMasterSkill ID'!$C:$C,'SkillMasterSkill ID'!$D:$D,"NOT FOUND",0))</f>
        <v/>
      </c>
      <c r="F1220" s="50"/>
      <c r="G1220" s="50"/>
      <c r="H1220" s="51"/>
      <c r="I1220" s="50"/>
      <c r="J1220" s="50" t="str">
        <f>IF(I1220="","",_xlfn.XLOOKUP(TRIM(I1220),'SkillMasterSkill ID'!$C:$C,'SkillMasterSkill ID'!$F:$F,"NOT FOUND",0))</f>
        <v/>
      </c>
      <c r="K1220" s="50"/>
      <c r="L1220" s="50"/>
    </row>
    <row r="1221" spans="1:12" x14ac:dyDescent="0.25">
      <c r="A122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21" s="46"/>
      <c r="C1221" s="46"/>
      <c r="D1221" s="46"/>
      <c r="E1221" s="46" t="str">
        <f>IF(I1221="","",_xlfn.XLOOKUP(TRIM(I1221),'SkillMasterSkill ID'!$C:$C,'SkillMasterSkill ID'!$D:$D,"NOT FOUND",0))</f>
        <v/>
      </c>
      <c r="F1221" s="50"/>
      <c r="G1221" s="50"/>
      <c r="H1221" s="51"/>
      <c r="I1221" s="50"/>
      <c r="J1221" s="50" t="str">
        <f>IF(I1221="","",_xlfn.XLOOKUP(TRIM(I1221),'SkillMasterSkill ID'!$C:$C,'SkillMasterSkill ID'!$F:$F,"NOT FOUND",0))</f>
        <v/>
      </c>
      <c r="K1221" s="50"/>
      <c r="L1221" s="50"/>
    </row>
    <row r="1222" spans="1:12" x14ac:dyDescent="0.25">
      <c r="A122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22" s="46"/>
      <c r="C1222" s="46"/>
      <c r="D1222" s="46"/>
      <c r="E1222" s="46" t="str">
        <f>IF(I1222="","",_xlfn.XLOOKUP(TRIM(I1222),'SkillMasterSkill ID'!$C:$C,'SkillMasterSkill ID'!$D:$D,"NOT FOUND",0))</f>
        <v/>
      </c>
      <c r="F1222" s="50"/>
      <c r="G1222" s="50"/>
      <c r="H1222" s="51"/>
      <c r="I1222" s="50"/>
      <c r="J1222" s="50" t="str">
        <f>IF(I1222="","",_xlfn.XLOOKUP(TRIM(I1222),'SkillMasterSkill ID'!$C:$C,'SkillMasterSkill ID'!$F:$F,"NOT FOUND",0))</f>
        <v/>
      </c>
      <c r="K1222" s="50"/>
      <c r="L1222" s="50"/>
    </row>
    <row r="1223" spans="1:12" x14ac:dyDescent="0.25">
      <c r="A122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23" s="46"/>
      <c r="C1223" s="46"/>
      <c r="D1223" s="46"/>
      <c r="E1223" s="46" t="str">
        <f>IF(I1223="","",_xlfn.XLOOKUP(TRIM(I1223),'SkillMasterSkill ID'!$C:$C,'SkillMasterSkill ID'!$D:$D,"NOT FOUND",0))</f>
        <v/>
      </c>
      <c r="F1223" s="50"/>
      <c r="G1223" s="50"/>
      <c r="H1223" s="51"/>
      <c r="I1223" s="50"/>
      <c r="J1223" s="50" t="str">
        <f>IF(I1223="","",_xlfn.XLOOKUP(TRIM(I1223),'SkillMasterSkill ID'!$C:$C,'SkillMasterSkill ID'!$F:$F,"NOT FOUND",0))</f>
        <v/>
      </c>
      <c r="K1223" s="50"/>
      <c r="L1223" s="50"/>
    </row>
    <row r="1224" spans="1:12" x14ac:dyDescent="0.25">
      <c r="A122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24" s="46"/>
      <c r="C1224" s="46"/>
      <c r="D1224" s="46"/>
      <c r="E1224" s="46" t="str">
        <f>IF(I1224="","",_xlfn.XLOOKUP(TRIM(I1224),'SkillMasterSkill ID'!$C:$C,'SkillMasterSkill ID'!$D:$D,"NOT FOUND",0))</f>
        <v/>
      </c>
      <c r="F1224" s="50"/>
      <c r="G1224" s="50"/>
      <c r="H1224" s="51"/>
      <c r="I1224" s="50"/>
      <c r="J1224" s="50" t="str">
        <f>IF(I1224="","",_xlfn.XLOOKUP(TRIM(I1224),'SkillMasterSkill ID'!$C:$C,'SkillMasterSkill ID'!$F:$F,"NOT FOUND",0))</f>
        <v/>
      </c>
      <c r="K1224" s="50"/>
      <c r="L1224" s="50"/>
    </row>
    <row r="1225" spans="1:12" x14ac:dyDescent="0.25">
      <c r="A122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25" s="46"/>
      <c r="C1225" s="46"/>
      <c r="D1225" s="46"/>
      <c r="E1225" s="46" t="str">
        <f>IF(I1225="","",_xlfn.XLOOKUP(TRIM(I1225),'SkillMasterSkill ID'!$C:$C,'SkillMasterSkill ID'!$D:$D,"NOT FOUND",0))</f>
        <v/>
      </c>
      <c r="F1225" s="50"/>
      <c r="G1225" s="50"/>
      <c r="H1225" s="51"/>
      <c r="I1225" s="50"/>
      <c r="J1225" s="50" t="str">
        <f>IF(I1225="","",_xlfn.XLOOKUP(TRIM(I1225),'SkillMasterSkill ID'!$C:$C,'SkillMasterSkill ID'!$F:$F,"NOT FOUND",0))</f>
        <v/>
      </c>
      <c r="K1225" s="50"/>
      <c r="L1225" s="50"/>
    </row>
    <row r="1226" spans="1:12" x14ac:dyDescent="0.25">
      <c r="A122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26" s="46"/>
      <c r="C1226" s="46"/>
      <c r="D1226" s="46"/>
      <c r="E1226" s="46" t="str">
        <f>IF(I1226="","",_xlfn.XLOOKUP(TRIM(I1226),'SkillMasterSkill ID'!$C:$C,'SkillMasterSkill ID'!$D:$D,"NOT FOUND",0))</f>
        <v/>
      </c>
      <c r="F1226" s="50"/>
      <c r="G1226" s="50"/>
      <c r="H1226" s="51"/>
      <c r="I1226" s="50"/>
      <c r="J1226" s="50" t="str">
        <f>IF(I1226="","",_xlfn.XLOOKUP(TRIM(I1226),'SkillMasterSkill ID'!$C:$C,'SkillMasterSkill ID'!$F:$F,"NOT FOUND",0))</f>
        <v/>
      </c>
      <c r="K1226" s="50"/>
      <c r="L1226" s="50"/>
    </row>
    <row r="1227" spans="1:12" x14ac:dyDescent="0.25">
      <c r="A122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27" s="46"/>
      <c r="C1227" s="46"/>
      <c r="D1227" s="46"/>
      <c r="E1227" s="46" t="str">
        <f>IF(I1227="","",_xlfn.XLOOKUP(TRIM(I1227),'SkillMasterSkill ID'!$C:$C,'SkillMasterSkill ID'!$D:$D,"NOT FOUND",0))</f>
        <v/>
      </c>
      <c r="F1227" s="50"/>
      <c r="G1227" s="50"/>
      <c r="H1227" s="51"/>
      <c r="I1227" s="50"/>
      <c r="J1227" s="50" t="str">
        <f>IF(I1227="","",_xlfn.XLOOKUP(TRIM(I1227),'SkillMasterSkill ID'!$C:$C,'SkillMasterSkill ID'!$F:$F,"NOT FOUND",0))</f>
        <v/>
      </c>
      <c r="K1227" s="50"/>
      <c r="L1227" s="50"/>
    </row>
    <row r="1228" spans="1:12" x14ac:dyDescent="0.25">
      <c r="A122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28" s="46"/>
      <c r="C1228" s="46"/>
      <c r="D1228" s="46"/>
      <c r="E1228" s="46" t="str">
        <f>IF(I1228="","",_xlfn.XLOOKUP(TRIM(I1228),'SkillMasterSkill ID'!$C:$C,'SkillMasterSkill ID'!$D:$D,"NOT FOUND",0))</f>
        <v/>
      </c>
      <c r="F1228" s="50"/>
      <c r="G1228" s="50"/>
      <c r="H1228" s="51"/>
      <c r="I1228" s="50"/>
      <c r="J1228" s="50" t="str">
        <f>IF(I1228="","",_xlfn.XLOOKUP(TRIM(I1228),'SkillMasterSkill ID'!$C:$C,'SkillMasterSkill ID'!$F:$F,"NOT FOUND",0))</f>
        <v/>
      </c>
      <c r="K1228" s="50"/>
      <c r="L1228" s="50"/>
    </row>
    <row r="1229" spans="1:12" x14ac:dyDescent="0.25">
      <c r="A122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29" s="46"/>
      <c r="C1229" s="46"/>
      <c r="D1229" s="46"/>
      <c r="E1229" s="46" t="str">
        <f>IF(I1229="","",_xlfn.XLOOKUP(TRIM(I1229),'SkillMasterSkill ID'!$C:$C,'SkillMasterSkill ID'!$D:$D,"NOT FOUND",0))</f>
        <v/>
      </c>
      <c r="F1229" s="50"/>
      <c r="G1229" s="50"/>
      <c r="H1229" s="51"/>
      <c r="I1229" s="50"/>
      <c r="J1229" s="50" t="str">
        <f>IF(I1229="","",_xlfn.XLOOKUP(TRIM(I1229),'SkillMasterSkill ID'!$C:$C,'SkillMasterSkill ID'!$F:$F,"NOT FOUND",0))</f>
        <v/>
      </c>
      <c r="K1229" s="50"/>
      <c r="L1229" s="50"/>
    </row>
    <row r="1230" spans="1:12" x14ac:dyDescent="0.25">
      <c r="A123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30" s="46"/>
      <c r="C1230" s="46"/>
      <c r="D1230" s="46"/>
      <c r="E1230" s="46" t="str">
        <f>IF(I1230="","",_xlfn.XLOOKUP(TRIM(I1230),'SkillMasterSkill ID'!$C:$C,'SkillMasterSkill ID'!$D:$D,"NOT FOUND",0))</f>
        <v/>
      </c>
      <c r="F1230" s="50"/>
      <c r="G1230" s="50"/>
      <c r="H1230" s="51"/>
      <c r="I1230" s="50"/>
      <c r="J1230" s="50" t="str">
        <f>IF(I1230="","",_xlfn.XLOOKUP(TRIM(I1230),'SkillMasterSkill ID'!$C:$C,'SkillMasterSkill ID'!$F:$F,"NOT FOUND",0))</f>
        <v/>
      </c>
      <c r="K1230" s="50"/>
      <c r="L1230" s="50"/>
    </row>
    <row r="1231" spans="1:12" x14ac:dyDescent="0.25">
      <c r="A123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31" s="46"/>
      <c r="C1231" s="46"/>
      <c r="D1231" s="46"/>
      <c r="E1231" s="46" t="str">
        <f>IF(I1231="","",_xlfn.XLOOKUP(TRIM(I1231),'SkillMasterSkill ID'!$C:$C,'SkillMasterSkill ID'!$D:$D,"NOT FOUND",0))</f>
        <v/>
      </c>
      <c r="F1231" s="50"/>
      <c r="G1231" s="50"/>
      <c r="H1231" s="51"/>
      <c r="I1231" s="50"/>
      <c r="J1231" s="50" t="str">
        <f>IF(I1231="","",_xlfn.XLOOKUP(TRIM(I1231),'SkillMasterSkill ID'!$C:$C,'SkillMasterSkill ID'!$F:$F,"NOT FOUND",0))</f>
        <v/>
      </c>
      <c r="K1231" s="50"/>
      <c r="L1231" s="50"/>
    </row>
    <row r="1232" spans="1:12" x14ac:dyDescent="0.25">
      <c r="A123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32" s="46"/>
      <c r="C1232" s="46"/>
      <c r="D1232" s="46"/>
      <c r="E1232" s="46" t="str">
        <f>IF(I1232="","",_xlfn.XLOOKUP(TRIM(I1232),'SkillMasterSkill ID'!$C:$C,'SkillMasterSkill ID'!$D:$D,"NOT FOUND",0))</f>
        <v/>
      </c>
      <c r="F1232" s="50"/>
      <c r="G1232" s="50"/>
      <c r="H1232" s="51"/>
      <c r="I1232" s="50"/>
      <c r="J1232" s="50" t="str">
        <f>IF(I1232="","",_xlfn.XLOOKUP(TRIM(I1232),'SkillMasterSkill ID'!$C:$C,'SkillMasterSkill ID'!$F:$F,"NOT FOUND",0))</f>
        <v/>
      </c>
      <c r="K1232" s="50"/>
      <c r="L1232" s="50"/>
    </row>
    <row r="1233" spans="1:12" x14ac:dyDescent="0.25">
      <c r="A123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33" s="46"/>
      <c r="C1233" s="46"/>
      <c r="D1233" s="46"/>
      <c r="E1233" s="46" t="str">
        <f>IF(I1233="","",_xlfn.XLOOKUP(TRIM(I1233),'SkillMasterSkill ID'!$C:$C,'SkillMasterSkill ID'!$D:$D,"NOT FOUND",0))</f>
        <v/>
      </c>
      <c r="F1233" s="50"/>
      <c r="G1233" s="50"/>
      <c r="H1233" s="51"/>
      <c r="I1233" s="50"/>
      <c r="J1233" s="50" t="str">
        <f>IF(I1233="","",_xlfn.XLOOKUP(TRIM(I1233),'SkillMasterSkill ID'!$C:$C,'SkillMasterSkill ID'!$F:$F,"NOT FOUND",0))</f>
        <v/>
      </c>
      <c r="K1233" s="50"/>
      <c r="L1233" s="50"/>
    </row>
    <row r="1234" spans="1:12" x14ac:dyDescent="0.25">
      <c r="A123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34" s="46"/>
      <c r="C1234" s="46"/>
      <c r="D1234" s="46"/>
      <c r="E1234" s="46" t="str">
        <f>IF(I1234="","",_xlfn.XLOOKUP(TRIM(I1234),'SkillMasterSkill ID'!$C:$C,'SkillMasterSkill ID'!$D:$D,"NOT FOUND",0))</f>
        <v/>
      </c>
      <c r="F1234" s="50"/>
      <c r="G1234" s="50"/>
      <c r="H1234" s="51"/>
      <c r="I1234" s="50"/>
      <c r="J1234" s="50" t="str">
        <f>IF(I1234="","",_xlfn.XLOOKUP(TRIM(I1234),'SkillMasterSkill ID'!$C:$C,'SkillMasterSkill ID'!$F:$F,"NOT FOUND",0))</f>
        <v/>
      </c>
      <c r="K1234" s="50"/>
      <c r="L1234" s="50"/>
    </row>
    <row r="1235" spans="1:12" x14ac:dyDescent="0.25">
      <c r="A123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35" s="46"/>
      <c r="C1235" s="46"/>
      <c r="D1235" s="46"/>
      <c r="E1235" s="46" t="str">
        <f>IF(I1235="","",_xlfn.XLOOKUP(TRIM(I1235),'SkillMasterSkill ID'!$C:$C,'SkillMasterSkill ID'!$D:$D,"NOT FOUND",0))</f>
        <v/>
      </c>
      <c r="F1235" s="50"/>
      <c r="G1235" s="50"/>
      <c r="H1235" s="51"/>
      <c r="I1235" s="50"/>
      <c r="J1235" s="50" t="str">
        <f>IF(I1235="","",_xlfn.XLOOKUP(TRIM(I1235),'SkillMasterSkill ID'!$C:$C,'SkillMasterSkill ID'!$F:$F,"NOT FOUND",0))</f>
        <v/>
      </c>
      <c r="K1235" s="50"/>
      <c r="L1235" s="50"/>
    </row>
    <row r="1236" spans="1:12" x14ac:dyDescent="0.25">
      <c r="A123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36" s="46"/>
      <c r="C1236" s="46"/>
      <c r="D1236" s="46"/>
      <c r="E1236" s="46" t="str">
        <f>IF(I1236="","",_xlfn.XLOOKUP(TRIM(I1236),'SkillMasterSkill ID'!$C:$C,'SkillMasterSkill ID'!$D:$D,"NOT FOUND",0))</f>
        <v/>
      </c>
      <c r="F1236" s="50"/>
      <c r="G1236" s="50"/>
      <c r="H1236" s="51"/>
      <c r="I1236" s="50"/>
      <c r="J1236" s="50" t="str">
        <f>IF(I1236="","",_xlfn.XLOOKUP(TRIM(I1236),'SkillMasterSkill ID'!$C:$C,'SkillMasterSkill ID'!$F:$F,"NOT FOUND",0))</f>
        <v/>
      </c>
      <c r="K1236" s="50"/>
      <c r="L1236" s="50"/>
    </row>
    <row r="1237" spans="1:12" x14ac:dyDescent="0.25">
      <c r="A123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37" s="46"/>
      <c r="C1237" s="46"/>
      <c r="D1237" s="46"/>
      <c r="E1237" s="46" t="str">
        <f>IF(I1237="","",_xlfn.XLOOKUP(TRIM(I1237),'SkillMasterSkill ID'!$C:$C,'SkillMasterSkill ID'!$D:$D,"NOT FOUND",0))</f>
        <v/>
      </c>
      <c r="F1237" s="50"/>
      <c r="G1237" s="50"/>
      <c r="H1237" s="51"/>
      <c r="I1237" s="50"/>
      <c r="J1237" s="50" t="str">
        <f>IF(I1237="","",_xlfn.XLOOKUP(TRIM(I1237),'SkillMasterSkill ID'!$C:$C,'SkillMasterSkill ID'!$F:$F,"NOT FOUND",0))</f>
        <v/>
      </c>
      <c r="K1237" s="50"/>
      <c r="L1237" s="50"/>
    </row>
    <row r="1238" spans="1:12" x14ac:dyDescent="0.25">
      <c r="A123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38" s="46"/>
      <c r="C1238" s="46"/>
      <c r="D1238" s="46"/>
      <c r="E1238" s="46" t="str">
        <f>IF(I1238="","",_xlfn.XLOOKUP(TRIM(I1238),'SkillMasterSkill ID'!$C:$C,'SkillMasterSkill ID'!$D:$D,"NOT FOUND",0))</f>
        <v/>
      </c>
      <c r="F1238" s="50"/>
      <c r="G1238" s="50"/>
      <c r="H1238" s="51"/>
      <c r="I1238" s="50"/>
      <c r="J1238" s="50" t="str">
        <f>IF(I1238="","",_xlfn.XLOOKUP(TRIM(I1238),'SkillMasterSkill ID'!$C:$C,'SkillMasterSkill ID'!$F:$F,"NOT FOUND",0))</f>
        <v/>
      </c>
      <c r="K1238" s="50"/>
      <c r="L1238" s="50"/>
    </row>
    <row r="1239" spans="1:12" x14ac:dyDescent="0.25">
      <c r="A123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39" s="46"/>
      <c r="C1239" s="46"/>
      <c r="D1239" s="46"/>
      <c r="E1239" s="46" t="str">
        <f>IF(I1239="","",_xlfn.XLOOKUP(TRIM(I1239),'SkillMasterSkill ID'!$C:$C,'SkillMasterSkill ID'!$D:$D,"NOT FOUND",0))</f>
        <v/>
      </c>
      <c r="F1239" s="50"/>
      <c r="G1239" s="50"/>
      <c r="H1239" s="51"/>
      <c r="I1239" s="50"/>
      <c r="J1239" s="50" t="str">
        <f>IF(I1239="","",_xlfn.XLOOKUP(TRIM(I1239),'SkillMasterSkill ID'!$C:$C,'SkillMasterSkill ID'!$F:$F,"NOT FOUND",0))</f>
        <v/>
      </c>
      <c r="K1239" s="50"/>
      <c r="L1239" s="50"/>
    </row>
    <row r="1240" spans="1:12" x14ac:dyDescent="0.25">
      <c r="A124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40" s="46"/>
      <c r="C1240" s="46"/>
      <c r="D1240" s="46"/>
      <c r="E1240" s="46" t="str">
        <f>IF(I1240="","",_xlfn.XLOOKUP(TRIM(I1240),'SkillMasterSkill ID'!$C:$C,'SkillMasterSkill ID'!$D:$D,"NOT FOUND",0))</f>
        <v/>
      </c>
      <c r="F1240" s="50"/>
      <c r="G1240" s="50"/>
      <c r="H1240" s="51"/>
      <c r="I1240" s="50"/>
      <c r="J1240" s="50" t="str">
        <f>IF(I1240="","",_xlfn.XLOOKUP(TRIM(I1240),'SkillMasterSkill ID'!$C:$C,'SkillMasterSkill ID'!$F:$F,"NOT FOUND",0))</f>
        <v/>
      </c>
      <c r="K1240" s="50"/>
      <c r="L1240" s="50"/>
    </row>
    <row r="1241" spans="1:12" x14ac:dyDescent="0.25">
      <c r="A124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41" s="46"/>
      <c r="C1241" s="46"/>
      <c r="D1241" s="46"/>
      <c r="E1241" s="46" t="str">
        <f>IF(I1241="","",_xlfn.XLOOKUP(TRIM(I1241),'SkillMasterSkill ID'!$C:$C,'SkillMasterSkill ID'!$D:$D,"NOT FOUND",0))</f>
        <v/>
      </c>
      <c r="F1241" s="50"/>
      <c r="G1241" s="50"/>
      <c r="H1241" s="51"/>
      <c r="I1241" s="50"/>
      <c r="J1241" s="50" t="str">
        <f>IF(I1241="","",_xlfn.XLOOKUP(TRIM(I1241),'SkillMasterSkill ID'!$C:$C,'SkillMasterSkill ID'!$F:$F,"NOT FOUND",0))</f>
        <v/>
      </c>
      <c r="K1241" s="50"/>
      <c r="L1241" s="50"/>
    </row>
    <row r="1242" spans="1:12" x14ac:dyDescent="0.25">
      <c r="A124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42" s="46"/>
      <c r="C1242" s="46"/>
      <c r="D1242" s="46"/>
      <c r="E1242" s="46" t="str">
        <f>IF(I1242="","",_xlfn.XLOOKUP(TRIM(I1242),'SkillMasterSkill ID'!$C:$C,'SkillMasterSkill ID'!$D:$D,"NOT FOUND",0))</f>
        <v/>
      </c>
      <c r="F1242" s="50"/>
      <c r="G1242" s="50"/>
      <c r="H1242" s="51"/>
      <c r="I1242" s="50"/>
      <c r="J1242" s="50" t="str">
        <f>IF(I1242="","",_xlfn.XLOOKUP(TRIM(I1242),'SkillMasterSkill ID'!$C:$C,'SkillMasterSkill ID'!$F:$F,"NOT FOUND",0))</f>
        <v/>
      </c>
      <c r="K1242" s="50"/>
      <c r="L1242" s="50"/>
    </row>
    <row r="1243" spans="1:12" x14ac:dyDescent="0.25">
      <c r="A124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43" s="46"/>
      <c r="C1243" s="46"/>
      <c r="D1243" s="46"/>
      <c r="E1243" s="46" t="str">
        <f>IF(I1243="","",_xlfn.XLOOKUP(TRIM(I1243),'SkillMasterSkill ID'!$C:$C,'SkillMasterSkill ID'!$D:$D,"NOT FOUND",0))</f>
        <v/>
      </c>
      <c r="F1243" s="50"/>
      <c r="G1243" s="50"/>
      <c r="H1243" s="51"/>
      <c r="I1243" s="50"/>
      <c r="J1243" s="50" t="str">
        <f>IF(I1243="","",_xlfn.XLOOKUP(TRIM(I1243),'SkillMasterSkill ID'!$C:$C,'SkillMasterSkill ID'!$F:$F,"NOT FOUND",0))</f>
        <v/>
      </c>
      <c r="K1243" s="50"/>
      <c r="L1243" s="50"/>
    </row>
    <row r="1244" spans="1:12" x14ac:dyDescent="0.25">
      <c r="A124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44" s="46"/>
      <c r="C1244" s="46"/>
      <c r="D1244" s="46"/>
      <c r="E1244" s="46" t="str">
        <f>IF(I1244="","",_xlfn.XLOOKUP(TRIM(I1244),'SkillMasterSkill ID'!$C:$C,'SkillMasterSkill ID'!$D:$D,"NOT FOUND",0))</f>
        <v/>
      </c>
      <c r="F1244" s="50"/>
      <c r="G1244" s="50"/>
      <c r="H1244" s="51"/>
      <c r="I1244" s="50"/>
      <c r="J1244" s="50" t="str">
        <f>IF(I1244="","",_xlfn.XLOOKUP(TRIM(I1244),'SkillMasterSkill ID'!$C:$C,'SkillMasterSkill ID'!$F:$F,"NOT FOUND",0))</f>
        <v/>
      </c>
      <c r="K1244" s="50"/>
      <c r="L1244" s="50"/>
    </row>
    <row r="1245" spans="1:12" x14ac:dyDescent="0.25">
      <c r="A124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45" s="46"/>
      <c r="C1245" s="46"/>
      <c r="D1245" s="46"/>
      <c r="E1245" s="46" t="str">
        <f>IF(I1245="","",_xlfn.XLOOKUP(TRIM(I1245),'SkillMasterSkill ID'!$C:$C,'SkillMasterSkill ID'!$D:$D,"NOT FOUND",0))</f>
        <v/>
      </c>
      <c r="F1245" s="50"/>
      <c r="G1245" s="50"/>
      <c r="H1245" s="51"/>
      <c r="I1245" s="50"/>
      <c r="J1245" s="50" t="str">
        <f>IF(I1245="","",_xlfn.XLOOKUP(TRIM(I1245),'SkillMasterSkill ID'!$C:$C,'SkillMasterSkill ID'!$F:$F,"NOT FOUND",0))</f>
        <v/>
      </c>
      <c r="K1245" s="50"/>
      <c r="L1245" s="50"/>
    </row>
    <row r="1246" spans="1:12" x14ac:dyDescent="0.25">
      <c r="A124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46" s="46"/>
      <c r="C1246" s="46"/>
      <c r="D1246" s="46"/>
      <c r="E1246" s="46" t="str">
        <f>IF(I1246="","",_xlfn.XLOOKUP(TRIM(I1246),'SkillMasterSkill ID'!$C:$C,'SkillMasterSkill ID'!$D:$D,"NOT FOUND",0))</f>
        <v/>
      </c>
      <c r="F1246" s="50"/>
      <c r="G1246" s="50"/>
      <c r="H1246" s="51"/>
      <c r="I1246" s="50"/>
      <c r="J1246" s="50" t="str">
        <f>IF(I1246="","",_xlfn.XLOOKUP(TRIM(I1246),'SkillMasterSkill ID'!$C:$C,'SkillMasterSkill ID'!$F:$F,"NOT FOUND",0))</f>
        <v/>
      </c>
      <c r="K1246" s="50"/>
      <c r="L1246" s="50"/>
    </row>
    <row r="1247" spans="1:12" x14ac:dyDescent="0.25">
      <c r="A124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47" s="46"/>
      <c r="C1247" s="46"/>
      <c r="D1247" s="46"/>
      <c r="E1247" s="46" t="str">
        <f>IF(I1247="","",_xlfn.XLOOKUP(TRIM(I1247),'SkillMasterSkill ID'!$C:$C,'SkillMasterSkill ID'!$D:$D,"NOT FOUND",0))</f>
        <v/>
      </c>
      <c r="F1247" s="50"/>
      <c r="G1247" s="50"/>
      <c r="H1247" s="51"/>
      <c r="I1247" s="50"/>
      <c r="J1247" s="50" t="str">
        <f>IF(I1247="","",_xlfn.XLOOKUP(TRIM(I1247),'SkillMasterSkill ID'!$C:$C,'SkillMasterSkill ID'!$F:$F,"NOT FOUND",0))</f>
        <v/>
      </c>
      <c r="K1247" s="50"/>
      <c r="L1247" s="50"/>
    </row>
    <row r="1248" spans="1:12" x14ac:dyDescent="0.25">
      <c r="A124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48" s="46"/>
      <c r="C1248" s="46"/>
      <c r="D1248" s="46"/>
      <c r="E1248" s="46" t="str">
        <f>IF(I1248="","",_xlfn.XLOOKUP(TRIM(I1248),'SkillMasterSkill ID'!$C:$C,'SkillMasterSkill ID'!$D:$D,"NOT FOUND",0))</f>
        <v/>
      </c>
      <c r="F1248" s="50"/>
      <c r="G1248" s="50"/>
      <c r="H1248" s="51"/>
      <c r="I1248" s="50"/>
      <c r="J1248" s="50" t="str">
        <f>IF(I1248="","",_xlfn.XLOOKUP(TRIM(I1248),'SkillMasterSkill ID'!$C:$C,'SkillMasterSkill ID'!$F:$F,"NOT FOUND",0))</f>
        <v/>
      </c>
      <c r="K1248" s="50"/>
      <c r="L1248" s="50"/>
    </row>
    <row r="1249" spans="1:12" x14ac:dyDescent="0.25">
      <c r="A124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49" s="46"/>
      <c r="C1249" s="46"/>
      <c r="D1249" s="46"/>
      <c r="E1249" s="46" t="str">
        <f>IF(I1249="","",_xlfn.XLOOKUP(TRIM(I1249),'SkillMasterSkill ID'!$C:$C,'SkillMasterSkill ID'!$D:$D,"NOT FOUND",0))</f>
        <v/>
      </c>
      <c r="F1249" s="50"/>
      <c r="G1249" s="50"/>
      <c r="H1249" s="51"/>
      <c r="I1249" s="50"/>
      <c r="J1249" s="50" t="str">
        <f>IF(I1249="","",_xlfn.XLOOKUP(TRIM(I1249),'SkillMasterSkill ID'!$C:$C,'SkillMasterSkill ID'!$F:$F,"NOT FOUND",0))</f>
        <v/>
      </c>
      <c r="K1249" s="50"/>
      <c r="L1249" s="50"/>
    </row>
    <row r="1250" spans="1:12" x14ac:dyDescent="0.25">
      <c r="A125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50" s="46"/>
      <c r="C1250" s="46"/>
      <c r="D1250" s="46"/>
      <c r="E1250" s="46" t="str">
        <f>IF(I1250="","",_xlfn.XLOOKUP(TRIM(I1250),'SkillMasterSkill ID'!$C:$C,'SkillMasterSkill ID'!$D:$D,"NOT FOUND",0))</f>
        <v/>
      </c>
      <c r="F1250" s="50"/>
      <c r="G1250" s="50"/>
      <c r="H1250" s="51"/>
      <c r="I1250" s="50"/>
      <c r="J1250" s="50" t="str">
        <f>IF(I1250="","",_xlfn.XLOOKUP(TRIM(I1250),'SkillMasterSkill ID'!$C:$C,'SkillMasterSkill ID'!$F:$F,"NOT FOUND",0))</f>
        <v/>
      </c>
      <c r="K1250" s="50"/>
      <c r="L1250" s="50"/>
    </row>
    <row r="1251" spans="1:12" x14ac:dyDescent="0.25">
      <c r="A125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51" s="46"/>
      <c r="C1251" s="46"/>
      <c r="D1251" s="46"/>
      <c r="E1251" s="46" t="str">
        <f>IF(I1251="","",_xlfn.XLOOKUP(TRIM(I1251),'SkillMasterSkill ID'!$C:$C,'SkillMasterSkill ID'!$D:$D,"NOT FOUND",0))</f>
        <v/>
      </c>
      <c r="F1251" s="50"/>
      <c r="G1251" s="50"/>
      <c r="H1251" s="51"/>
      <c r="I1251" s="50"/>
      <c r="J1251" s="50" t="str">
        <f>IF(I1251="","",_xlfn.XLOOKUP(TRIM(I1251),'SkillMasterSkill ID'!$C:$C,'SkillMasterSkill ID'!$F:$F,"NOT FOUND",0))</f>
        <v/>
      </c>
      <c r="K1251" s="50"/>
      <c r="L1251" s="50"/>
    </row>
    <row r="1252" spans="1:12" x14ac:dyDescent="0.25">
      <c r="A125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52" s="46"/>
      <c r="C1252" s="46"/>
      <c r="D1252" s="46"/>
      <c r="E1252" s="46" t="str">
        <f>IF(I1252="","",_xlfn.XLOOKUP(TRIM(I1252),'SkillMasterSkill ID'!$C:$C,'SkillMasterSkill ID'!$D:$D,"NOT FOUND",0))</f>
        <v/>
      </c>
      <c r="F1252" s="50"/>
      <c r="G1252" s="50"/>
      <c r="H1252" s="51"/>
      <c r="I1252" s="50"/>
      <c r="J1252" s="50" t="str">
        <f>IF(I1252="","",_xlfn.XLOOKUP(TRIM(I1252),'SkillMasterSkill ID'!$C:$C,'SkillMasterSkill ID'!$F:$F,"NOT FOUND",0))</f>
        <v/>
      </c>
      <c r="K1252" s="50"/>
      <c r="L1252" s="50"/>
    </row>
    <row r="1253" spans="1:12" x14ac:dyDescent="0.25">
      <c r="A125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53" s="46"/>
      <c r="C1253" s="46"/>
      <c r="D1253" s="46"/>
      <c r="E1253" s="46" t="str">
        <f>IF(I1253="","",_xlfn.XLOOKUP(TRIM(I1253),'SkillMasterSkill ID'!$C:$C,'SkillMasterSkill ID'!$D:$D,"NOT FOUND",0))</f>
        <v/>
      </c>
      <c r="F1253" s="50"/>
      <c r="G1253" s="50"/>
      <c r="H1253" s="51"/>
      <c r="I1253" s="50"/>
      <c r="J1253" s="50" t="str">
        <f>IF(I1253="","",_xlfn.XLOOKUP(TRIM(I1253),'SkillMasterSkill ID'!$C:$C,'SkillMasterSkill ID'!$F:$F,"NOT FOUND",0))</f>
        <v/>
      </c>
      <c r="K1253" s="50"/>
      <c r="L1253" s="50"/>
    </row>
    <row r="1254" spans="1:12" x14ac:dyDescent="0.25">
      <c r="A125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54" s="46"/>
      <c r="C1254" s="46"/>
      <c r="D1254" s="46"/>
      <c r="E1254" s="46" t="str">
        <f>IF(I1254="","",_xlfn.XLOOKUP(TRIM(I1254),'SkillMasterSkill ID'!$C:$C,'SkillMasterSkill ID'!$D:$D,"NOT FOUND",0))</f>
        <v/>
      </c>
      <c r="F1254" s="50"/>
      <c r="G1254" s="50"/>
      <c r="H1254" s="51"/>
      <c r="I1254" s="50"/>
      <c r="J1254" s="50" t="str">
        <f>IF(I1254="","",_xlfn.XLOOKUP(TRIM(I1254),'SkillMasterSkill ID'!$C:$C,'SkillMasterSkill ID'!$F:$F,"NOT FOUND",0))</f>
        <v/>
      </c>
      <c r="K1254" s="50"/>
      <c r="L1254" s="50"/>
    </row>
    <row r="1255" spans="1:12" x14ac:dyDescent="0.25">
      <c r="A125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55" s="46"/>
      <c r="C1255" s="46"/>
      <c r="D1255" s="46"/>
      <c r="E1255" s="46" t="str">
        <f>IF(I1255="","",_xlfn.XLOOKUP(TRIM(I1255),'SkillMasterSkill ID'!$C:$C,'SkillMasterSkill ID'!$D:$D,"NOT FOUND",0))</f>
        <v/>
      </c>
      <c r="F1255" s="50"/>
      <c r="G1255" s="50"/>
      <c r="H1255" s="51"/>
      <c r="I1255" s="50"/>
      <c r="J1255" s="50" t="str">
        <f>IF(I1255="","",_xlfn.XLOOKUP(TRIM(I1255),'SkillMasterSkill ID'!$C:$C,'SkillMasterSkill ID'!$F:$F,"NOT FOUND",0))</f>
        <v/>
      </c>
      <c r="K1255" s="50"/>
      <c r="L1255" s="50"/>
    </row>
    <row r="1256" spans="1:12" x14ac:dyDescent="0.25">
      <c r="A125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56" s="46"/>
      <c r="C1256" s="46"/>
      <c r="D1256" s="46"/>
      <c r="E1256" s="46" t="str">
        <f>IF(I1256="","",_xlfn.XLOOKUP(TRIM(I1256),'SkillMasterSkill ID'!$C:$C,'SkillMasterSkill ID'!$D:$D,"NOT FOUND",0))</f>
        <v/>
      </c>
      <c r="F1256" s="50"/>
      <c r="G1256" s="50"/>
      <c r="H1256" s="51"/>
      <c r="I1256" s="50"/>
      <c r="J1256" s="50" t="str">
        <f>IF(I1256="","",_xlfn.XLOOKUP(TRIM(I1256),'SkillMasterSkill ID'!$C:$C,'SkillMasterSkill ID'!$F:$F,"NOT FOUND",0))</f>
        <v/>
      </c>
      <c r="K1256" s="50"/>
      <c r="L1256" s="50"/>
    </row>
    <row r="1257" spans="1:12" x14ac:dyDescent="0.25">
      <c r="A125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57" s="46"/>
      <c r="C1257" s="46"/>
      <c r="D1257" s="46"/>
      <c r="E1257" s="46" t="str">
        <f>IF(I1257="","",_xlfn.XLOOKUP(TRIM(I1257),'SkillMasterSkill ID'!$C:$C,'SkillMasterSkill ID'!$D:$D,"NOT FOUND",0))</f>
        <v/>
      </c>
      <c r="F1257" s="50"/>
      <c r="G1257" s="50"/>
      <c r="H1257" s="51"/>
      <c r="I1257" s="50"/>
      <c r="J1257" s="50" t="str">
        <f>IF(I1257="","",_xlfn.XLOOKUP(TRIM(I1257),'SkillMasterSkill ID'!$C:$C,'SkillMasterSkill ID'!$F:$F,"NOT FOUND",0))</f>
        <v/>
      </c>
      <c r="K1257" s="50"/>
      <c r="L1257" s="50"/>
    </row>
    <row r="1258" spans="1:12" x14ac:dyDescent="0.25">
      <c r="A125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58" s="46"/>
      <c r="C1258" s="46"/>
      <c r="D1258" s="46"/>
      <c r="E1258" s="46" t="str">
        <f>IF(I1258="","",_xlfn.XLOOKUP(TRIM(I1258),'SkillMasterSkill ID'!$C:$C,'SkillMasterSkill ID'!$D:$D,"NOT FOUND",0))</f>
        <v/>
      </c>
      <c r="F1258" s="50"/>
      <c r="G1258" s="50"/>
      <c r="H1258" s="51"/>
      <c r="I1258" s="50"/>
      <c r="J1258" s="50" t="str">
        <f>IF(I1258="","",_xlfn.XLOOKUP(TRIM(I1258),'SkillMasterSkill ID'!$C:$C,'SkillMasterSkill ID'!$F:$F,"NOT FOUND",0))</f>
        <v/>
      </c>
      <c r="K1258" s="50"/>
      <c r="L1258" s="50"/>
    </row>
    <row r="1259" spans="1:12" x14ac:dyDescent="0.25">
      <c r="A125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59" s="46"/>
      <c r="C1259" s="46"/>
      <c r="D1259" s="46"/>
      <c r="E1259" s="46" t="str">
        <f>IF(I1259="","",_xlfn.XLOOKUP(TRIM(I1259),'SkillMasterSkill ID'!$C:$C,'SkillMasterSkill ID'!$D:$D,"NOT FOUND",0))</f>
        <v/>
      </c>
      <c r="F1259" s="50"/>
      <c r="G1259" s="50"/>
      <c r="H1259" s="51"/>
      <c r="I1259" s="50"/>
      <c r="J1259" s="50" t="str">
        <f>IF(I1259="","",_xlfn.XLOOKUP(TRIM(I1259),'SkillMasterSkill ID'!$C:$C,'SkillMasterSkill ID'!$F:$F,"NOT FOUND",0))</f>
        <v/>
      </c>
      <c r="K1259" s="50"/>
      <c r="L1259" s="50"/>
    </row>
    <row r="1260" spans="1:12" x14ac:dyDescent="0.25">
      <c r="A126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60" s="46"/>
      <c r="C1260" s="46"/>
      <c r="D1260" s="46"/>
      <c r="E1260" s="46" t="str">
        <f>IF(I1260="","",_xlfn.XLOOKUP(TRIM(I1260),'SkillMasterSkill ID'!$C:$C,'SkillMasterSkill ID'!$D:$D,"NOT FOUND",0))</f>
        <v/>
      </c>
      <c r="F1260" s="50"/>
      <c r="G1260" s="50"/>
      <c r="H1260" s="51"/>
      <c r="I1260" s="50"/>
      <c r="J1260" s="50" t="str">
        <f>IF(I1260="","",_xlfn.XLOOKUP(TRIM(I1260),'SkillMasterSkill ID'!$C:$C,'SkillMasterSkill ID'!$F:$F,"NOT FOUND",0))</f>
        <v/>
      </c>
      <c r="K1260" s="50"/>
      <c r="L1260" s="50"/>
    </row>
    <row r="1261" spans="1:12" x14ac:dyDescent="0.25">
      <c r="A126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61" s="46"/>
      <c r="C1261" s="46"/>
      <c r="D1261" s="46"/>
      <c r="E1261" s="46" t="str">
        <f>IF(I1261="","",_xlfn.XLOOKUP(TRIM(I1261),'SkillMasterSkill ID'!$C:$C,'SkillMasterSkill ID'!$D:$D,"NOT FOUND",0))</f>
        <v/>
      </c>
      <c r="F1261" s="50"/>
      <c r="G1261" s="50"/>
      <c r="H1261" s="51"/>
      <c r="I1261" s="50"/>
      <c r="J1261" s="50" t="str">
        <f>IF(I1261="","",_xlfn.XLOOKUP(TRIM(I1261),'SkillMasterSkill ID'!$C:$C,'SkillMasterSkill ID'!$F:$F,"NOT FOUND",0))</f>
        <v/>
      </c>
      <c r="K1261" s="50"/>
      <c r="L1261" s="50"/>
    </row>
    <row r="1262" spans="1:12" x14ac:dyDescent="0.25">
      <c r="A126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62" s="46"/>
      <c r="C1262" s="46"/>
      <c r="D1262" s="46"/>
      <c r="E1262" s="46" t="str">
        <f>IF(I1262="","",_xlfn.XLOOKUP(TRIM(I1262),'SkillMasterSkill ID'!$C:$C,'SkillMasterSkill ID'!$D:$D,"NOT FOUND",0))</f>
        <v/>
      </c>
      <c r="F1262" s="50"/>
      <c r="G1262" s="50"/>
      <c r="H1262" s="51"/>
      <c r="I1262" s="50"/>
      <c r="J1262" s="50" t="str">
        <f>IF(I1262="","",_xlfn.XLOOKUP(TRIM(I1262),'SkillMasterSkill ID'!$C:$C,'SkillMasterSkill ID'!$F:$F,"NOT FOUND",0))</f>
        <v/>
      </c>
      <c r="K1262" s="50"/>
      <c r="L1262" s="50"/>
    </row>
    <row r="1263" spans="1:12" x14ac:dyDescent="0.25">
      <c r="A126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63" s="46"/>
      <c r="C1263" s="46"/>
      <c r="D1263" s="46"/>
      <c r="E1263" s="46" t="str">
        <f>IF(I1263="","",_xlfn.XLOOKUP(TRIM(I1263),'SkillMasterSkill ID'!$C:$C,'SkillMasterSkill ID'!$D:$D,"NOT FOUND",0))</f>
        <v/>
      </c>
      <c r="F1263" s="50"/>
      <c r="G1263" s="50"/>
      <c r="H1263" s="51"/>
      <c r="I1263" s="50"/>
      <c r="J1263" s="50" t="str">
        <f>IF(I1263="","",_xlfn.XLOOKUP(TRIM(I1263),'SkillMasterSkill ID'!$C:$C,'SkillMasterSkill ID'!$F:$F,"NOT FOUND",0))</f>
        <v/>
      </c>
      <c r="K1263" s="50"/>
      <c r="L1263" s="50"/>
    </row>
    <row r="1264" spans="1:12" x14ac:dyDescent="0.25">
      <c r="A126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64" s="46"/>
      <c r="C1264" s="46"/>
      <c r="D1264" s="46"/>
      <c r="E1264" s="46" t="str">
        <f>IF(I1264="","",_xlfn.XLOOKUP(TRIM(I1264),'SkillMasterSkill ID'!$C:$C,'SkillMasterSkill ID'!$D:$D,"NOT FOUND",0))</f>
        <v/>
      </c>
      <c r="F1264" s="50"/>
      <c r="G1264" s="50"/>
      <c r="H1264" s="51"/>
      <c r="I1264" s="50"/>
      <c r="J1264" s="50" t="str">
        <f>IF(I1264="","",_xlfn.XLOOKUP(TRIM(I1264),'SkillMasterSkill ID'!$C:$C,'SkillMasterSkill ID'!$F:$F,"NOT FOUND",0))</f>
        <v/>
      </c>
      <c r="K1264" s="50"/>
      <c r="L1264" s="50"/>
    </row>
    <row r="1265" spans="1:12" x14ac:dyDescent="0.25">
      <c r="A126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65" s="46"/>
      <c r="C1265" s="46"/>
      <c r="D1265" s="46"/>
      <c r="E1265" s="46" t="str">
        <f>IF(I1265="","",_xlfn.XLOOKUP(TRIM(I1265),'SkillMasterSkill ID'!$C:$C,'SkillMasterSkill ID'!$D:$D,"NOT FOUND",0))</f>
        <v/>
      </c>
      <c r="F1265" s="50"/>
      <c r="G1265" s="50"/>
      <c r="H1265" s="51"/>
      <c r="I1265" s="50"/>
      <c r="J1265" s="50" t="str">
        <f>IF(I1265="","",_xlfn.XLOOKUP(TRIM(I1265),'SkillMasterSkill ID'!$C:$C,'SkillMasterSkill ID'!$F:$F,"NOT FOUND",0))</f>
        <v/>
      </c>
      <c r="K1265" s="50"/>
      <c r="L1265" s="50"/>
    </row>
    <row r="1266" spans="1:12" x14ac:dyDescent="0.25">
      <c r="A126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66" s="46"/>
      <c r="C1266" s="46"/>
      <c r="D1266" s="46"/>
      <c r="E1266" s="46" t="str">
        <f>IF(I1266="","",_xlfn.XLOOKUP(TRIM(I1266),'SkillMasterSkill ID'!$C:$C,'SkillMasterSkill ID'!$D:$D,"NOT FOUND",0))</f>
        <v/>
      </c>
      <c r="F1266" s="50"/>
      <c r="G1266" s="50"/>
      <c r="H1266" s="51"/>
      <c r="I1266" s="50"/>
      <c r="J1266" s="50" t="str">
        <f>IF(I1266="","",_xlfn.XLOOKUP(TRIM(I1266),'SkillMasterSkill ID'!$C:$C,'SkillMasterSkill ID'!$F:$F,"NOT FOUND",0))</f>
        <v/>
      </c>
      <c r="K1266" s="50"/>
      <c r="L1266" s="50"/>
    </row>
    <row r="1267" spans="1:12" x14ac:dyDescent="0.25">
      <c r="A126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67" s="46"/>
      <c r="C1267" s="46"/>
      <c r="D1267" s="46"/>
      <c r="E1267" s="46" t="str">
        <f>IF(I1267="","",_xlfn.XLOOKUP(TRIM(I1267),'SkillMasterSkill ID'!$C:$C,'SkillMasterSkill ID'!$D:$D,"NOT FOUND",0))</f>
        <v/>
      </c>
      <c r="F1267" s="50"/>
      <c r="G1267" s="50"/>
      <c r="H1267" s="51"/>
      <c r="I1267" s="50"/>
      <c r="J1267" s="50" t="str">
        <f>IF(I1267="","",_xlfn.XLOOKUP(TRIM(I1267),'SkillMasterSkill ID'!$C:$C,'SkillMasterSkill ID'!$F:$F,"NOT FOUND",0))</f>
        <v/>
      </c>
      <c r="K1267" s="50"/>
      <c r="L1267" s="50"/>
    </row>
    <row r="1268" spans="1:12" x14ac:dyDescent="0.25">
      <c r="A126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68" s="46"/>
      <c r="C1268" s="46"/>
      <c r="D1268" s="46"/>
      <c r="E1268" s="46" t="str">
        <f>IF(I1268="","",_xlfn.XLOOKUP(TRIM(I1268),'SkillMasterSkill ID'!$C:$C,'SkillMasterSkill ID'!$D:$D,"NOT FOUND",0))</f>
        <v/>
      </c>
      <c r="F1268" s="50"/>
      <c r="G1268" s="50"/>
      <c r="H1268" s="51"/>
      <c r="I1268" s="50"/>
      <c r="J1268" s="50" t="str">
        <f>IF(I1268="","",_xlfn.XLOOKUP(TRIM(I1268),'SkillMasterSkill ID'!$C:$C,'SkillMasterSkill ID'!$F:$F,"NOT FOUND",0))</f>
        <v/>
      </c>
      <c r="K1268" s="50"/>
      <c r="L1268" s="50"/>
    </row>
    <row r="1269" spans="1:12" x14ac:dyDescent="0.25">
      <c r="A126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69" s="46"/>
      <c r="C1269" s="46"/>
      <c r="D1269" s="46"/>
      <c r="E1269" s="46" t="str">
        <f>IF(I1269="","",_xlfn.XLOOKUP(TRIM(I1269),'SkillMasterSkill ID'!$C:$C,'SkillMasterSkill ID'!$D:$D,"NOT FOUND",0))</f>
        <v/>
      </c>
      <c r="F1269" s="50"/>
      <c r="G1269" s="50"/>
      <c r="H1269" s="51"/>
      <c r="I1269" s="50"/>
      <c r="J1269" s="50" t="str">
        <f>IF(I1269="","",_xlfn.XLOOKUP(TRIM(I1269),'SkillMasterSkill ID'!$C:$C,'SkillMasterSkill ID'!$F:$F,"NOT FOUND",0))</f>
        <v/>
      </c>
      <c r="K1269" s="50"/>
      <c r="L1269" s="50"/>
    </row>
    <row r="1270" spans="1:12" x14ac:dyDescent="0.25">
      <c r="A127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70" s="46"/>
      <c r="C1270" s="46"/>
      <c r="D1270" s="46"/>
      <c r="E1270" s="46" t="str">
        <f>IF(I1270="","",_xlfn.XLOOKUP(TRIM(I1270),'SkillMasterSkill ID'!$C:$C,'SkillMasterSkill ID'!$D:$D,"NOT FOUND",0))</f>
        <v/>
      </c>
      <c r="F1270" s="50"/>
      <c r="G1270" s="50"/>
      <c r="H1270" s="51"/>
      <c r="I1270" s="50"/>
      <c r="J1270" s="50" t="str">
        <f>IF(I1270="","",_xlfn.XLOOKUP(TRIM(I1270),'SkillMasterSkill ID'!$C:$C,'SkillMasterSkill ID'!$F:$F,"NOT FOUND",0))</f>
        <v/>
      </c>
      <c r="K1270" s="50"/>
      <c r="L1270" s="50"/>
    </row>
    <row r="1271" spans="1:12" x14ac:dyDescent="0.25">
      <c r="A127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71" s="46"/>
      <c r="C1271" s="46"/>
      <c r="D1271" s="46"/>
      <c r="E1271" s="46" t="str">
        <f>IF(I1271="","",_xlfn.XLOOKUP(TRIM(I1271),'SkillMasterSkill ID'!$C:$C,'SkillMasterSkill ID'!$D:$D,"NOT FOUND",0))</f>
        <v/>
      </c>
      <c r="F1271" s="50"/>
      <c r="G1271" s="50"/>
      <c r="H1271" s="51"/>
      <c r="I1271" s="50"/>
      <c r="J1271" s="50" t="str">
        <f>IF(I1271="","",_xlfn.XLOOKUP(TRIM(I1271),'SkillMasterSkill ID'!$C:$C,'SkillMasterSkill ID'!$F:$F,"NOT FOUND",0))</f>
        <v/>
      </c>
      <c r="K1271" s="50"/>
      <c r="L1271" s="50"/>
    </row>
    <row r="1272" spans="1:12" x14ac:dyDescent="0.25">
      <c r="A127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72" s="46"/>
      <c r="C1272" s="46"/>
      <c r="D1272" s="46"/>
      <c r="E1272" s="46" t="str">
        <f>IF(I1272="","",_xlfn.XLOOKUP(TRIM(I1272),'SkillMasterSkill ID'!$C:$C,'SkillMasterSkill ID'!$D:$D,"NOT FOUND",0))</f>
        <v/>
      </c>
      <c r="F1272" s="50"/>
      <c r="G1272" s="50"/>
      <c r="H1272" s="51"/>
      <c r="I1272" s="50"/>
      <c r="J1272" s="50" t="str">
        <f>IF(I1272="","",_xlfn.XLOOKUP(TRIM(I1272),'SkillMasterSkill ID'!$C:$C,'SkillMasterSkill ID'!$F:$F,"NOT FOUND",0))</f>
        <v/>
      </c>
      <c r="K1272" s="50"/>
      <c r="L1272" s="50"/>
    </row>
    <row r="1273" spans="1:12" x14ac:dyDescent="0.25">
      <c r="A127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73" s="46"/>
      <c r="C1273" s="46"/>
      <c r="D1273" s="46"/>
      <c r="E1273" s="46" t="str">
        <f>IF(I1273="","",_xlfn.XLOOKUP(TRIM(I1273),'SkillMasterSkill ID'!$C:$C,'SkillMasterSkill ID'!$D:$D,"NOT FOUND",0))</f>
        <v/>
      </c>
      <c r="F1273" s="50"/>
      <c r="G1273" s="50"/>
      <c r="H1273" s="51"/>
      <c r="I1273" s="50"/>
      <c r="J1273" s="50" t="str">
        <f>IF(I1273="","",_xlfn.XLOOKUP(TRIM(I1273),'SkillMasterSkill ID'!$C:$C,'SkillMasterSkill ID'!$F:$F,"NOT FOUND",0))</f>
        <v/>
      </c>
      <c r="K1273" s="50"/>
      <c r="L1273" s="50"/>
    </row>
    <row r="1274" spans="1:12" x14ac:dyDescent="0.25">
      <c r="A127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74" s="46"/>
      <c r="C1274" s="46"/>
      <c r="D1274" s="46"/>
      <c r="E1274" s="46" t="str">
        <f>IF(I1274="","",_xlfn.XLOOKUP(TRIM(I1274),'SkillMasterSkill ID'!$C:$C,'SkillMasterSkill ID'!$D:$D,"NOT FOUND",0))</f>
        <v/>
      </c>
      <c r="F1274" s="50"/>
      <c r="G1274" s="50"/>
      <c r="H1274" s="51"/>
      <c r="I1274" s="50"/>
      <c r="J1274" s="50" t="str">
        <f>IF(I1274="","",_xlfn.XLOOKUP(TRIM(I1274),'SkillMasterSkill ID'!$C:$C,'SkillMasterSkill ID'!$F:$F,"NOT FOUND",0))</f>
        <v/>
      </c>
      <c r="K1274" s="50"/>
      <c r="L1274" s="50"/>
    </row>
    <row r="1275" spans="1:12" x14ac:dyDescent="0.25">
      <c r="A127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75" s="46"/>
      <c r="C1275" s="46"/>
      <c r="D1275" s="46"/>
      <c r="E1275" s="46" t="str">
        <f>IF(I1275="","",_xlfn.XLOOKUP(TRIM(I1275),'SkillMasterSkill ID'!$C:$C,'SkillMasterSkill ID'!$D:$D,"NOT FOUND",0))</f>
        <v/>
      </c>
      <c r="F1275" s="50"/>
      <c r="G1275" s="50"/>
      <c r="H1275" s="51"/>
      <c r="I1275" s="50"/>
      <c r="J1275" s="50" t="str">
        <f>IF(I1275="","",_xlfn.XLOOKUP(TRIM(I1275),'SkillMasterSkill ID'!$C:$C,'SkillMasterSkill ID'!$F:$F,"NOT FOUND",0))</f>
        <v/>
      </c>
      <c r="K1275" s="50"/>
      <c r="L1275" s="50"/>
    </row>
    <row r="1276" spans="1:12" x14ac:dyDescent="0.25">
      <c r="A127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76" s="46"/>
      <c r="C1276" s="46"/>
      <c r="D1276" s="46"/>
      <c r="E1276" s="46" t="str">
        <f>IF(I1276="","",_xlfn.XLOOKUP(TRIM(I1276),'SkillMasterSkill ID'!$C:$C,'SkillMasterSkill ID'!$D:$D,"NOT FOUND",0))</f>
        <v/>
      </c>
      <c r="F1276" s="50"/>
      <c r="G1276" s="50"/>
      <c r="H1276" s="51"/>
      <c r="I1276" s="50"/>
      <c r="J1276" s="50" t="str">
        <f>IF(I1276="","",_xlfn.XLOOKUP(TRIM(I1276),'SkillMasterSkill ID'!$C:$C,'SkillMasterSkill ID'!$F:$F,"NOT FOUND",0))</f>
        <v/>
      </c>
      <c r="K1276" s="50"/>
      <c r="L1276" s="50"/>
    </row>
    <row r="1277" spans="1:12" x14ac:dyDescent="0.25">
      <c r="A127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77" s="46"/>
      <c r="C1277" s="46"/>
      <c r="D1277" s="46"/>
      <c r="E1277" s="46" t="str">
        <f>IF(I1277="","",_xlfn.XLOOKUP(TRIM(I1277),'SkillMasterSkill ID'!$C:$C,'SkillMasterSkill ID'!$D:$D,"NOT FOUND",0))</f>
        <v/>
      </c>
      <c r="F1277" s="50"/>
      <c r="G1277" s="50"/>
      <c r="H1277" s="51"/>
      <c r="I1277" s="50"/>
      <c r="J1277" s="50" t="str">
        <f>IF(I1277="","",_xlfn.XLOOKUP(TRIM(I1277),'SkillMasterSkill ID'!$C:$C,'SkillMasterSkill ID'!$F:$F,"NOT FOUND",0))</f>
        <v/>
      </c>
      <c r="K1277" s="50"/>
      <c r="L1277" s="50"/>
    </row>
    <row r="1278" spans="1:12" x14ac:dyDescent="0.25">
      <c r="A127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78" s="46"/>
      <c r="C1278" s="46"/>
      <c r="D1278" s="46"/>
      <c r="E1278" s="46" t="str">
        <f>IF(I1278="","",_xlfn.XLOOKUP(TRIM(I1278),'SkillMasterSkill ID'!$C:$C,'SkillMasterSkill ID'!$D:$D,"NOT FOUND",0))</f>
        <v/>
      </c>
      <c r="F1278" s="50"/>
      <c r="G1278" s="50"/>
      <c r="H1278" s="51"/>
      <c r="I1278" s="50"/>
      <c r="J1278" s="50" t="str">
        <f>IF(I1278="","",_xlfn.XLOOKUP(TRIM(I1278),'SkillMasterSkill ID'!$C:$C,'SkillMasterSkill ID'!$F:$F,"NOT FOUND",0))</f>
        <v/>
      </c>
      <c r="K1278" s="50"/>
      <c r="L1278" s="50"/>
    </row>
    <row r="1279" spans="1:12" x14ac:dyDescent="0.25">
      <c r="A127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79" s="46"/>
      <c r="C1279" s="46"/>
      <c r="D1279" s="46"/>
      <c r="E1279" s="46" t="str">
        <f>IF(I1279="","",_xlfn.XLOOKUP(TRIM(I1279),'SkillMasterSkill ID'!$C:$C,'SkillMasterSkill ID'!$D:$D,"NOT FOUND",0))</f>
        <v/>
      </c>
      <c r="F1279" s="50"/>
      <c r="G1279" s="50"/>
      <c r="H1279" s="51"/>
      <c r="I1279" s="50"/>
      <c r="J1279" s="50" t="str">
        <f>IF(I1279="","",_xlfn.XLOOKUP(TRIM(I1279),'SkillMasterSkill ID'!$C:$C,'SkillMasterSkill ID'!$F:$F,"NOT FOUND",0))</f>
        <v/>
      </c>
      <c r="K1279" s="50"/>
      <c r="L1279" s="50"/>
    </row>
    <row r="1280" spans="1:12" x14ac:dyDescent="0.25">
      <c r="A128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80" s="46"/>
      <c r="C1280" s="46"/>
      <c r="D1280" s="46"/>
      <c r="E1280" s="46" t="str">
        <f>IF(I1280="","",_xlfn.XLOOKUP(TRIM(I1280),'SkillMasterSkill ID'!$C:$C,'SkillMasterSkill ID'!$D:$D,"NOT FOUND",0))</f>
        <v/>
      </c>
      <c r="F1280" s="50"/>
      <c r="G1280" s="50"/>
      <c r="H1280" s="51"/>
      <c r="I1280" s="50"/>
      <c r="J1280" s="50" t="str">
        <f>IF(I1280="","",_xlfn.XLOOKUP(TRIM(I1280),'SkillMasterSkill ID'!$C:$C,'SkillMasterSkill ID'!$F:$F,"NOT FOUND",0))</f>
        <v/>
      </c>
      <c r="K1280" s="50"/>
      <c r="L1280" s="50"/>
    </row>
    <row r="1281" spans="1:12" x14ac:dyDescent="0.25">
      <c r="A128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81" s="46"/>
      <c r="C1281" s="46"/>
      <c r="D1281" s="46"/>
      <c r="E1281" s="46" t="str">
        <f>IF(I1281="","",_xlfn.XLOOKUP(TRIM(I1281),'SkillMasterSkill ID'!$C:$C,'SkillMasterSkill ID'!$D:$D,"NOT FOUND",0))</f>
        <v/>
      </c>
      <c r="F1281" s="50"/>
      <c r="G1281" s="50"/>
      <c r="H1281" s="51"/>
      <c r="I1281" s="50"/>
      <c r="J1281" s="50" t="str">
        <f>IF(I1281="","",_xlfn.XLOOKUP(TRIM(I1281),'SkillMasterSkill ID'!$C:$C,'SkillMasterSkill ID'!$F:$F,"NOT FOUND",0))</f>
        <v/>
      </c>
      <c r="K1281" s="50"/>
      <c r="L1281" s="50"/>
    </row>
    <row r="1282" spans="1:12" x14ac:dyDescent="0.25">
      <c r="A128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82" s="46"/>
      <c r="C1282" s="46"/>
      <c r="D1282" s="46"/>
      <c r="E1282" s="46" t="str">
        <f>IF(I1282="","",_xlfn.XLOOKUP(TRIM(I1282),'SkillMasterSkill ID'!$C:$C,'SkillMasterSkill ID'!$D:$D,"NOT FOUND",0))</f>
        <v/>
      </c>
      <c r="F1282" s="50"/>
      <c r="G1282" s="50"/>
      <c r="H1282" s="51"/>
      <c r="I1282" s="50"/>
      <c r="J1282" s="50" t="str">
        <f>IF(I1282="","",_xlfn.XLOOKUP(TRIM(I1282),'SkillMasterSkill ID'!$C:$C,'SkillMasterSkill ID'!$F:$F,"NOT FOUND",0))</f>
        <v/>
      </c>
      <c r="K1282" s="50"/>
      <c r="L1282" s="50"/>
    </row>
    <row r="1283" spans="1:12" x14ac:dyDescent="0.25">
      <c r="A128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83" s="46"/>
      <c r="C1283" s="46"/>
      <c r="D1283" s="46"/>
      <c r="E1283" s="46" t="str">
        <f>IF(I1283="","",_xlfn.XLOOKUP(TRIM(I1283),'SkillMasterSkill ID'!$C:$C,'SkillMasterSkill ID'!$D:$D,"NOT FOUND",0))</f>
        <v/>
      </c>
      <c r="F1283" s="50"/>
      <c r="G1283" s="50"/>
      <c r="H1283" s="51"/>
      <c r="I1283" s="50"/>
      <c r="J1283" s="50" t="str">
        <f>IF(I1283="","",_xlfn.XLOOKUP(TRIM(I1283),'SkillMasterSkill ID'!$C:$C,'SkillMasterSkill ID'!$F:$F,"NOT FOUND",0))</f>
        <v/>
      </c>
      <c r="K1283" s="50"/>
      <c r="L1283" s="50"/>
    </row>
    <row r="1284" spans="1:12" x14ac:dyDescent="0.25">
      <c r="A128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84" s="46"/>
      <c r="C1284" s="46"/>
      <c r="D1284" s="46"/>
      <c r="E1284" s="46" t="str">
        <f>IF(I1284="","",_xlfn.XLOOKUP(TRIM(I1284),'SkillMasterSkill ID'!$C:$C,'SkillMasterSkill ID'!$D:$D,"NOT FOUND",0))</f>
        <v/>
      </c>
      <c r="F1284" s="50"/>
      <c r="G1284" s="50"/>
      <c r="H1284" s="51"/>
      <c r="I1284" s="50"/>
      <c r="J1284" s="50" t="str">
        <f>IF(I1284="","",_xlfn.XLOOKUP(TRIM(I1284),'SkillMasterSkill ID'!$C:$C,'SkillMasterSkill ID'!$F:$F,"NOT FOUND",0))</f>
        <v/>
      </c>
      <c r="K1284" s="50"/>
      <c r="L1284" s="50"/>
    </row>
    <row r="1285" spans="1:12" x14ac:dyDescent="0.25">
      <c r="A128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85" s="46"/>
      <c r="C1285" s="46"/>
      <c r="D1285" s="46"/>
      <c r="E1285" s="46" t="str">
        <f>IF(I1285="","",_xlfn.XLOOKUP(TRIM(I1285),'SkillMasterSkill ID'!$C:$C,'SkillMasterSkill ID'!$D:$D,"NOT FOUND",0))</f>
        <v/>
      </c>
      <c r="F1285" s="50"/>
      <c r="G1285" s="50"/>
      <c r="H1285" s="51"/>
      <c r="I1285" s="50"/>
      <c r="J1285" s="50" t="str">
        <f>IF(I1285="","",_xlfn.XLOOKUP(TRIM(I1285),'SkillMasterSkill ID'!$C:$C,'SkillMasterSkill ID'!$F:$F,"NOT FOUND",0))</f>
        <v/>
      </c>
      <c r="K1285" s="50"/>
      <c r="L1285" s="50"/>
    </row>
    <row r="1286" spans="1:12" x14ac:dyDescent="0.25">
      <c r="A128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86" s="46"/>
      <c r="C1286" s="46"/>
      <c r="D1286" s="46"/>
      <c r="E1286" s="46" t="str">
        <f>IF(I1286="","",_xlfn.XLOOKUP(TRIM(I1286),'SkillMasterSkill ID'!$C:$C,'SkillMasterSkill ID'!$D:$D,"NOT FOUND",0))</f>
        <v/>
      </c>
      <c r="F1286" s="50"/>
      <c r="G1286" s="50"/>
      <c r="H1286" s="51"/>
      <c r="I1286" s="50"/>
      <c r="J1286" s="50" t="str">
        <f>IF(I1286="","",_xlfn.XLOOKUP(TRIM(I1286),'SkillMasterSkill ID'!$C:$C,'SkillMasterSkill ID'!$F:$F,"NOT FOUND",0))</f>
        <v/>
      </c>
      <c r="K1286" s="50"/>
      <c r="L1286" s="50"/>
    </row>
    <row r="1287" spans="1:12" x14ac:dyDescent="0.25">
      <c r="A128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87" s="46"/>
      <c r="C1287" s="46"/>
      <c r="D1287" s="46"/>
      <c r="E1287" s="46" t="str">
        <f>IF(I1287="","",_xlfn.XLOOKUP(TRIM(I1287),'SkillMasterSkill ID'!$C:$C,'SkillMasterSkill ID'!$D:$D,"NOT FOUND",0))</f>
        <v/>
      </c>
      <c r="F1287" s="50"/>
      <c r="G1287" s="50"/>
      <c r="H1287" s="51"/>
      <c r="I1287" s="50"/>
      <c r="J1287" s="50" t="str">
        <f>IF(I1287="","",_xlfn.XLOOKUP(TRIM(I1287),'SkillMasterSkill ID'!$C:$C,'SkillMasterSkill ID'!$F:$F,"NOT FOUND",0))</f>
        <v/>
      </c>
      <c r="K1287" s="50"/>
      <c r="L1287" s="50"/>
    </row>
    <row r="1288" spans="1:12" x14ac:dyDescent="0.25">
      <c r="A128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88" s="46"/>
      <c r="C1288" s="46"/>
      <c r="D1288" s="46"/>
      <c r="E1288" s="46" t="str">
        <f>IF(I1288="","",_xlfn.XLOOKUP(TRIM(I1288),'SkillMasterSkill ID'!$C:$C,'SkillMasterSkill ID'!$D:$D,"NOT FOUND",0))</f>
        <v/>
      </c>
      <c r="F1288" s="50"/>
      <c r="G1288" s="50"/>
      <c r="H1288" s="51"/>
      <c r="I1288" s="50"/>
      <c r="J1288" s="50" t="str">
        <f>IF(I1288="","",_xlfn.XLOOKUP(TRIM(I1288),'SkillMasterSkill ID'!$C:$C,'SkillMasterSkill ID'!$F:$F,"NOT FOUND",0))</f>
        <v/>
      </c>
      <c r="K1288" s="50"/>
      <c r="L1288" s="50"/>
    </row>
    <row r="1289" spans="1:12" x14ac:dyDescent="0.25">
      <c r="A128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89" s="46"/>
      <c r="C1289" s="46"/>
      <c r="D1289" s="46"/>
      <c r="E1289" s="46" t="str">
        <f>IF(I1289="","",_xlfn.XLOOKUP(TRIM(I1289),'SkillMasterSkill ID'!$C:$C,'SkillMasterSkill ID'!$D:$D,"NOT FOUND",0))</f>
        <v/>
      </c>
      <c r="F1289" s="50"/>
      <c r="G1289" s="50"/>
      <c r="H1289" s="51"/>
      <c r="I1289" s="50"/>
      <c r="J1289" s="50" t="str">
        <f>IF(I1289="","",_xlfn.XLOOKUP(TRIM(I1289),'SkillMasterSkill ID'!$C:$C,'SkillMasterSkill ID'!$F:$F,"NOT FOUND",0))</f>
        <v/>
      </c>
      <c r="K1289" s="50"/>
      <c r="L1289" s="50"/>
    </row>
    <row r="1290" spans="1:12" x14ac:dyDescent="0.25">
      <c r="A129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90" s="46"/>
      <c r="C1290" s="46"/>
      <c r="D1290" s="46"/>
      <c r="E1290" s="46" t="str">
        <f>IF(I1290="","",_xlfn.XLOOKUP(TRIM(I1290),'SkillMasterSkill ID'!$C:$C,'SkillMasterSkill ID'!$D:$D,"NOT FOUND",0))</f>
        <v/>
      </c>
      <c r="F1290" s="50"/>
      <c r="G1290" s="50"/>
      <c r="H1290" s="51"/>
      <c r="I1290" s="50"/>
      <c r="J1290" s="50" t="str">
        <f>IF(I1290="","",_xlfn.XLOOKUP(TRIM(I1290),'SkillMasterSkill ID'!$C:$C,'SkillMasterSkill ID'!$F:$F,"NOT FOUND",0))</f>
        <v/>
      </c>
      <c r="K1290" s="50"/>
      <c r="L1290" s="50"/>
    </row>
    <row r="1291" spans="1:12" x14ac:dyDescent="0.25">
      <c r="A129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91" s="46"/>
      <c r="C1291" s="46"/>
      <c r="D1291" s="46"/>
      <c r="E1291" s="46" t="str">
        <f>IF(I1291="","",_xlfn.XLOOKUP(TRIM(I1291),'SkillMasterSkill ID'!$C:$C,'SkillMasterSkill ID'!$D:$D,"NOT FOUND",0))</f>
        <v/>
      </c>
      <c r="F1291" s="50"/>
      <c r="G1291" s="50"/>
      <c r="H1291" s="51"/>
      <c r="I1291" s="50"/>
      <c r="J1291" s="50" t="str">
        <f>IF(I1291="","",_xlfn.XLOOKUP(TRIM(I1291),'SkillMasterSkill ID'!$C:$C,'SkillMasterSkill ID'!$F:$F,"NOT FOUND",0))</f>
        <v/>
      </c>
      <c r="K1291" s="50"/>
      <c r="L1291" s="50"/>
    </row>
    <row r="1292" spans="1:12" x14ac:dyDescent="0.25">
      <c r="A129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92" s="46"/>
      <c r="C1292" s="46"/>
      <c r="D1292" s="46"/>
      <c r="E1292" s="46" t="str">
        <f>IF(I1292="","",_xlfn.XLOOKUP(TRIM(I1292),'SkillMasterSkill ID'!$C:$C,'SkillMasterSkill ID'!$D:$D,"NOT FOUND",0))</f>
        <v/>
      </c>
      <c r="F1292" s="50"/>
      <c r="G1292" s="50"/>
      <c r="H1292" s="51"/>
      <c r="I1292" s="50"/>
      <c r="J1292" s="50" t="str">
        <f>IF(I1292="","",_xlfn.XLOOKUP(TRIM(I1292),'SkillMasterSkill ID'!$C:$C,'SkillMasterSkill ID'!$F:$F,"NOT FOUND",0))</f>
        <v/>
      </c>
      <c r="K1292" s="50"/>
      <c r="L1292" s="50"/>
    </row>
    <row r="1293" spans="1:12" x14ac:dyDescent="0.25">
      <c r="A129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93" s="46"/>
      <c r="C1293" s="46"/>
      <c r="D1293" s="46"/>
      <c r="E1293" s="46" t="str">
        <f>IF(I1293="","",_xlfn.XLOOKUP(TRIM(I1293),'SkillMasterSkill ID'!$C:$C,'SkillMasterSkill ID'!$D:$D,"NOT FOUND",0))</f>
        <v/>
      </c>
      <c r="F1293" s="50"/>
      <c r="G1293" s="50"/>
      <c r="H1293" s="51"/>
      <c r="I1293" s="50"/>
      <c r="J1293" s="50" t="str">
        <f>IF(I1293="","",_xlfn.XLOOKUP(TRIM(I1293),'SkillMasterSkill ID'!$C:$C,'SkillMasterSkill ID'!$F:$F,"NOT FOUND",0))</f>
        <v/>
      </c>
      <c r="K1293" s="50"/>
      <c r="L1293" s="50"/>
    </row>
    <row r="1294" spans="1:12" x14ac:dyDescent="0.25">
      <c r="A129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94" s="46"/>
      <c r="C1294" s="46"/>
      <c r="D1294" s="46"/>
      <c r="E1294" s="46" t="str">
        <f>IF(I1294="","",_xlfn.XLOOKUP(TRIM(I1294),'SkillMasterSkill ID'!$C:$C,'SkillMasterSkill ID'!$D:$D,"NOT FOUND",0))</f>
        <v/>
      </c>
      <c r="F1294" s="50"/>
      <c r="G1294" s="50"/>
      <c r="H1294" s="51"/>
      <c r="I1294" s="50"/>
      <c r="J1294" s="50" t="str">
        <f>IF(I1294="","",_xlfn.XLOOKUP(TRIM(I1294),'SkillMasterSkill ID'!$C:$C,'SkillMasterSkill ID'!$F:$F,"NOT FOUND",0))</f>
        <v/>
      </c>
      <c r="K1294" s="50"/>
      <c r="L1294" s="50"/>
    </row>
    <row r="1295" spans="1:12" x14ac:dyDescent="0.25">
      <c r="A129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95" s="46"/>
      <c r="C1295" s="46"/>
      <c r="D1295" s="46"/>
      <c r="E1295" s="46" t="str">
        <f>IF(I1295="","",_xlfn.XLOOKUP(TRIM(I1295),'SkillMasterSkill ID'!$C:$C,'SkillMasterSkill ID'!$D:$D,"NOT FOUND",0))</f>
        <v/>
      </c>
      <c r="F1295" s="50"/>
      <c r="G1295" s="50"/>
      <c r="H1295" s="51"/>
      <c r="I1295" s="50"/>
      <c r="J1295" s="50" t="str">
        <f>IF(I1295="","",_xlfn.XLOOKUP(TRIM(I1295),'SkillMasterSkill ID'!$C:$C,'SkillMasterSkill ID'!$F:$F,"NOT FOUND",0))</f>
        <v/>
      </c>
      <c r="K1295" s="50"/>
      <c r="L1295" s="50"/>
    </row>
    <row r="1296" spans="1:12" x14ac:dyDescent="0.25">
      <c r="A129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96" s="46"/>
      <c r="C1296" s="46"/>
      <c r="D1296" s="46"/>
      <c r="E1296" s="46" t="str">
        <f>IF(I1296="","",_xlfn.XLOOKUP(TRIM(I1296),'SkillMasterSkill ID'!$C:$C,'SkillMasterSkill ID'!$D:$D,"NOT FOUND",0))</f>
        <v/>
      </c>
      <c r="F1296" s="50"/>
      <c r="G1296" s="50"/>
      <c r="H1296" s="51"/>
      <c r="I1296" s="50"/>
      <c r="J1296" s="50" t="str">
        <f>IF(I1296="","",_xlfn.XLOOKUP(TRIM(I1296),'SkillMasterSkill ID'!$C:$C,'SkillMasterSkill ID'!$F:$F,"NOT FOUND",0))</f>
        <v/>
      </c>
      <c r="K1296" s="50"/>
      <c r="L1296" s="50"/>
    </row>
    <row r="1297" spans="1:12" x14ac:dyDescent="0.25">
      <c r="A129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97" s="46"/>
      <c r="C1297" s="46"/>
      <c r="D1297" s="46"/>
      <c r="E1297" s="46" t="str">
        <f>IF(I1297="","",_xlfn.XLOOKUP(TRIM(I1297),'SkillMasterSkill ID'!$C:$C,'SkillMasterSkill ID'!$D:$D,"NOT FOUND",0))</f>
        <v/>
      </c>
      <c r="F1297" s="50"/>
      <c r="G1297" s="50"/>
      <c r="H1297" s="51"/>
      <c r="I1297" s="50"/>
      <c r="J1297" s="50" t="str">
        <f>IF(I1297="","",_xlfn.XLOOKUP(TRIM(I1297),'SkillMasterSkill ID'!$C:$C,'SkillMasterSkill ID'!$F:$F,"NOT FOUND",0))</f>
        <v/>
      </c>
      <c r="K1297" s="50"/>
      <c r="L1297" s="50"/>
    </row>
    <row r="1298" spans="1:12" x14ac:dyDescent="0.25">
      <c r="A129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98" s="46"/>
      <c r="C1298" s="46"/>
      <c r="D1298" s="46"/>
      <c r="E1298" s="46" t="str">
        <f>IF(I1298="","",_xlfn.XLOOKUP(TRIM(I1298),'SkillMasterSkill ID'!$C:$C,'SkillMasterSkill ID'!$D:$D,"NOT FOUND",0))</f>
        <v/>
      </c>
      <c r="F1298" s="50"/>
      <c r="G1298" s="50"/>
      <c r="H1298" s="51"/>
      <c r="I1298" s="50"/>
      <c r="J1298" s="50" t="str">
        <f>IF(I1298="","",_xlfn.XLOOKUP(TRIM(I1298),'SkillMasterSkill ID'!$C:$C,'SkillMasterSkill ID'!$F:$F,"NOT FOUND",0))</f>
        <v/>
      </c>
      <c r="K1298" s="50"/>
      <c r="L1298" s="50"/>
    </row>
    <row r="1299" spans="1:12" x14ac:dyDescent="0.25">
      <c r="A129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299" s="46"/>
      <c r="C1299" s="46"/>
      <c r="D1299" s="46"/>
      <c r="E1299" s="46" t="str">
        <f>IF(I1299="","",_xlfn.XLOOKUP(TRIM(I1299),'SkillMasterSkill ID'!$C:$C,'SkillMasterSkill ID'!$D:$D,"NOT FOUND",0))</f>
        <v/>
      </c>
      <c r="F1299" s="50"/>
      <c r="G1299" s="50"/>
      <c r="H1299" s="51"/>
      <c r="I1299" s="50"/>
      <c r="J1299" s="50" t="str">
        <f>IF(I1299="","",_xlfn.XLOOKUP(TRIM(I1299),'SkillMasterSkill ID'!$C:$C,'SkillMasterSkill ID'!$F:$F,"NOT FOUND",0))</f>
        <v/>
      </c>
      <c r="K1299" s="50"/>
      <c r="L1299" s="50"/>
    </row>
    <row r="1300" spans="1:12" x14ac:dyDescent="0.25">
      <c r="A130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00" s="46"/>
      <c r="C1300" s="46"/>
      <c r="D1300" s="46"/>
      <c r="E1300" s="46" t="str">
        <f>IF(I1300="","",_xlfn.XLOOKUP(TRIM(I1300),'SkillMasterSkill ID'!$C:$C,'SkillMasterSkill ID'!$D:$D,"NOT FOUND",0))</f>
        <v/>
      </c>
      <c r="F1300" s="50"/>
      <c r="G1300" s="50"/>
      <c r="H1300" s="51"/>
      <c r="I1300" s="50"/>
      <c r="J1300" s="50" t="str">
        <f>IF(I1300="","",_xlfn.XLOOKUP(TRIM(I1300),'SkillMasterSkill ID'!$C:$C,'SkillMasterSkill ID'!$F:$F,"NOT FOUND",0))</f>
        <v/>
      </c>
      <c r="K1300" s="50"/>
      <c r="L1300" s="50"/>
    </row>
    <row r="1301" spans="1:12" x14ac:dyDescent="0.25">
      <c r="A130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01" s="46"/>
      <c r="C1301" s="46"/>
      <c r="D1301" s="46"/>
      <c r="E1301" s="46" t="str">
        <f>IF(I1301="","",_xlfn.XLOOKUP(TRIM(I1301),'SkillMasterSkill ID'!$C:$C,'SkillMasterSkill ID'!$D:$D,"NOT FOUND",0))</f>
        <v/>
      </c>
      <c r="F1301" s="50"/>
      <c r="G1301" s="50"/>
      <c r="H1301" s="51"/>
      <c r="I1301" s="50"/>
      <c r="J1301" s="50" t="str">
        <f>IF(I1301="","",_xlfn.XLOOKUP(TRIM(I1301),'SkillMasterSkill ID'!$C:$C,'SkillMasterSkill ID'!$F:$F,"NOT FOUND",0))</f>
        <v/>
      </c>
      <c r="K1301" s="50"/>
      <c r="L1301" s="50"/>
    </row>
    <row r="1302" spans="1:12" x14ac:dyDescent="0.25">
      <c r="A130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02" s="46"/>
      <c r="C1302" s="46"/>
      <c r="D1302" s="46"/>
      <c r="E1302" s="46" t="str">
        <f>IF(I1302="","",_xlfn.XLOOKUP(TRIM(I1302),'SkillMasterSkill ID'!$C:$C,'SkillMasterSkill ID'!$D:$D,"NOT FOUND",0))</f>
        <v/>
      </c>
      <c r="F1302" s="50"/>
      <c r="G1302" s="50"/>
      <c r="H1302" s="51"/>
      <c r="I1302" s="50"/>
      <c r="J1302" s="50" t="str">
        <f>IF(I1302="","",_xlfn.XLOOKUP(TRIM(I1302),'SkillMasterSkill ID'!$C:$C,'SkillMasterSkill ID'!$F:$F,"NOT FOUND",0))</f>
        <v/>
      </c>
      <c r="K1302" s="50"/>
      <c r="L1302" s="50"/>
    </row>
    <row r="1303" spans="1:12" x14ac:dyDescent="0.25">
      <c r="A130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03" s="46"/>
      <c r="C1303" s="46"/>
      <c r="D1303" s="46"/>
      <c r="E1303" s="46" t="str">
        <f>IF(I1303="","",_xlfn.XLOOKUP(TRIM(I1303),'SkillMasterSkill ID'!$C:$C,'SkillMasterSkill ID'!$D:$D,"NOT FOUND",0))</f>
        <v/>
      </c>
      <c r="F1303" s="50"/>
      <c r="G1303" s="50"/>
      <c r="H1303" s="51"/>
      <c r="I1303" s="50"/>
      <c r="J1303" s="50" t="str">
        <f>IF(I1303="","",_xlfn.XLOOKUP(TRIM(I1303),'SkillMasterSkill ID'!$C:$C,'SkillMasterSkill ID'!$F:$F,"NOT FOUND",0))</f>
        <v/>
      </c>
      <c r="K1303" s="50"/>
      <c r="L1303" s="50"/>
    </row>
    <row r="1304" spans="1:12" x14ac:dyDescent="0.25">
      <c r="A130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04" s="46"/>
      <c r="C1304" s="46"/>
      <c r="D1304" s="46"/>
      <c r="E1304" s="46" t="str">
        <f>IF(I1304="","",_xlfn.XLOOKUP(TRIM(I1304),'SkillMasterSkill ID'!$C:$C,'SkillMasterSkill ID'!$D:$D,"NOT FOUND",0))</f>
        <v/>
      </c>
      <c r="F1304" s="50"/>
      <c r="G1304" s="50"/>
      <c r="H1304" s="51"/>
      <c r="I1304" s="50"/>
      <c r="J1304" s="50" t="str">
        <f>IF(I1304="","",_xlfn.XLOOKUP(TRIM(I1304),'SkillMasterSkill ID'!$C:$C,'SkillMasterSkill ID'!$F:$F,"NOT FOUND",0))</f>
        <v/>
      </c>
      <c r="K1304" s="50"/>
      <c r="L1304" s="50"/>
    </row>
    <row r="1305" spans="1:12" x14ac:dyDescent="0.25">
      <c r="A130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05" s="46"/>
      <c r="C1305" s="46"/>
      <c r="D1305" s="46"/>
      <c r="E1305" s="46" t="str">
        <f>IF(I1305="","",_xlfn.XLOOKUP(TRIM(I1305),'SkillMasterSkill ID'!$C:$C,'SkillMasterSkill ID'!$D:$D,"NOT FOUND",0))</f>
        <v/>
      </c>
      <c r="F1305" s="50"/>
      <c r="G1305" s="50"/>
      <c r="H1305" s="51"/>
      <c r="I1305" s="50"/>
      <c r="J1305" s="50" t="str">
        <f>IF(I1305="","",_xlfn.XLOOKUP(TRIM(I1305),'SkillMasterSkill ID'!$C:$C,'SkillMasterSkill ID'!$F:$F,"NOT FOUND",0))</f>
        <v/>
      </c>
      <c r="K1305" s="50"/>
      <c r="L1305" s="50"/>
    </row>
    <row r="1306" spans="1:12" x14ac:dyDescent="0.25">
      <c r="A130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06" s="46"/>
      <c r="C1306" s="46"/>
      <c r="D1306" s="46"/>
      <c r="E1306" s="46" t="str">
        <f>IF(I1306="","",_xlfn.XLOOKUP(TRIM(I1306),'SkillMasterSkill ID'!$C:$C,'SkillMasterSkill ID'!$D:$D,"NOT FOUND",0))</f>
        <v/>
      </c>
      <c r="F1306" s="50"/>
      <c r="G1306" s="50"/>
      <c r="H1306" s="51"/>
      <c r="I1306" s="50"/>
      <c r="J1306" s="50" t="str">
        <f>IF(I1306="","",_xlfn.XLOOKUP(TRIM(I1306),'SkillMasterSkill ID'!$C:$C,'SkillMasterSkill ID'!$F:$F,"NOT FOUND",0))</f>
        <v/>
      </c>
      <c r="K1306" s="50"/>
      <c r="L1306" s="50"/>
    </row>
    <row r="1307" spans="1:12" x14ac:dyDescent="0.25">
      <c r="A130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07" s="46"/>
      <c r="C1307" s="46"/>
      <c r="D1307" s="46"/>
      <c r="E1307" s="46" t="str">
        <f>IF(I1307="","",_xlfn.XLOOKUP(TRIM(I1307),'SkillMasterSkill ID'!$C:$C,'SkillMasterSkill ID'!$D:$D,"NOT FOUND",0))</f>
        <v/>
      </c>
      <c r="F1307" s="50"/>
      <c r="G1307" s="50"/>
      <c r="H1307" s="51"/>
      <c r="I1307" s="50"/>
      <c r="J1307" s="50" t="str">
        <f>IF(I1307="","",_xlfn.XLOOKUP(TRIM(I1307),'SkillMasterSkill ID'!$C:$C,'SkillMasterSkill ID'!$F:$F,"NOT FOUND",0))</f>
        <v/>
      </c>
      <c r="K1307" s="50"/>
      <c r="L1307" s="50"/>
    </row>
    <row r="1308" spans="1:12" x14ac:dyDescent="0.25">
      <c r="A130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08" s="46"/>
      <c r="C1308" s="46"/>
      <c r="D1308" s="46"/>
      <c r="E1308" s="46" t="str">
        <f>IF(I1308="","",_xlfn.XLOOKUP(TRIM(I1308),'SkillMasterSkill ID'!$C:$C,'SkillMasterSkill ID'!$D:$D,"NOT FOUND",0))</f>
        <v/>
      </c>
      <c r="F1308" s="50"/>
      <c r="G1308" s="50"/>
      <c r="H1308" s="51"/>
      <c r="I1308" s="50"/>
      <c r="J1308" s="50" t="str">
        <f>IF(I1308="","",_xlfn.XLOOKUP(TRIM(I1308),'SkillMasterSkill ID'!$C:$C,'SkillMasterSkill ID'!$F:$F,"NOT FOUND",0))</f>
        <v/>
      </c>
      <c r="K1308" s="50"/>
      <c r="L1308" s="50"/>
    </row>
    <row r="1309" spans="1:12" x14ac:dyDescent="0.25">
      <c r="A130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09" s="46"/>
      <c r="C1309" s="46"/>
      <c r="D1309" s="46"/>
      <c r="E1309" s="46" t="str">
        <f>IF(I1309="","",_xlfn.XLOOKUP(TRIM(I1309),'SkillMasterSkill ID'!$C:$C,'SkillMasterSkill ID'!$D:$D,"NOT FOUND",0))</f>
        <v/>
      </c>
      <c r="F1309" s="50"/>
      <c r="G1309" s="50"/>
      <c r="H1309" s="51"/>
      <c r="I1309" s="50"/>
      <c r="J1309" s="50" t="str">
        <f>IF(I1309="","",_xlfn.XLOOKUP(TRIM(I1309),'SkillMasterSkill ID'!$C:$C,'SkillMasterSkill ID'!$F:$F,"NOT FOUND",0))</f>
        <v/>
      </c>
      <c r="K1309" s="50"/>
      <c r="L1309" s="50"/>
    </row>
    <row r="1310" spans="1:12" x14ac:dyDescent="0.25">
      <c r="A131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10" s="46"/>
      <c r="C1310" s="46"/>
      <c r="D1310" s="46"/>
      <c r="E1310" s="46" t="str">
        <f>IF(I1310="","",_xlfn.XLOOKUP(TRIM(I1310),'SkillMasterSkill ID'!$C:$C,'SkillMasterSkill ID'!$D:$D,"NOT FOUND",0))</f>
        <v/>
      </c>
      <c r="F1310" s="50"/>
      <c r="G1310" s="50"/>
      <c r="H1310" s="51"/>
      <c r="I1310" s="50"/>
      <c r="J1310" s="50" t="str">
        <f>IF(I1310="","",_xlfn.XLOOKUP(TRIM(I1310),'SkillMasterSkill ID'!$C:$C,'SkillMasterSkill ID'!$F:$F,"NOT FOUND",0))</f>
        <v/>
      </c>
      <c r="K1310" s="50"/>
      <c r="L1310" s="50"/>
    </row>
    <row r="1311" spans="1:12" x14ac:dyDescent="0.25">
      <c r="A131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11" s="46"/>
      <c r="C1311" s="46"/>
      <c r="D1311" s="46"/>
      <c r="E1311" s="46" t="str">
        <f>IF(I1311="","",_xlfn.XLOOKUP(TRIM(I1311),'SkillMasterSkill ID'!$C:$C,'SkillMasterSkill ID'!$D:$D,"NOT FOUND",0))</f>
        <v/>
      </c>
      <c r="F1311" s="50"/>
      <c r="G1311" s="50"/>
      <c r="H1311" s="51"/>
      <c r="I1311" s="50"/>
      <c r="J1311" s="50" t="str">
        <f>IF(I1311="","",_xlfn.XLOOKUP(TRIM(I1311),'SkillMasterSkill ID'!$C:$C,'SkillMasterSkill ID'!$F:$F,"NOT FOUND",0))</f>
        <v/>
      </c>
      <c r="K1311" s="50"/>
      <c r="L1311" s="50"/>
    </row>
    <row r="1312" spans="1:12" x14ac:dyDescent="0.25">
      <c r="A131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12" s="46"/>
      <c r="C1312" s="46"/>
      <c r="D1312" s="46"/>
      <c r="E1312" s="46" t="str">
        <f>IF(I1312="","",_xlfn.XLOOKUP(TRIM(I1312),'SkillMasterSkill ID'!$C:$C,'SkillMasterSkill ID'!$D:$D,"NOT FOUND",0))</f>
        <v/>
      </c>
      <c r="F1312" s="50"/>
      <c r="G1312" s="50"/>
      <c r="H1312" s="51"/>
      <c r="I1312" s="50"/>
      <c r="J1312" s="50" t="str">
        <f>IF(I1312="","",_xlfn.XLOOKUP(TRIM(I1312),'SkillMasterSkill ID'!$C:$C,'SkillMasterSkill ID'!$F:$F,"NOT FOUND",0))</f>
        <v/>
      </c>
      <c r="K1312" s="50"/>
      <c r="L1312" s="50"/>
    </row>
    <row r="1313" spans="1:12" x14ac:dyDescent="0.25">
      <c r="A131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13" s="46"/>
      <c r="C1313" s="46"/>
      <c r="D1313" s="46"/>
      <c r="E1313" s="46" t="str">
        <f>IF(I1313="","",_xlfn.XLOOKUP(TRIM(I1313),'SkillMasterSkill ID'!$C:$C,'SkillMasterSkill ID'!$D:$D,"NOT FOUND",0))</f>
        <v/>
      </c>
      <c r="F1313" s="50"/>
      <c r="G1313" s="50"/>
      <c r="H1313" s="51"/>
      <c r="I1313" s="50"/>
      <c r="J1313" s="50" t="str">
        <f>IF(I1313="","",_xlfn.XLOOKUP(TRIM(I1313),'SkillMasterSkill ID'!$C:$C,'SkillMasterSkill ID'!$F:$F,"NOT FOUND",0))</f>
        <v/>
      </c>
      <c r="K1313" s="50"/>
      <c r="L1313" s="50"/>
    </row>
    <row r="1314" spans="1:12" x14ac:dyDescent="0.25">
      <c r="A131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14" s="46"/>
      <c r="C1314" s="46"/>
      <c r="D1314" s="46"/>
      <c r="E1314" s="46" t="str">
        <f>IF(I1314="","",_xlfn.XLOOKUP(TRIM(I1314),'SkillMasterSkill ID'!$C:$C,'SkillMasterSkill ID'!$D:$D,"NOT FOUND",0))</f>
        <v/>
      </c>
      <c r="F1314" s="50"/>
      <c r="G1314" s="50"/>
      <c r="H1314" s="51"/>
      <c r="I1314" s="50"/>
      <c r="J1314" s="50" t="str">
        <f>IF(I1314="","",_xlfn.XLOOKUP(TRIM(I1314),'SkillMasterSkill ID'!$C:$C,'SkillMasterSkill ID'!$F:$F,"NOT FOUND",0))</f>
        <v/>
      </c>
      <c r="K1314" s="50"/>
      <c r="L1314" s="50"/>
    </row>
    <row r="1315" spans="1:12" x14ac:dyDescent="0.25">
      <c r="A131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15" s="46"/>
      <c r="C1315" s="46"/>
      <c r="D1315" s="46"/>
      <c r="E1315" s="46" t="str">
        <f>IF(I1315="","",_xlfn.XLOOKUP(TRIM(I1315),'SkillMasterSkill ID'!$C:$C,'SkillMasterSkill ID'!$D:$D,"NOT FOUND",0))</f>
        <v/>
      </c>
      <c r="F1315" s="50"/>
      <c r="G1315" s="50"/>
      <c r="H1315" s="51"/>
      <c r="I1315" s="50"/>
      <c r="J1315" s="50" t="str">
        <f>IF(I1315="","",_xlfn.XLOOKUP(TRIM(I1315),'SkillMasterSkill ID'!$C:$C,'SkillMasterSkill ID'!$F:$F,"NOT FOUND",0))</f>
        <v/>
      </c>
      <c r="K1315" s="50"/>
      <c r="L1315" s="50"/>
    </row>
    <row r="1316" spans="1:12" x14ac:dyDescent="0.25">
      <c r="A131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16" s="46"/>
      <c r="C1316" s="46"/>
      <c r="D1316" s="46"/>
      <c r="E1316" s="46" t="str">
        <f>IF(I1316="","",_xlfn.XLOOKUP(TRIM(I1316),'SkillMasterSkill ID'!$C:$C,'SkillMasterSkill ID'!$D:$D,"NOT FOUND",0))</f>
        <v/>
      </c>
      <c r="F1316" s="50"/>
      <c r="G1316" s="50"/>
      <c r="H1316" s="51"/>
      <c r="I1316" s="50"/>
      <c r="J1316" s="50" t="str">
        <f>IF(I1316="","",_xlfn.XLOOKUP(TRIM(I1316),'SkillMasterSkill ID'!$C:$C,'SkillMasterSkill ID'!$F:$F,"NOT FOUND",0))</f>
        <v/>
      </c>
      <c r="K1316" s="50"/>
      <c r="L1316" s="50"/>
    </row>
    <row r="1317" spans="1:12" x14ac:dyDescent="0.25">
      <c r="A131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17" s="46"/>
      <c r="C1317" s="46"/>
      <c r="D1317" s="46"/>
      <c r="E1317" s="46" t="str">
        <f>IF(I1317="","",_xlfn.XLOOKUP(TRIM(I1317),'SkillMasterSkill ID'!$C:$C,'SkillMasterSkill ID'!$D:$D,"NOT FOUND",0))</f>
        <v/>
      </c>
      <c r="F1317" s="50"/>
      <c r="G1317" s="50"/>
      <c r="H1317" s="51"/>
      <c r="I1317" s="50"/>
      <c r="J1317" s="50" t="str">
        <f>IF(I1317="","",_xlfn.XLOOKUP(TRIM(I1317),'SkillMasterSkill ID'!$C:$C,'SkillMasterSkill ID'!$F:$F,"NOT FOUND",0))</f>
        <v/>
      </c>
      <c r="K1317" s="50"/>
      <c r="L1317" s="50"/>
    </row>
    <row r="1318" spans="1:12" x14ac:dyDescent="0.25">
      <c r="A131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18" s="46"/>
      <c r="C1318" s="46"/>
      <c r="D1318" s="46"/>
      <c r="E1318" s="46" t="str">
        <f>IF(I1318="","",_xlfn.XLOOKUP(TRIM(I1318),'SkillMasterSkill ID'!$C:$C,'SkillMasterSkill ID'!$D:$D,"NOT FOUND",0))</f>
        <v/>
      </c>
      <c r="F1318" s="50"/>
      <c r="G1318" s="50"/>
      <c r="H1318" s="51"/>
      <c r="I1318" s="50"/>
      <c r="J1318" s="50" t="str">
        <f>IF(I1318="","",_xlfn.XLOOKUP(TRIM(I1318),'SkillMasterSkill ID'!$C:$C,'SkillMasterSkill ID'!$F:$F,"NOT FOUND",0))</f>
        <v/>
      </c>
      <c r="K1318" s="50"/>
      <c r="L1318" s="50"/>
    </row>
    <row r="1319" spans="1:12" x14ac:dyDescent="0.25">
      <c r="A131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19" s="46"/>
      <c r="C1319" s="46"/>
      <c r="D1319" s="46"/>
      <c r="E1319" s="46" t="str">
        <f>IF(I1319="","",_xlfn.XLOOKUP(TRIM(I1319),'SkillMasterSkill ID'!$C:$C,'SkillMasterSkill ID'!$D:$D,"NOT FOUND",0))</f>
        <v/>
      </c>
      <c r="F1319" s="50"/>
      <c r="G1319" s="50"/>
      <c r="H1319" s="51"/>
      <c r="I1319" s="50"/>
      <c r="J1319" s="50" t="str">
        <f>IF(I1319="","",_xlfn.XLOOKUP(TRIM(I1319),'SkillMasterSkill ID'!$C:$C,'SkillMasterSkill ID'!$F:$F,"NOT FOUND",0))</f>
        <v/>
      </c>
      <c r="K1319" s="50"/>
      <c r="L1319" s="50"/>
    </row>
    <row r="1320" spans="1:12" x14ac:dyDescent="0.25">
      <c r="A132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20" s="46"/>
      <c r="C1320" s="46"/>
      <c r="D1320" s="46"/>
      <c r="E1320" s="46" t="str">
        <f>IF(I1320="","",_xlfn.XLOOKUP(TRIM(I1320),'SkillMasterSkill ID'!$C:$C,'SkillMasterSkill ID'!$D:$D,"NOT FOUND",0))</f>
        <v/>
      </c>
      <c r="F1320" s="50"/>
      <c r="G1320" s="50"/>
      <c r="H1320" s="51"/>
      <c r="I1320" s="50"/>
      <c r="J1320" s="50" t="str">
        <f>IF(I1320="","",_xlfn.XLOOKUP(TRIM(I1320),'SkillMasterSkill ID'!$C:$C,'SkillMasterSkill ID'!$F:$F,"NOT FOUND",0))</f>
        <v/>
      </c>
      <c r="K1320" s="50"/>
      <c r="L1320" s="50"/>
    </row>
    <row r="1321" spans="1:12" x14ac:dyDescent="0.25">
      <c r="A132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21" s="46"/>
      <c r="C1321" s="46"/>
      <c r="D1321" s="46"/>
      <c r="E1321" s="46" t="str">
        <f>IF(I1321="","",_xlfn.XLOOKUP(TRIM(I1321),'SkillMasterSkill ID'!$C:$C,'SkillMasterSkill ID'!$D:$D,"NOT FOUND",0))</f>
        <v/>
      </c>
      <c r="F1321" s="50"/>
      <c r="G1321" s="50"/>
      <c r="H1321" s="51"/>
      <c r="I1321" s="50"/>
      <c r="J1321" s="50" t="str">
        <f>IF(I1321="","",_xlfn.XLOOKUP(TRIM(I1321),'SkillMasterSkill ID'!$C:$C,'SkillMasterSkill ID'!$F:$F,"NOT FOUND",0))</f>
        <v/>
      </c>
      <c r="K1321" s="50"/>
      <c r="L1321" s="50"/>
    </row>
    <row r="1322" spans="1:12" x14ac:dyDescent="0.25">
      <c r="A132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22" s="46"/>
      <c r="C1322" s="46"/>
      <c r="D1322" s="46"/>
      <c r="E1322" s="46" t="str">
        <f>IF(I1322="","",_xlfn.XLOOKUP(TRIM(I1322),'SkillMasterSkill ID'!$C:$C,'SkillMasterSkill ID'!$D:$D,"NOT FOUND",0))</f>
        <v/>
      </c>
      <c r="F1322" s="50"/>
      <c r="G1322" s="50"/>
      <c r="H1322" s="51"/>
      <c r="I1322" s="50"/>
      <c r="J1322" s="50" t="str">
        <f>IF(I1322="","",_xlfn.XLOOKUP(TRIM(I1322),'SkillMasterSkill ID'!$C:$C,'SkillMasterSkill ID'!$F:$F,"NOT FOUND",0))</f>
        <v/>
      </c>
      <c r="K1322" s="50"/>
      <c r="L1322" s="50"/>
    </row>
    <row r="1323" spans="1:12" x14ac:dyDescent="0.25">
      <c r="A132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23" s="46"/>
      <c r="C1323" s="46"/>
      <c r="D1323" s="46"/>
      <c r="E1323" s="46" t="str">
        <f>IF(I1323="","",_xlfn.XLOOKUP(TRIM(I1323),'SkillMasterSkill ID'!$C:$C,'SkillMasterSkill ID'!$D:$D,"NOT FOUND",0))</f>
        <v/>
      </c>
      <c r="F1323" s="50"/>
      <c r="G1323" s="50"/>
      <c r="H1323" s="51"/>
      <c r="I1323" s="50"/>
      <c r="J1323" s="50" t="str">
        <f>IF(I1323="","",_xlfn.XLOOKUP(TRIM(I1323),'SkillMasterSkill ID'!$C:$C,'SkillMasterSkill ID'!$F:$F,"NOT FOUND",0))</f>
        <v/>
      </c>
      <c r="K1323" s="50"/>
      <c r="L1323" s="50"/>
    </row>
    <row r="1324" spans="1:12" x14ac:dyDescent="0.25">
      <c r="A132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24" s="46"/>
      <c r="C1324" s="46"/>
      <c r="D1324" s="46"/>
      <c r="E1324" s="46" t="str">
        <f>IF(I1324="","",_xlfn.XLOOKUP(TRIM(I1324),'SkillMasterSkill ID'!$C:$C,'SkillMasterSkill ID'!$D:$D,"NOT FOUND",0))</f>
        <v/>
      </c>
      <c r="F1324" s="50"/>
      <c r="G1324" s="50"/>
      <c r="H1324" s="51"/>
      <c r="I1324" s="50"/>
      <c r="J1324" s="50" t="str">
        <f>IF(I1324="","",_xlfn.XLOOKUP(TRIM(I1324),'SkillMasterSkill ID'!$C:$C,'SkillMasterSkill ID'!$F:$F,"NOT FOUND",0))</f>
        <v/>
      </c>
      <c r="K1324" s="50"/>
      <c r="L1324" s="50"/>
    </row>
    <row r="1325" spans="1:12" x14ac:dyDescent="0.25">
      <c r="A132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25" s="46"/>
      <c r="C1325" s="46"/>
      <c r="D1325" s="46"/>
      <c r="E1325" s="46" t="str">
        <f>IF(I1325="","",_xlfn.XLOOKUP(TRIM(I1325),'SkillMasterSkill ID'!$C:$C,'SkillMasterSkill ID'!$D:$D,"NOT FOUND",0))</f>
        <v/>
      </c>
      <c r="F1325" s="50"/>
      <c r="G1325" s="50"/>
      <c r="H1325" s="51"/>
      <c r="I1325" s="50"/>
      <c r="J1325" s="50" t="str">
        <f>IF(I1325="","",_xlfn.XLOOKUP(TRIM(I1325),'SkillMasterSkill ID'!$C:$C,'SkillMasterSkill ID'!$F:$F,"NOT FOUND",0))</f>
        <v/>
      </c>
      <c r="K1325" s="50"/>
      <c r="L1325" s="50"/>
    </row>
    <row r="1326" spans="1:12" x14ac:dyDescent="0.25">
      <c r="A132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26" s="46"/>
      <c r="C1326" s="46"/>
      <c r="D1326" s="46"/>
      <c r="E1326" s="46" t="str">
        <f>IF(I1326="","",_xlfn.XLOOKUP(TRIM(I1326),'SkillMasterSkill ID'!$C:$C,'SkillMasterSkill ID'!$D:$D,"NOT FOUND",0))</f>
        <v/>
      </c>
      <c r="F1326" s="50"/>
      <c r="G1326" s="50"/>
      <c r="H1326" s="51"/>
      <c r="I1326" s="50"/>
      <c r="J1326" s="50" t="str">
        <f>IF(I1326="","",_xlfn.XLOOKUP(TRIM(I1326),'SkillMasterSkill ID'!$C:$C,'SkillMasterSkill ID'!$F:$F,"NOT FOUND",0))</f>
        <v/>
      </c>
      <c r="K1326" s="50"/>
      <c r="L1326" s="50"/>
    </row>
    <row r="1327" spans="1:12" x14ac:dyDescent="0.25">
      <c r="A132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27" s="46"/>
      <c r="C1327" s="46"/>
      <c r="D1327" s="46"/>
      <c r="E1327" s="46" t="str">
        <f>IF(I1327="","",_xlfn.XLOOKUP(TRIM(I1327),'SkillMasterSkill ID'!$C:$C,'SkillMasterSkill ID'!$D:$D,"NOT FOUND",0))</f>
        <v/>
      </c>
      <c r="F1327" s="50"/>
      <c r="G1327" s="50"/>
      <c r="H1327" s="51"/>
      <c r="I1327" s="50"/>
      <c r="J1327" s="50" t="str">
        <f>IF(I1327="","",_xlfn.XLOOKUP(TRIM(I1327),'SkillMasterSkill ID'!$C:$C,'SkillMasterSkill ID'!$F:$F,"NOT FOUND",0))</f>
        <v/>
      </c>
      <c r="K1327" s="50"/>
      <c r="L1327" s="50"/>
    </row>
    <row r="1328" spans="1:12" x14ac:dyDescent="0.25">
      <c r="A132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28" s="46"/>
      <c r="C1328" s="46"/>
      <c r="D1328" s="46"/>
      <c r="E1328" s="46" t="str">
        <f>IF(I1328="","",_xlfn.XLOOKUP(TRIM(I1328),'SkillMasterSkill ID'!$C:$C,'SkillMasterSkill ID'!$D:$D,"NOT FOUND",0))</f>
        <v/>
      </c>
      <c r="F1328" s="50"/>
      <c r="G1328" s="50"/>
      <c r="H1328" s="51"/>
      <c r="I1328" s="50"/>
      <c r="J1328" s="50" t="str">
        <f>IF(I1328="","",_xlfn.XLOOKUP(TRIM(I1328),'SkillMasterSkill ID'!$C:$C,'SkillMasterSkill ID'!$F:$F,"NOT FOUND",0))</f>
        <v/>
      </c>
      <c r="K1328" s="50"/>
      <c r="L1328" s="50"/>
    </row>
    <row r="1329" spans="1:12" x14ac:dyDescent="0.25">
      <c r="A132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29" s="46"/>
      <c r="C1329" s="46"/>
      <c r="D1329" s="46"/>
      <c r="E1329" s="46" t="str">
        <f>IF(I1329="","",_xlfn.XLOOKUP(TRIM(I1329),'SkillMasterSkill ID'!$C:$C,'SkillMasterSkill ID'!$D:$D,"NOT FOUND",0))</f>
        <v/>
      </c>
      <c r="F1329" s="50"/>
      <c r="G1329" s="50"/>
      <c r="H1329" s="51"/>
      <c r="I1329" s="50"/>
      <c r="J1329" s="50" t="str">
        <f>IF(I1329="","",_xlfn.XLOOKUP(TRIM(I1329),'SkillMasterSkill ID'!$C:$C,'SkillMasterSkill ID'!$F:$F,"NOT FOUND",0))</f>
        <v/>
      </c>
      <c r="K1329" s="50"/>
      <c r="L1329" s="50"/>
    </row>
    <row r="1330" spans="1:12" x14ac:dyDescent="0.25">
      <c r="A133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30" s="46"/>
      <c r="C1330" s="46"/>
      <c r="D1330" s="46"/>
      <c r="E1330" s="46" t="str">
        <f>IF(I1330="","",_xlfn.XLOOKUP(TRIM(I1330),'SkillMasterSkill ID'!$C:$C,'SkillMasterSkill ID'!$D:$D,"NOT FOUND",0))</f>
        <v/>
      </c>
      <c r="F1330" s="50"/>
      <c r="G1330" s="50"/>
      <c r="H1330" s="51"/>
      <c r="I1330" s="50"/>
      <c r="J1330" s="50" t="str">
        <f>IF(I1330="","",_xlfn.XLOOKUP(TRIM(I1330),'SkillMasterSkill ID'!$C:$C,'SkillMasterSkill ID'!$F:$F,"NOT FOUND",0))</f>
        <v/>
      </c>
      <c r="K1330" s="50"/>
      <c r="L1330" s="50"/>
    </row>
    <row r="1331" spans="1:12" x14ac:dyDescent="0.25">
      <c r="A133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31" s="46"/>
      <c r="C1331" s="46"/>
      <c r="D1331" s="46"/>
      <c r="E1331" s="46" t="str">
        <f>IF(I1331="","",_xlfn.XLOOKUP(TRIM(I1331),'SkillMasterSkill ID'!$C:$C,'SkillMasterSkill ID'!$D:$D,"NOT FOUND",0))</f>
        <v/>
      </c>
      <c r="F1331" s="50"/>
      <c r="G1331" s="50"/>
      <c r="H1331" s="51"/>
      <c r="I1331" s="50"/>
      <c r="J1331" s="50" t="str">
        <f>IF(I1331="","",_xlfn.XLOOKUP(TRIM(I1331),'SkillMasterSkill ID'!$C:$C,'SkillMasterSkill ID'!$F:$F,"NOT FOUND",0))</f>
        <v/>
      </c>
      <c r="K1331" s="50"/>
      <c r="L1331" s="50"/>
    </row>
    <row r="1332" spans="1:12" x14ac:dyDescent="0.25">
      <c r="A133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32" s="46"/>
      <c r="C1332" s="46"/>
      <c r="D1332" s="46"/>
      <c r="E1332" s="46" t="str">
        <f>IF(I1332="","",_xlfn.XLOOKUP(TRIM(I1332),'SkillMasterSkill ID'!$C:$C,'SkillMasterSkill ID'!$D:$D,"NOT FOUND",0))</f>
        <v/>
      </c>
      <c r="F1332" s="50"/>
      <c r="G1332" s="50"/>
      <c r="H1332" s="51"/>
      <c r="I1332" s="50"/>
      <c r="J1332" s="50" t="str">
        <f>IF(I1332="","",_xlfn.XLOOKUP(TRIM(I1332),'SkillMasterSkill ID'!$C:$C,'SkillMasterSkill ID'!$F:$F,"NOT FOUND",0))</f>
        <v/>
      </c>
      <c r="K1332" s="50"/>
      <c r="L1332" s="50"/>
    </row>
    <row r="1333" spans="1:12" x14ac:dyDescent="0.25">
      <c r="A133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33" s="46"/>
      <c r="C1333" s="46"/>
      <c r="D1333" s="46"/>
      <c r="E1333" s="46" t="str">
        <f>IF(I1333="","",_xlfn.XLOOKUP(TRIM(I1333),'SkillMasterSkill ID'!$C:$C,'SkillMasterSkill ID'!$D:$D,"NOT FOUND",0))</f>
        <v/>
      </c>
      <c r="F1333" s="50"/>
      <c r="G1333" s="50"/>
      <c r="H1333" s="51"/>
      <c r="I1333" s="50"/>
      <c r="J1333" s="50" t="str">
        <f>IF(I1333="","",_xlfn.XLOOKUP(TRIM(I1333),'SkillMasterSkill ID'!$C:$C,'SkillMasterSkill ID'!$F:$F,"NOT FOUND",0))</f>
        <v/>
      </c>
      <c r="K1333" s="50"/>
      <c r="L1333" s="50"/>
    </row>
    <row r="1334" spans="1:12" x14ac:dyDescent="0.25">
      <c r="A133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34" s="46"/>
      <c r="C1334" s="46"/>
      <c r="D1334" s="46"/>
      <c r="E1334" s="46" t="str">
        <f>IF(I1334="","",_xlfn.XLOOKUP(TRIM(I1334),'SkillMasterSkill ID'!$C:$C,'SkillMasterSkill ID'!$D:$D,"NOT FOUND",0))</f>
        <v/>
      </c>
      <c r="F1334" s="50"/>
      <c r="G1334" s="50"/>
      <c r="H1334" s="51"/>
      <c r="I1334" s="50"/>
      <c r="J1334" s="50" t="str">
        <f>IF(I1334="","",_xlfn.XLOOKUP(TRIM(I1334),'SkillMasterSkill ID'!$C:$C,'SkillMasterSkill ID'!$F:$F,"NOT FOUND",0))</f>
        <v/>
      </c>
      <c r="K1334" s="50"/>
      <c r="L1334" s="50"/>
    </row>
    <row r="1335" spans="1:12" x14ac:dyDescent="0.25">
      <c r="A133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35" s="46"/>
      <c r="C1335" s="46"/>
      <c r="D1335" s="46"/>
      <c r="E1335" s="46" t="str">
        <f>IF(I1335="","",_xlfn.XLOOKUP(TRIM(I1335),'SkillMasterSkill ID'!$C:$C,'SkillMasterSkill ID'!$D:$D,"NOT FOUND",0))</f>
        <v/>
      </c>
      <c r="F1335" s="50"/>
      <c r="G1335" s="50"/>
      <c r="H1335" s="51"/>
      <c r="I1335" s="50"/>
      <c r="J1335" s="50" t="str">
        <f>IF(I1335="","",_xlfn.XLOOKUP(TRIM(I1335),'SkillMasterSkill ID'!$C:$C,'SkillMasterSkill ID'!$F:$F,"NOT FOUND",0))</f>
        <v/>
      </c>
      <c r="K1335" s="50"/>
      <c r="L1335" s="50"/>
    </row>
    <row r="1336" spans="1:12" x14ac:dyDescent="0.25">
      <c r="A133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36" s="46"/>
      <c r="C1336" s="46"/>
      <c r="D1336" s="46"/>
      <c r="E1336" s="46" t="str">
        <f>IF(I1336="","",_xlfn.XLOOKUP(TRIM(I1336),'SkillMasterSkill ID'!$C:$C,'SkillMasterSkill ID'!$D:$D,"NOT FOUND",0))</f>
        <v/>
      </c>
      <c r="F1336" s="50"/>
      <c r="G1336" s="50"/>
      <c r="H1336" s="51"/>
      <c r="I1336" s="50"/>
      <c r="J1336" s="50" t="str">
        <f>IF(I1336="","",_xlfn.XLOOKUP(TRIM(I1336),'SkillMasterSkill ID'!$C:$C,'SkillMasterSkill ID'!$F:$F,"NOT FOUND",0))</f>
        <v/>
      </c>
      <c r="K1336" s="50"/>
      <c r="L1336" s="50"/>
    </row>
    <row r="1337" spans="1:12" x14ac:dyDescent="0.25">
      <c r="A133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37" s="46"/>
      <c r="C1337" s="46"/>
      <c r="D1337" s="46"/>
      <c r="E1337" s="46" t="str">
        <f>IF(I1337="","",_xlfn.XLOOKUP(TRIM(I1337),'SkillMasterSkill ID'!$C:$C,'SkillMasterSkill ID'!$D:$D,"NOT FOUND",0))</f>
        <v/>
      </c>
      <c r="F1337" s="50"/>
      <c r="G1337" s="50"/>
      <c r="H1337" s="51"/>
      <c r="I1337" s="50"/>
      <c r="J1337" s="50" t="str">
        <f>IF(I1337="","",_xlfn.XLOOKUP(TRIM(I1337),'SkillMasterSkill ID'!$C:$C,'SkillMasterSkill ID'!$F:$F,"NOT FOUND",0))</f>
        <v/>
      </c>
      <c r="K1337" s="50"/>
      <c r="L1337" s="50"/>
    </row>
    <row r="1338" spans="1:12" x14ac:dyDescent="0.25">
      <c r="A133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38" s="46"/>
      <c r="C1338" s="46"/>
      <c r="D1338" s="46"/>
      <c r="E1338" s="46" t="str">
        <f>IF(I1338="","",_xlfn.XLOOKUP(TRIM(I1338),'SkillMasterSkill ID'!$C:$C,'SkillMasterSkill ID'!$D:$D,"NOT FOUND",0))</f>
        <v/>
      </c>
      <c r="F1338" s="50"/>
      <c r="G1338" s="50"/>
      <c r="H1338" s="51"/>
      <c r="I1338" s="50"/>
      <c r="J1338" s="50" t="str">
        <f>IF(I1338="","",_xlfn.XLOOKUP(TRIM(I1338),'SkillMasterSkill ID'!$C:$C,'SkillMasterSkill ID'!$F:$F,"NOT FOUND",0))</f>
        <v/>
      </c>
      <c r="K1338" s="50"/>
      <c r="L1338" s="50"/>
    </row>
    <row r="1339" spans="1:12" x14ac:dyDescent="0.25">
      <c r="A133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39" s="46"/>
      <c r="C1339" s="46"/>
      <c r="D1339" s="46"/>
      <c r="E1339" s="46" t="str">
        <f>IF(I1339="","",_xlfn.XLOOKUP(TRIM(I1339),'SkillMasterSkill ID'!$C:$C,'SkillMasterSkill ID'!$D:$D,"NOT FOUND",0))</f>
        <v/>
      </c>
      <c r="F1339" s="50"/>
      <c r="G1339" s="50"/>
      <c r="H1339" s="51"/>
      <c r="I1339" s="50"/>
      <c r="J1339" s="50" t="str">
        <f>IF(I1339="","",_xlfn.XLOOKUP(TRIM(I1339),'SkillMasterSkill ID'!$C:$C,'SkillMasterSkill ID'!$F:$F,"NOT FOUND",0))</f>
        <v/>
      </c>
      <c r="K1339" s="50"/>
      <c r="L1339" s="50"/>
    </row>
    <row r="1340" spans="1:12" x14ac:dyDescent="0.25">
      <c r="A134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40" s="46"/>
      <c r="C1340" s="46"/>
      <c r="D1340" s="46"/>
      <c r="E1340" s="46" t="str">
        <f>IF(I1340="","",_xlfn.XLOOKUP(TRIM(I1340),'SkillMasterSkill ID'!$C:$C,'SkillMasterSkill ID'!$D:$D,"NOT FOUND",0))</f>
        <v/>
      </c>
      <c r="F1340" s="50"/>
      <c r="G1340" s="50"/>
      <c r="H1340" s="51"/>
      <c r="I1340" s="50"/>
      <c r="J1340" s="50" t="str">
        <f>IF(I1340="","",_xlfn.XLOOKUP(TRIM(I1340),'SkillMasterSkill ID'!$C:$C,'SkillMasterSkill ID'!$F:$F,"NOT FOUND",0))</f>
        <v/>
      </c>
      <c r="K1340" s="50"/>
      <c r="L1340" s="50"/>
    </row>
    <row r="1341" spans="1:12" x14ac:dyDescent="0.25">
      <c r="A134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41" s="46"/>
      <c r="C1341" s="46"/>
      <c r="D1341" s="46"/>
      <c r="E1341" s="46" t="str">
        <f>IF(I1341="","",_xlfn.XLOOKUP(TRIM(I1341),'SkillMasterSkill ID'!$C:$C,'SkillMasterSkill ID'!$D:$D,"NOT FOUND",0))</f>
        <v/>
      </c>
      <c r="F1341" s="50"/>
      <c r="G1341" s="50"/>
      <c r="H1341" s="51"/>
      <c r="I1341" s="50"/>
      <c r="J1341" s="50" t="str">
        <f>IF(I1341="","",_xlfn.XLOOKUP(TRIM(I1341),'SkillMasterSkill ID'!$C:$C,'SkillMasterSkill ID'!$F:$F,"NOT FOUND",0))</f>
        <v/>
      </c>
      <c r="K1341" s="50"/>
      <c r="L1341" s="50"/>
    </row>
    <row r="1342" spans="1:12" x14ac:dyDescent="0.25">
      <c r="A134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42" s="46"/>
      <c r="C1342" s="46"/>
      <c r="D1342" s="46"/>
      <c r="E1342" s="46" t="str">
        <f>IF(I1342="","",_xlfn.XLOOKUP(TRIM(I1342),'SkillMasterSkill ID'!$C:$C,'SkillMasterSkill ID'!$D:$D,"NOT FOUND",0))</f>
        <v/>
      </c>
      <c r="F1342" s="50"/>
      <c r="G1342" s="50"/>
      <c r="H1342" s="51"/>
      <c r="I1342" s="50"/>
      <c r="J1342" s="50" t="str">
        <f>IF(I1342="","",_xlfn.XLOOKUP(TRIM(I1342),'SkillMasterSkill ID'!$C:$C,'SkillMasterSkill ID'!$F:$F,"NOT FOUND",0))</f>
        <v/>
      </c>
      <c r="K1342" s="50"/>
      <c r="L1342" s="50"/>
    </row>
    <row r="1343" spans="1:12" x14ac:dyDescent="0.25">
      <c r="A134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43" s="46"/>
      <c r="C1343" s="46"/>
      <c r="D1343" s="46"/>
      <c r="E1343" s="46" t="str">
        <f>IF(I1343="","",_xlfn.XLOOKUP(TRIM(I1343),'SkillMasterSkill ID'!$C:$C,'SkillMasterSkill ID'!$D:$D,"NOT FOUND",0))</f>
        <v/>
      </c>
      <c r="F1343" s="50"/>
      <c r="G1343" s="50"/>
      <c r="H1343" s="51"/>
      <c r="I1343" s="50"/>
      <c r="J1343" s="50" t="str">
        <f>IF(I1343="","",_xlfn.XLOOKUP(TRIM(I1343),'SkillMasterSkill ID'!$C:$C,'SkillMasterSkill ID'!$F:$F,"NOT FOUND",0))</f>
        <v/>
      </c>
      <c r="K1343" s="50"/>
      <c r="L1343" s="50"/>
    </row>
    <row r="1344" spans="1:12" x14ac:dyDescent="0.25">
      <c r="A134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44" s="46"/>
      <c r="C1344" s="46"/>
      <c r="D1344" s="46"/>
      <c r="E1344" s="46" t="str">
        <f>IF(I1344="","",_xlfn.XLOOKUP(TRIM(I1344),'SkillMasterSkill ID'!$C:$C,'SkillMasterSkill ID'!$D:$D,"NOT FOUND",0))</f>
        <v/>
      </c>
      <c r="F1344" s="50"/>
      <c r="G1344" s="50"/>
      <c r="H1344" s="51"/>
      <c r="I1344" s="50"/>
      <c r="J1344" s="50" t="str">
        <f>IF(I1344="","",_xlfn.XLOOKUP(TRIM(I1344),'SkillMasterSkill ID'!$C:$C,'SkillMasterSkill ID'!$F:$F,"NOT FOUND",0))</f>
        <v/>
      </c>
      <c r="K1344" s="50"/>
      <c r="L1344" s="50"/>
    </row>
    <row r="1345" spans="1:12" x14ac:dyDescent="0.25">
      <c r="A134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45" s="46"/>
      <c r="C1345" s="46"/>
      <c r="D1345" s="46"/>
      <c r="E1345" s="46" t="str">
        <f>IF(I1345="","",_xlfn.XLOOKUP(TRIM(I1345),'SkillMasterSkill ID'!$C:$C,'SkillMasterSkill ID'!$D:$D,"NOT FOUND",0))</f>
        <v/>
      </c>
      <c r="F1345" s="50"/>
      <c r="G1345" s="50"/>
      <c r="H1345" s="51"/>
      <c r="I1345" s="50"/>
      <c r="J1345" s="50" t="str">
        <f>IF(I1345="","",_xlfn.XLOOKUP(TRIM(I1345),'SkillMasterSkill ID'!$C:$C,'SkillMasterSkill ID'!$F:$F,"NOT FOUND",0))</f>
        <v/>
      </c>
      <c r="K1345" s="50"/>
      <c r="L1345" s="50"/>
    </row>
    <row r="1346" spans="1:12" x14ac:dyDescent="0.25">
      <c r="A134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46" s="46"/>
      <c r="C1346" s="46"/>
      <c r="D1346" s="46"/>
      <c r="E1346" s="46" t="str">
        <f>IF(I1346="","",_xlfn.XLOOKUP(TRIM(I1346),'SkillMasterSkill ID'!$C:$C,'SkillMasterSkill ID'!$D:$D,"NOT FOUND",0))</f>
        <v/>
      </c>
      <c r="F1346" s="50"/>
      <c r="G1346" s="50"/>
      <c r="H1346" s="51"/>
      <c r="I1346" s="50"/>
      <c r="J1346" s="50" t="str">
        <f>IF(I1346="","",_xlfn.XLOOKUP(TRIM(I1346),'SkillMasterSkill ID'!$C:$C,'SkillMasterSkill ID'!$F:$F,"NOT FOUND",0))</f>
        <v/>
      </c>
      <c r="K1346" s="50"/>
      <c r="L1346" s="50"/>
    </row>
    <row r="1347" spans="1:12" x14ac:dyDescent="0.25">
      <c r="A134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47" s="46"/>
      <c r="C1347" s="46"/>
      <c r="D1347" s="46"/>
      <c r="E1347" s="46" t="str">
        <f>IF(I1347="","",_xlfn.XLOOKUP(TRIM(I1347),'SkillMasterSkill ID'!$C:$C,'SkillMasterSkill ID'!$D:$D,"NOT FOUND",0))</f>
        <v/>
      </c>
      <c r="F1347" s="50"/>
      <c r="G1347" s="50"/>
      <c r="H1347" s="51"/>
      <c r="I1347" s="50"/>
      <c r="J1347" s="50" t="str">
        <f>IF(I1347="","",_xlfn.XLOOKUP(TRIM(I1347),'SkillMasterSkill ID'!$C:$C,'SkillMasterSkill ID'!$F:$F,"NOT FOUND",0))</f>
        <v/>
      </c>
      <c r="K1347" s="50"/>
      <c r="L1347" s="50"/>
    </row>
    <row r="1348" spans="1:12" x14ac:dyDescent="0.25">
      <c r="A134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48" s="46"/>
      <c r="C1348" s="46"/>
      <c r="D1348" s="46"/>
      <c r="E1348" s="46" t="str">
        <f>IF(I1348="","",_xlfn.XLOOKUP(TRIM(I1348),'SkillMasterSkill ID'!$C:$C,'SkillMasterSkill ID'!$D:$D,"NOT FOUND",0))</f>
        <v/>
      </c>
      <c r="F1348" s="50"/>
      <c r="G1348" s="50"/>
      <c r="H1348" s="51"/>
      <c r="I1348" s="50"/>
      <c r="J1348" s="50" t="str">
        <f>IF(I1348="","",_xlfn.XLOOKUP(TRIM(I1348),'SkillMasterSkill ID'!$C:$C,'SkillMasterSkill ID'!$F:$F,"NOT FOUND",0))</f>
        <v/>
      </c>
      <c r="K1348" s="50"/>
      <c r="L1348" s="50"/>
    </row>
    <row r="1349" spans="1:12" x14ac:dyDescent="0.25">
      <c r="A134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49" s="46"/>
      <c r="C1349" s="46"/>
      <c r="D1349" s="46"/>
      <c r="E1349" s="46" t="str">
        <f>IF(I1349="","",_xlfn.XLOOKUP(TRIM(I1349),'SkillMasterSkill ID'!$C:$C,'SkillMasterSkill ID'!$D:$D,"NOT FOUND",0))</f>
        <v/>
      </c>
      <c r="F1349" s="50"/>
      <c r="G1349" s="50"/>
      <c r="H1349" s="51"/>
      <c r="I1349" s="50"/>
      <c r="J1349" s="50" t="str">
        <f>IF(I1349="","",_xlfn.XLOOKUP(TRIM(I1349),'SkillMasterSkill ID'!$C:$C,'SkillMasterSkill ID'!$F:$F,"NOT FOUND",0))</f>
        <v/>
      </c>
      <c r="K1349" s="50"/>
      <c r="L1349" s="50"/>
    </row>
    <row r="1350" spans="1:12" x14ac:dyDescent="0.25">
      <c r="A135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50" s="46"/>
      <c r="C1350" s="46"/>
      <c r="D1350" s="46"/>
      <c r="E1350" s="46" t="str">
        <f>IF(I1350="","",_xlfn.XLOOKUP(TRIM(I1350),'SkillMasterSkill ID'!$C:$C,'SkillMasterSkill ID'!$D:$D,"NOT FOUND",0))</f>
        <v/>
      </c>
      <c r="F1350" s="50"/>
      <c r="G1350" s="50"/>
      <c r="H1350" s="51"/>
      <c r="I1350" s="50"/>
      <c r="J1350" s="50" t="str">
        <f>IF(I1350="","",_xlfn.XLOOKUP(TRIM(I1350),'SkillMasterSkill ID'!$C:$C,'SkillMasterSkill ID'!$F:$F,"NOT FOUND",0))</f>
        <v/>
      </c>
      <c r="K1350" s="50"/>
      <c r="L1350" s="50"/>
    </row>
    <row r="1351" spans="1:12" x14ac:dyDescent="0.25">
      <c r="A135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51" s="46"/>
      <c r="C1351" s="46"/>
      <c r="D1351" s="46"/>
      <c r="E1351" s="46" t="str">
        <f>IF(I1351="","",_xlfn.XLOOKUP(TRIM(I1351),'SkillMasterSkill ID'!$C:$C,'SkillMasterSkill ID'!$D:$D,"NOT FOUND",0))</f>
        <v/>
      </c>
      <c r="F1351" s="50"/>
      <c r="G1351" s="50"/>
      <c r="H1351" s="51"/>
      <c r="I1351" s="50"/>
      <c r="J1351" s="50" t="str">
        <f>IF(I1351="","",_xlfn.XLOOKUP(TRIM(I1351),'SkillMasterSkill ID'!$C:$C,'SkillMasterSkill ID'!$F:$F,"NOT FOUND",0))</f>
        <v/>
      </c>
      <c r="K1351" s="50"/>
      <c r="L1351" s="50"/>
    </row>
    <row r="1352" spans="1:12" x14ac:dyDescent="0.25">
      <c r="A135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52" s="46"/>
      <c r="C1352" s="46"/>
      <c r="D1352" s="46"/>
      <c r="E1352" s="46" t="str">
        <f>IF(I1352="","",_xlfn.XLOOKUP(TRIM(I1352),'SkillMasterSkill ID'!$C:$C,'SkillMasterSkill ID'!$D:$D,"NOT FOUND",0))</f>
        <v/>
      </c>
      <c r="F1352" s="50"/>
      <c r="G1352" s="50"/>
      <c r="H1352" s="51"/>
      <c r="I1352" s="50"/>
      <c r="J1352" s="50" t="str">
        <f>IF(I1352="","",_xlfn.XLOOKUP(TRIM(I1352),'SkillMasterSkill ID'!$C:$C,'SkillMasterSkill ID'!$F:$F,"NOT FOUND",0))</f>
        <v/>
      </c>
      <c r="K1352" s="50"/>
      <c r="L1352" s="50"/>
    </row>
    <row r="1353" spans="1:12" x14ac:dyDescent="0.25">
      <c r="A135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53" s="46"/>
      <c r="C1353" s="46"/>
      <c r="D1353" s="46"/>
      <c r="E1353" s="46" t="str">
        <f>IF(I1353="","",_xlfn.XLOOKUP(TRIM(I1353),'SkillMasterSkill ID'!$C:$C,'SkillMasterSkill ID'!$D:$D,"NOT FOUND",0))</f>
        <v/>
      </c>
      <c r="F1353" s="50"/>
      <c r="G1353" s="50"/>
      <c r="H1353" s="51"/>
      <c r="I1353" s="50"/>
      <c r="J1353" s="50" t="str">
        <f>IF(I1353="","",_xlfn.XLOOKUP(TRIM(I1353),'SkillMasterSkill ID'!$C:$C,'SkillMasterSkill ID'!$F:$F,"NOT FOUND",0))</f>
        <v/>
      </c>
      <c r="K1353" s="50"/>
      <c r="L1353" s="50"/>
    </row>
    <row r="1354" spans="1:12" x14ac:dyDescent="0.25">
      <c r="A135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54" s="46"/>
      <c r="C1354" s="46"/>
      <c r="D1354" s="46"/>
      <c r="E1354" s="46" t="str">
        <f>IF(I1354="","",_xlfn.XLOOKUP(TRIM(I1354),'SkillMasterSkill ID'!$C:$C,'SkillMasterSkill ID'!$D:$D,"NOT FOUND",0))</f>
        <v/>
      </c>
      <c r="F1354" s="50"/>
      <c r="G1354" s="50"/>
      <c r="H1354" s="51"/>
      <c r="I1354" s="50"/>
      <c r="J1354" s="50" t="str">
        <f>IF(I1354="","",_xlfn.XLOOKUP(TRIM(I1354),'SkillMasterSkill ID'!$C:$C,'SkillMasterSkill ID'!$F:$F,"NOT FOUND",0))</f>
        <v/>
      </c>
      <c r="K1354" s="50"/>
      <c r="L1354" s="50"/>
    </row>
    <row r="1355" spans="1:12" x14ac:dyDescent="0.25">
      <c r="A135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55" s="46"/>
      <c r="C1355" s="46"/>
      <c r="D1355" s="46"/>
      <c r="E1355" s="46" t="str">
        <f>IF(I1355="","",_xlfn.XLOOKUP(TRIM(I1355),'SkillMasterSkill ID'!$C:$C,'SkillMasterSkill ID'!$D:$D,"NOT FOUND",0))</f>
        <v/>
      </c>
      <c r="F1355" s="50"/>
      <c r="G1355" s="50"/>
      <c r="H1355" s="51"/>
      <c r="I1355" s="50"/>
      <c r="J1355" s="50" t="str">
        <f>IF(I1355="","",_xlfn.XLOOKUP(TRIM(I1355),'SkillMasterSkill ID'!$C:$C,'SkillMasterSkill ID'!$F:$F,"NOT FOUND",0))</f>
        <v/>
      </c>
      <c r="K1355" s="50"/>
      <c r="L1355" s="50"/>
    </row>
    <row r="1356" spans="1:12" x14ac:dyDescent="0.25">
      <c r="A135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56" s="46"/>
      <c r="C1356" s="46"/>
      <c r="D1356" s="46"/>
      <c r="E1356" s="46" t="str">
        <f>IF(I1356="","",_xlfn.XLOOKUP(TRIM(I1356),'SkillMasterSkill ID'!$C:$C,'SkillMasterSkill ID'!$D:$D,"NOT FOUND",0))</f>
        <v/>
      </c>
      <c r="F1356" s="50"/>
      <c r="G1356" s="50"/>
      <c r="H1356" s="51"/>
      <c r="I1356" s="50"/>
      <c r="J1356" s="50" t="str">
        <f>IF(I1356="","",_xlfn.XLOOKUP(TRIM(I1356),'SkillMasterSkill ID'!$C:$C,'SkillMasterSkill ID'!$F:$F,"NOT FOUND",0))</f>
        <v/>
      </c>
      <c r="K1356" s="50"/>
      <c r="L1356" s="50"/>
    </row>
    <row r="1357" spans="1:12" x14ac:dyDescent="0.25">
      <c r="A135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57" s="46"/>
      <c r="C1357" s="46"/>
      <c r="D1357" s="46"/>
      <c r="E1357" s="46" t="str">
        <f>IF(I1357="","",_xlfn.XLOOKUP(TRIM(I1357),'SkillMasterSkill ID'!$C:$C,'SkillMasterSkill ID'!$D:$D,"NOT FOUND",0))</f>
        <v/>
      </c>
      <c r="F1357" s="50"/>
      <c r="G1357" s="50"/>
      <c r="H1357" s="51"/>
      <c r="I1357" s="50"/>
      <c r="J1357" s="50" t="str">
        <f>IF(I1357="","",_xlfn.XLOOKUP(TRIM(I1357),'SkillMasterSkill ID'!$C:$C,'SkillMasterSkill ID'!$F:$F,"NOT FOUND",0))</f>
        <v/>
      </c>
      <c r="K1357" s="50"/>
      <c r="L1357" s="50"/>
    </row>
    <row r="1358" spans="1:12" x14ac:dyDescent="0.25">
      <c r="A135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58" s="46"/>
      <c r="C1358" s="46"/>
      <c r="D1358" s="46"/>
      <c r="E1358" s="46" t="str">
        <f>IF(I1358="","",_xlfn.XLOOKUP(TRIM(I1358),'SkillMasterSkill ID'!$C:$C,'SkillMasterSkill ID'!$D:$D,"NOT FOUND",0))</f>
        <v/>
      </c>
      <c r="F1358" s="50"/>
      <c r="G1358" s="50"/>
      <c r="H1358" s="51"/>
      <c r="I1358" s="50"/>
      <c r="J1358" s="50" t="str">
        <f>IF(I1358="","",_xlfn.XLOOKUP(TRIM(I1358),'SkillMasterSkill ID'!$C:$C,'SkillMasterSkill ID'!$F:$F,"NOT FOUND",0))</f>
        <v/>
      </c>
      <c r="K1358" s="50"/>
      <c r="L1358" s="50"/>
    </row>
    <row r="1359" spans="1:12" x14ac:dyDescent="0.25">
      <c r="A135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59" s="46"/>
      <c r="C1359" s="46"/>
      <c r="D1359" s="46"/>
      <c r="E1359" s="46" t="str">
        <f>IF(I1359="","",_xlfn.XLOOKUP(TRIM(I1359),'SkillMasterSkill ID'!$C:$C,'SkillMasterSkill ID'!$D:$D,"NOT FOUND",0))</f>
        <v/>
      </c>
      <c r="F1359" s="50"/>
      <c r="G1359" s="50"/>
      <c r="H1359" s="51"/>
      <c r="I1359" s="50"/>
      <c r="J1359" s="50" t="str">
        <f>IF(I1359="","",_xlfn.XLOOKUP(TRIM(I1359),'SkillMasterSkill ID'!$C:$C,'SkillMasterSkill ID'!$F:$F,"NOT FOUND",0))</f>
        <v/>
      </c>
      <c r="K1359" s="50"/>
      <c r="L1359" s="50"/>
    </row>
    <row r="1360" spans="1:12" x14ac:dyDescent="0.25">
      <c r="A136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60" s="46"/>
      <c r="C1360" s="46"/>
      <c r="D1360" s="46"/>
      <c r="E1360" s="46" t="str">
        <f>IF(I1360="","",_xlfn.XLOOKUP(TRIM(I1360),'SkillMasterSkill ID'!$C:$C,'SkillMasterSkill ID'!$D:$D,"NOT FOUND",0))</f>
        <v/>
      </c>
      <c r="F1360" s="50"/>
      <c r="G1360" s="50"/>
      <c r="H1360" s="51"/>
      <c r="I1360" s="50"/>
      <c r="J1360" s="50" t="str">
        <f>IF(I1360="","",_xlfn.XLOOKUP(TRIM(I1360),'SkillMasterSkill ID'!$C:$C,'SkillMasterSkill ID'!$F:$F,"NOT FOUND",0))</f>
        <v/>
      </c>
      <c r="K1360" s="50"/>
      <c r="L1360" s="50"/>
    </row>
    <row r="1361" spans="1:12" x14ac:dyDescent="0.25">
      <c r="A136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61" s="46"/>
      <c r="C1361" s="46"/>
      <c r="D1361" s="46"/>
      <c r="E1361" s="46" t="str">
        <f>IF(I1361="","",_xlfn.XLOOKUP(TRIM(I1361),'SkillMasterSkill ID'!$C:$C,'SkillMasterSkill ID'!$D:$D,"NOT FOUND",0))</f>
        <v/>
      </c>
      <c r="F1361" s="50"/>
      <c r="G1361" s="50"/>
      <c r="H1361" s="51"/>
      <c r="I1361" s="50"/>
      <c r="J1361" s="50" t="str">
        <f>IF(I1361="","",_xlfn.XLOOKUP(TRIM(I1361),'SkillMasterSkill ID'!$C:$C,'SkillMasterSkill ID'!$F:$F,"NOT FOUND",0))</f>
        <v/>
      </c>
      <c r="K1361" s="50"/>
      <c r="L1361" s="50"/>
    </row>
    <row r="1362" spans="1:12" x14ac:dyDescent="0.25">
      <c r="A136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62" s="46"/>
      <c r="C1362" s="46"/>
      <c r="D1362" s="46"/>
      <c r="E1362" s="46" t="str">
        <f>IF(I1362="","",_xlfn.XLOOKUP(TRIM(I1362),'SkillMasterSkill ID'!$C:$C,'SkillMasterSkill ID'!$D:$D,"NOT FOUND",0))</f>
        <v/>
      </c>
      <c r="F1362" s="50"/>
      <c r="G1362" s="50"/>
      <c r="H1362" s="51"/>
      <c r="I1362" s="50"/>
      <c r="J1362" s="50" t="str">
        <f>IF(I1362="","",_xlfn.XLOOKUP(TRIM(I1362),'SkillMasterSkill ID'!$C:$C,'SkillMasterSkill ID'!$F:$F,"NOT FOUND",0))</f>
        <v/>
      </c>
      <c r="K1362" s="50"/>
      <c r="L1362" s="50"/>
    </row>
    <row r="1363" spans="1:12" x14ac:dyDescent="0.25">
      <c r="A136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63" s="46"/>
      <c r="C1363" s="46"/>
      <c r="D1363" s="46"/>
      <c r="E1363" s="46" t="str">
        <f>IF(I1363="","",_xlfn.XLOOKUP(TRIM(I1363),'SkillMasterSkill ID'!$C:$C,'SkillMasterSkill ID'!$D:$D,"NOT FOUND",0))</f>
        <v/>
      </c>
      <c r="F1363" s="50"/>
      <c r="G1363" s="50"/>
      <c r="H1363" s="51"/>
      <c r="I1363" s="50"/>
      <c r="J1363" s="50" t="str">
        <f>IF(I1363="","",_xlfn.XLOOKUP(TRIM(I1363),'SkillMasterSkill ID'!$C:$C,'SkillMasterSkill ID'!$F:$F,"NOT FOUND",0))</f>
        <v/>
      </c>
      <c r="K1363" s="50"/>
      <c r="L1363" s="50"/>
    </row>
    <row r="1364" spans="1:12" x14ac:dyDescent="0.25">
      <c r="A136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64" s="46"/>
      <c r="C1364" s="46"/>
      <c r="D1364" s="46"/>
      <c r="E1364" s="46" t="str">
        <f>IF(I1364="","",_xlfn.XLOOKUP(TRIM(I1364),'SkillMasterSkill ID'!$C:$C,'SkillMasterSkill ID'!$D:$D,"NOT FOUND",0))</f>
        <v/>
      </c>
      <c r="F1364" s="50"/>
      <c r="G1364" s="50"/>
      <c r="H1364" s="51"/>
      <c r="I1364" s="50"/>
      <c r="J1364" s="50" t="str">
        <f>IF(I1364="","",_xlfn.XLOOKUP(TRIM(I1364),'SkillMasterSkill ID'!$C:$C,'SkillMasterSkill ID'!$F:$F,"NOT FOUND",0))</f>
        <v/>
      </c>
      <c r="K1364" s="50"/>
      <c r="L1364" s="50"/>
    </row>
    <row r="1365" spans="1:12" x14ac:dyDescent="0.25">
      <c r="A136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65" s="46"/>
      <c r="C1365" s="46"/>
      <c r="D1365" s="46"/>
      <c r="E1365" s="46" t="str">
        <f>IF(I1365="","",_xlfn.XLOOKUP(TRIM(I1365),'SkillMasterSkill ID'!$C:$C,'SkillMasterSkill ID'!$D:$D,"NOT FOUND",0))</f>
        <v/>
      </c>
      <c r="F1365" s="50"/>
      <c r="G1365" s="50"/>
      <c r="H1365" s="51"/>
      <c r="I1365" s="50"/>
      <c r="J1365" s="50" t="str">
        <f>IF(I1365="","",_xlfn.XLOOKUP(TRIM(I1365),'SkillMasterSkill ID'!$C:$C,'SkillMasterSkill ID'!$F:$F,"NOT FOUND",0))</f>
        <v/>
      </c>
      <c r="K1365" s="50"/>
      <c r="L1365" s="50"/>
    </row>
    <row r="1366" spans="1:12" x14ac:dyDescent="0.25">
      <c r="A136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66" s="46"/>
      <c r="C1366" s="46"/>
      <c r="D1366" s="46"/>
      <c r="E1366" s="46" t="str">
        <f>IF(I1366="","",_xlfn.XLOOKUP(TRIM(I1366),'SkillMasterSkill ID'!$C:$C,'SkillMasterSkill ID'!$D:$D,"NOT FOUND",0))</f>
        <v/>
      </c>
      <c r="F1366" s="50"/>
      <c r="G1366" s="50"/>
      <c r="H1366" s="51"/>
      <c r="I1366" s="50"/>
      <c r="J1366" s="50" t="str">
        <f>IF(I1366="","",_xlfn.XLOOKUP(TRIM(I1366),'SkillMasterSkill ID'!$C:$C,'SkillMasterSkill ID'!$F:$F,"NOT FOUND",0))</f>
        <v/>
      </c>
      <c r="K1366" s="50"/>
      <c r="L1366" s="50"/>
    </row>
    <row r="1367" spans="1:12" x14ac:dyDescent="0.25">
      <c r="A136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67" s="46"/>
      <c r="C1367" s="46"/>
      <c r="D1367" s="46"/>
      <c r="E1367" s="46" t="str">
        <f>IF(I1367="","",_xlfn.XLOOKUP(TRIM(I1367),'SkillMasterSkill ID'!$C:$C,'SkillMasterSkill ID'!$D:$D,"NOT FOUND",0))</f>
        <v/>
      </c>
      <c r="F1367" s="50"/>
      <c r="G1367" s="50"/>
      <c r="H1367" s="51"/>
      <c r="I1367" s="50"/>
      <c r="J1367" s="50" t="str">
        <f>IF(I1367="","",_xlfn.XLOOKUP(TRIM(I1367),'SkillMasterSkill ID'!$C:$C,'SkillMasterSkill ID'!$F:$F,"NOT FOUND",0))</f>
        <v/>
      </c>
      <c r="K1367" s="50"/>
      <c r="L1367" s="50"/>
    </row>
    <row r="1368" spans="1:12" x14ac:dyDescent="0.25">
      <c r="A136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68" s="46"/>
      <c r="C1368" s="46"/>
      <c r="D1368" s="46"/>
      <c r="E1368" s="46" t="str">
        <f>IF(I1368="","",_xlfn.XLOOKUP(TRIM(I1368),'SkillMasterSkill ID'!$C:$C,'SkillMasterSkill ID'!$D:$D,"NOT FOUND",0))</f>
        <v/>
      </c>
      <c r="F1368" s="50"/>
      <c r="G1368" s="50"/>
      <c r="H1368" s="51"/>
      <c r="I1368" s="50"/>
      <c r="J1368" s="50" t="str">
        <f>IF(I1368="","",_xlfn.XLOOKUP(TRIM(I1368),'SkillMasterSkill ID'!$C:$C,'SkillMasterSkill ID'!$F:$F,"NOT FOUND",0))</f>
        <v/>
      </c>
      <c r="K1368" s="50"/>
      <c r="L1368" s="50"/>
    </row>
    <row r="1369" spans="1:12" x14ac:dyDescent="0.25">
      <c r="A136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69" s="46"/>
      <c r="C1369" s="46"/>
      <c r="D1369" s="46"/>
      <c r="E1369" s="46" t="str">
        <f>IF(I1369="","",_xlfn.XLOOKUP(TRIM(I1369),'SkillMasterSkill ID'!$C:$C,'SkillMasterSkill ID'!$D:$D,"NOT FOUND",0))</f>
        <v/>
      </c>
      <c r="F1369" s="50"/>
      <c r="G1369" s="50"/>
      <c r="H1369" s="51"/>
      <c r="I1369" s="50"/>
      <c r="J1369" s="50" t="str">
        <f>IF(I1369="","",_xlfn.XLOOKUP(TRIM(I1369),'SkillMasterSkill ID'!$C:$C,'SkillMasterSkill ID'!$F:$F,"NOT FOUND",0))</f>
        <v/>
      </c>
      <c r="K1369" s="50"/>
      <c r="L1369" s="50"/>
    </row>
    <row r="1370" spans="1:12" x14ac:dyDescent="0.25">
      <c r="A137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70" s="46"/>
      <c r="C1370" s="46"/>
      <c r="D1370" s="46"/>
      <c r="E1370" s="46" t="str">
        <f>IF(I1370="","",_xlfn.XLOOKUP(TRIM(I1370),'SkillMasterSkill ID'!$C:$C,'SkillMasterSkill ID'!$D:$D,"NOT FOUND",0))</f>
        <v/>
      </c>
      <c r="F1370" s="50"/>
      <c r="G1370" s="50"/>
      <c r="H1370" s="51"/>
      <c r="I1370" s="50"/>
      <c r="J1370" s="50" t="str">
        <f>IF(I1370="","",_xlfn.XLOOKUP(TRIM(I1370),'SkillMasterSkill ID'!$C:$C,'SkillMasterSkill ID'!$F:$F,"NOT FOUND",0))</f>
        <v/>
      </c>
      <c r="K1370" s="50"/>
      <c r="L1370" s="50"/>
    </row>
    <row r="1371" spans="1:12" x14ac:dyDescent="0.25">
      <c r="A137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71" s="46"/>
      <c r="C1371" s="46"/>
      <c r="D1371" s="46"/>
      <c r="E1371" s="46" t="str">
        <f>IF(I1371="","",_xlfn.XLOOKUP(TRIM(I1371),'SkillMasterSkill ID'!$C:$C,'SkillMasterSkill ID'!$D:$D,"NOT FOUND",0))</f>
        <v/>
      </c>
      <c r="F1371" s="50"/>
      <c r="G1371" s="50"/>
      <c r="H1371" s="51"/>
      <c r="I1371" s="50"/>
      <c r="J1371" s="50" t="str">
        <f>IF(I1371="","",_xlfn.XLOOKUP(TRIM(I1371),'SkillMasterSkill ID'!$C:$C,'SkillMasterSkill ID'!$F:$F,"NOT FOUND",0))</f>
        <v/>
      </c>
      <c r="K1371" s="50"/>
      <c r="L1371" s="50"/>
    </row>
    <row r="1372" spans="1:12" x14ac:dyDescent="0.25">
      <c r="A137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72" s="46"/>
      <c r="C1372" s="46"/>
      <c r="D1372" s="46"/>
      <c r="E1372" s="46" t="str">
        <f>IF(I1372="","",_xlfn.XLOOKUP(TRIM(I1372),'SkillMasterSkill ID'!$C:$C,'SkillMasterSkill ID'!$D:$D,"NOT FOUND",0))</f>
        <v/>
      </c>
      <c r="F1372" s="50"/>
      <c r="G1372" s="50"/>
      <c r="H1372" s="51"/>
      <c r="I1372" s="50"/>
      <c r="J1372" s="50" t="str">
        <f>IF(I1372="","",_xlfn.XLOOKUP(TRIM(I1372),'SkillMasterSkill ID'!$C:$C,'SkillMasterSkill ID'!$F:$F,"NOT FOUND",0))</f>
        <v/>
      </c>
      <c r="K1372" s="50"/>
      <c r="L1372" s="50"/>
    </row>
    <row r="1373" spans="1:12" x14ac:dyDescent="0.25">
      <c r="A137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73" s="46"/>
      <c r="C1373" s="46"/>
      <c r="D1373" s="46"/>
      <c r="E1373" s="46" t="str">
        <f>IF(I1373="","",_xlfn.XLOOKUP(TRIM(I1373),'SkillMasterSkill ID'!$C:$C,'SkillMasterSkill ID'!$D:$D,"NOT FOUND",0))</f>
        <v/>
      </c>
      <c r="F1373" s="50"/>
      <c r="G1373" s="50"/>
      <c r="H1373" s="51"/>
      <c r="I1373" s="50"/>
      <c r="J1373" s="50" t="str">
        <f>IF(I1373="","",_xlfn.XLOOKUP(TRIM(I1373),'SkillMasterSkill ID'!$C:$C,'SkillMasterSkill ID'!$F:$F,"NOT FOUND",0))</f>
        <v/>
      </c>
      <c r="K1373" s="50"/>
      <c r="L1373" s="50"/>
    </row>
    <row r="1374" spans="1:12" x14ac:dyDescent="0.25">
      <c r="A137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74" s="46"/>
      <c r="C1374" s="46"/>
      <c r="D1374" s="46"/>
      <c r="E1374" s="46" t="str">
        <f>IF(I1374="","",_xlfn.XLOOKUP(TRIM(I1374),'SkillMasterSkill ID'!$C:$C,'SkillMasterSkill ID'!$D:$D,"NOT FOUND",0))</f>
        <v/>
      </c>
      <c r="F1374" s="50"/>
      <c r="G1374" s="50"/>
      <c r="H1374" s="51"/>
      <c r="I1374" s="50"/>
      <c r="J1374" s="50" t="str">
        <f>IF(I1374="","",_xlfn.XLOOKUP(TRIM(I1374),'SkillMasterSkill ID'!$C:$C,'SkillMasterSkill ID'!$F:$F,"NOT FOUND",0))</f>
        <v/>
      </c>
      <c r="K1374" s="50"/>
      <c r="L1374" s="50"/>
    </row>
    <row r="1375" spans="1:12" x14ac:dyDescent="0.25">
      <c r="A137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75" s="46"/>
      <c r="C1375" s="46"/>
      <c r="D1375" s="46"/>
      <c r="E1375" s="46" t="str">
        <f>IF(I1375="","",_xlfn.XLOOKUP(TRIM(I1375),'SkillMasterSkill ID'!$C:$C,'SkillMasterSkill ID'!$D:$D,"NOT FOUND",0))</f>
        <v/>
      </c>
      <c r="F1375" s="50"/>
      <c r="G1375" s="50"/>
      <c r="H1375" s="51"/>
      <c r="I1375" s="50"/>
      <c r="J1375" s="50" t="str">
        <f>IF(I1375="","",_xlfn.XLOOKUP(TRIM(I1375),'SkillMasterSkill ID'!$C:$C,'SkillMasterSkill ID'!$F:$F,"NOT FOUND",0))</f>
        <v/>
      </c>
      <c r="K1375" s="50"/>
      <c r="L1375" s="50"/>
    </row>
    <row r="1376" spans="1:12" x14ac:dyDescent="0.25">
      <c r="A137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76" s="46"/>
      <c r="C1376" s="46"/>
      <c r="D1376" s="46"/>
      <c r="E1376" s="46" t="str">
        <f>IF(I1376="","",_xlfn.XLOOKUP(TRIM(I1376),'SkillMasterSkill ID'!$C:$C,'SkillMasterSkill ID'!$D:$D,"NOT FOUND",0))</f>
        <v/>
      </c>
      <c r="F1376" s="50"/>
      <c r="G1376" s="50"/>
      <c r="H1376" s="51"/>
      <c r="I1376" s="50"/>
      <c r="J1376" s="50" t="str">
        <f>IF(I1376="","",_xlfn.XLOOKUP(TRIM(I1376),'SkillMasterSkill ID'!$C:$C,'SkillMasterSkill ID'!$F:$F,"NOT FOUND",0))</f>
        <v/>
      </c>
      <c r="K1376" s="50"/>
      <c r="L1376" s="50"/>
    </row>
    <row r="1377" spans="1:12" x14ac:dyDescent="0.25">
      <c r="A137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77" s="46"/>
      <c r="C1377" s="46"/>
      <c r="D1377" s="46"/>
      <c r="E1377" s="46" t="str">
        <f>IF(I1377="","",_xlfn.XLOOKUP(TRIM(I1377),'SkillMasterSkill ID'!$C:$C,'SkillMasterSkill ID'!$D:$D,"NOT FOUND",0))</f>
        <v/>
      </c>
      <c r="F1377" s="50"/>
      <c r="G1377" s="50"/>
      <c r="H1377" s="51"/>
      <c r="I1377" s="50"/>
      <c r="J1377" s="50" t="str">
        <f>IF(I1377="","",_xlfn.XLOOKUP(TRIM(I1377),'SkillMasterSkill ID'!$C:$C,'SkillMasterSkill ID'!$F:$F,"NOT FOUND",0))</f>
        <v/>
      </c>
      <c r="K1377" s="50"/>
      <c r="L1377" s="50"/>
    </row>
    <row r="1378" spans="1:12" x14ac:dyDescent="0.25">
      <c r="A137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78" s="46"/>
      <c r="C1378" s="46"/>
      <c r="D1378" s="46"/>
      <c r="E1378" s="46" t="str">
        <f>IF(I1378="","",_xlfn.XLOOKUP(TRIM(I1378),'SkillMasterSkill ID'!$C:$C,'SkillMasterSkill ID'!$D:$D,"NOT FOUND",0))</f>
        <v/>
      </c>
      <c r="F1378" s="50"/>
      <c r="G1378" s="50"/>
      <c r="H1378" s="51"/>
      <c r="I1378" s="50"/>
      <c r="J1378" s="50" t="str">
        <f>IF(I1378="","",_xlfn.XLOOKUP(TRIM(I1378),'SkillMasterSkill ID'!$C:$C,'SkillMasterSkill ID'!$F:$F,"NOT FOUND",0))</f>
        <v/>
      </c>
      <c r="K1378" s="50"/>
      <c r="L1378" s="50"/>
    </row>
    <row r="1379" spans="1:12" x14ac:dyDescent="0.25">
      <c r="A137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79" s="46"/>
      <c r="C1379" s="46"/>
      <c r="D1379" s="46"/>
      <c r="E1379" s="46" t="str">
        <f>IF(I1379="","",_xlfn.XLOOKUP(TRIM(I1379),'SkillMasterSkill ID'!$C:$C,'SkillMasterSkill ID'!$D:$D,"NOT FOUND",0))</f>
        <v/>
      </c>
      <c r="F1379" s="50"/>
      <c r="G1379" s="50"/>
      <c r="H1379" s="51"/>
      <c r="I1379" s="50"/>
      <c r="J1379" s="50" t="str">
        <f>IF(I1379="","",_xlfn.XLOOKUP(TRIM(I1379),'SkillMasterSkill ID'!$C:$C,'SkillMasterSkill ID'!$F:$F,"NOT FOUND",0))</f>
        <v/>
      </c>
      <c r="K1379" s="50"/>
      <c r="L1379" s="50"/>
    </row>
    <row r="1380" spans="1:12" x14ac:dyDescent="0.25">
      <c r="A138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80" s="46"/>
      <c r="C1380" s="46"/>
      <c r="D1380" s="46"/>
      <c r="E1380" s="46" t="str">
        <f>IF(I1380="","",_xlfn.XLOOKUP(TRIM(I1380),'SkillMasterSkill ID'!$C:$C,'SkillMasterSkill ID'!$D:$D,"NOT FOUND",0))</f>
        <v/>
      </c>
      <c r="F1380" s="50"/>
      <c r="G1380" s="50"/>
      <c r="H1380" s="51"/>
      <c r="I1380" s="50"/>
      <c r="J1380" s="50" t="str">
        <f>IF(I1380="","",_xlfn.XLOOKUP(TRIM(I1380),'SkillMasterSkill ID'!$C:$C,'SkillMasterSkill ID'!$F:$F,"NOT FOUND",0))</f>
        <v/>
      </c>
      <c r="K1380" s="50"/>
      <c r="L1380" s="50"/>
    </row>
    <row r="1381" spans="1:12" x14ac:dyDescent="0.25">
      <c r="A138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81" s="46"/>
      <c r="C1381" s="46"/>
      <c r="D1381" s="46"/>
      <c r="E1381" s="46" t="str">
        <f>IF(I1381="","",_xlfn.XLOOKUP(TRIM(I1381),'SkillMasterSkill ID'!$C:$C,'SkillMasterSkill ID'!$D:$D,"NOT FOUND",0))</f>
        <v/>
      </c>
      <c r="F1381" s="50"/>
      <c r="G1381" s="50"/>
      <c r="H1381" s="51"/>
      <c r="I1381" s="50"/>
      <c r="J1381" s="50" t="str">
        <f>IF(I1381="","",_xlfn.XLOOKUP(TRIM(I1381),'SkillMasterSkill ID'!$C:$C,'SkillMasterSkill ID'!$F:$F,"NOT FOUND",0))</f>
        <v/>
      </c>
      <c r="K1381" s="50"/>
      <c r="L1381" s="50"/>
    </row>
    <row r="1382" spans="1:12" x14ac:dyDescent="0.25">
      <c r="A138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82" s="46"/>
      <c r="C1382" s="46"/>
      <c r="D1382" s="46"/>
      <c r="E1382" s="46" t="str">
        <f>IF(I1382="","",_xlfn.XLOOKUP(TRIM(I1382),'SkillMasterSkill ID'!$C:$C,'SkillMasterSkill ID'!$D:$D,"NOT FOUND",0))</f>
        <v/>
      </c>
      <c r="F1382" s="50"/>
      <c r="G1382" s="50"/>
      <c r="H1382" s="51"/>
      <c r="I1382" s="50"/>
      <c r="J1382" s="50" t="str">
        <f>IF(I1382="","",_xlfn.XLOOKUP(TRIM(I1382),'SkillMasterSkill ID'!$C:$C,'SkillMasterSkill ID'!$F:$F,"NOT FOUND",0))</f>
        <v/>
      </c>
      <c r="K1382" s="50"/>
      <c r="L1382" s="50"/>
    </row>
    <row r="1383" spans="1:12" x14ac:dyDescent="0.25">
      <c r="A138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83" s="46"/>
      <c r="C1383" s="46"/>
      <c r="D1383" s="46"/>
      <c r="E1383" s="46" t="str">
        <f>IF(I1383="","",_xlfn.XLOOKUP(TRIM(I1383),'SkillMasterSkill ID'!$C:$C,'SkillMasterSkill ID'!$D:$D,"NOT FOUND",0))</f>
        <v/>
      </c>
      <c r="F1383" s="50"/>
      <c r="G1383" s="50"/>
      <c r="H1383" s="51"/>
      <c r="I1383" s="50"/>
      <c r="J1383" s="50" t="str">
        <f>IF(I1383="","",_xlfn.XLOOKUP(TRIM(I1383),'SkillMasterSkill ID'!$C:$C,'SkillMasterSkill ID'!$F:$F,"NOT FOUND",0))</f>
        <v/>
      </c>
      <c r="K1383" s="50"/>
      <c r="L1383" s="50"/>
    </row>
    <row r="1384" spans="1:12" x14ac:dyDescent="0.25">
      <c r="A138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84" s="46"/>
      <c r="C1384" s="46"/>
      <c r="D1384" s="46"/>
      <c r="E1384" s="46" t="str">
        <f>IF(I1384="","",_xlfn.XLOOKUP(TRIM(I1384),'SkillMasterSkill ID'!$C:$C,'SkillMasterSkill ID'!$D:$D,"NOT FOUND",0))</f>
        <v/>
      </c>
      <c r="F1384" s="50"/>
      <c r="G1384" s="50"/>
      <c r="H1384" s="51"/>
      <c r="I1384" s="50"/>
      <c r="J1384" s="50" t="str">
        <f>IF(I1384="","",_xlfn.XLOOKUP(TRIM(I1384),'SkillMasterSkill ID'!$C:$C,'SkillMasterSkill ID'!$F:$F,"NOT FOUND",0))</f>
        <v/>
      </c>
      <c r="K1384" s="50"/>
      <c r="L1384" s="50"/>
    </row>
    <row r="1385" spans="1:12" x14ac:dyDescent="0.25">
      <c r="A138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85" s="46"/>
      <c r="C1385" s="46"/>
      <c r="D1385" s="46"/>
      <c r="E1385" s="46" t="str">
        <f>IF(I1385="","",_xlfn.XLOOKUP(TRIM(I1385),'SkillMasterSkill ID'!$C:$C,'SkillMasterSkill ID'!$D:$D,"NOT FOUND",0))</f>
        <v/>
      </c>
      <c r="F1385" s="50"/>
      <c r="G1385" s="50"/>
      <c r="H1385" s="51"/>
      <c r="I1385" s="50"/>
      <c r="J1385" s="50" t="str">
        <f>IF(I1385="","",_xlfn.XLOOKUP(TRIM(I1385),'SkillMasterSkill ID'!$C:$C,'SkillMasterSkill ID'!$F:$F,"NOT FOUND",0))</f>
        <v/>
      </c>
      <c r="K1385" s="50"/>
      <c r="L1385" s="50"/>
    </row>
    <row r="1386" spans="1:12" x14ac:dyDescent="0.25">
      <c r="A138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86" s="46"/>
      <c r="C1386" s="46"/>
      <c r="D1386" s="46"/>
      <c r="E1386" s="46" t="str">
        <f>IF(I1386="","",_xlfn.XLOOKUP(TRIM(I1386),'SkillMasterSkill ID'!$C:$C,'SkillMasterSkill ID'!$D:$D,"NOT FOUND",0))</f>
        <v/>
      </c>
      <c r="F1386" s="50"/>
      <c r="G1386" s="50"/>
      <c r="H1386" s="51"/>
      <c r="I1386" s="50"/>
      <c r="J1386" s="50" t="str">
        <f>IF(I1386="","",_xlfn.XLOOKUP(TRIM(I1386),'SkillMasterSkill ID'!$C:$C,'SkillMasterSkill ID'!$F:$F,"NOT FOUND",0))</f>
        <v/>
      </c>
      <c r="K1386" s="50"/>
      <c r="L1386" s="50"/>
    </row>
    <row r="1387" spans="1:12" x14ac:dyDescent="0.25">
      <c r="A138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87" s="46"/>
      <c r="C1387" s="46"/>
      <c r="D1387" s="46"/>
      <c r="E1387" s="46" t="str">
        <f>IF(I1387="","",_xlfn.XLOOKUP(TRIM(I1387),'SkillMasterSkill ID'!$C:$C,'SkillMasterSkill ID'!$D:$D,"NOT FOUND",0))</f>
        <v/>
      </c>
      <c r="F1387" s="50"/>
      <c r="G1387" s="50"/>
      <c r="H1387" s="51"/>
      <c r="I1387" s="50"/>
      <c r="J1387" s="50" t="str">
        <f>IF(I1387="","",_xlfn.XLOOKUP(TRIM(I1387),'SkillMasterSkill ID'!$C:$C,'SkillMasterSkill ID'!$F:$F,"NOT FOUND",0))</f>
        <v/>
      </c>
      <c r="K1387" s="50"/>
      <c r="L1387" s="50"/>
    </row>
    <row r="1388" spans="1:12" x14ac:dyDescent="0.25">
      <c r="A138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88" s="46"/>
      <c r="C1388" s="46"/>
      <c r="D1388" s="46"/>
      <c r="E1388" s="46" t="str">
        <f>IF(I1388="","",_xlfn.XLOOKUP(TRIM(I1388),'SkillMasterSkill ID'!$C:$C,'SkillMasterSkill ID'!$D:$D,"NOT FOUND",0))</f>
        <v/>
      </c>
      <c r="F1388" s="50"/>
      <c r="G1388" s="50"/>
      <c r="H1388" s="51"/>
      <c r="I1388" s="50"/>
      <c r="J1388" s="50" t="str">
        <f>IF(I1388="","",_xlfn.XLOOKUP(TRIM(I1388),'SkillMasterSkill ID'!$C:$C,'SkillMasterSkill ID'!$F:$F,"NOT FOUND",0))</f>
        <v/>
      </c>
      <c r="K1388" s="50"/>
      <c r="L1388" s="50"/>
    </row>
    <row r="1389" spans="1:12" x14ac:dyDescent="0.25">
      <c r="A138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89" s="46"/>
      <c r="C1389" s="46"/>
      <c r="D1389" s="46"/>
      <c r="E1389" s="46" t="str">
        <f>IF(I1389="","",_xlfn.XLOOKUP(TRIM(I1389),'SkillMasterSkill ID'!$C:$C,'SkillMasterSkill ID'!$D:$D,"NOT FOUND",0))</f>
        <v/>
      </c>
      <c r="F1389" s="50"/>
      <c r="G1389" s="50"/>
      <c r="H1389" s="51"/>
      <c r="I1389" s="50"/>
      <c r="J1389" s="50" t="str">
        <f>IF(I1389="","",_xlfn.XLOOKUP(TRIM(I1389),'SkillMasterSkill ID'!$C:$C,'SkillMasterSkill ID'!$F:$F,"NOT FOUND",0))</f>
        <v/>
      </c>
      <c r="K1389" s="50"/>
      <c r="L1389" s="50"/>
    </row>
    <row r="1390" spans="1:12" x14ac:dyDescent="0.25">
      <c r="A139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90" s="46"/>
      <c r="C1390" s="46"/>
      <c r="D1390" s="46"/>
      <c r="E1390" s="46" t="str">
        <f>IF(I1390="","",_xlfn.XLOOKUP(TRIM(I1390),'SkillMasterSkill ID'!$C:$C,'SkillMasterSkill ID'!$D:$D,"NOT FOUND",0))</f>
        <v/>
      </c>
      <c r="F1390" s="50"/>
      <c r="G1390" s="50"/>
      <c r="H1390" s="51"/>
      <c r="I1390" s="50"/>
      <c r="J1390" s="50" t="str">
        <f>IF(I1390="","",_xlfn.XLOOKUP(TRIM(I1390),'SkillMasterSkill ID'!$C:$C,'SkillMasterSkill ID'!$F:$F,"NOT FOUND",0))</f>
        <v/>
      </c>
      <c r="K1390" s="50"/>
      <c r="L1390" s="50"/>
    </row>
    <row r="1391" spans="1:12" x14ac:dyDescent="0.25">
      <c r="A139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91" s="46"/>
      <c r="C1391" s="46"/>
      <c r="D1391" s="46"/>
      <c r="E1391" s="46" t="str">
        <f>IF(I1391="","",_xlfn.XLOOKUP(TRIM(I1391),'SkillMasterSkill ID'!$C:$C,'SkillMasterSkill ID'!$D:$D,"NOT FOUND",0))</f>
        <v/>
      </c>
      <c r="F1391" s="50"/>
      <c r="G1391" s="50"/>
      <c r="H1391" s="51"/>
      <c r="I1391" s="50"/>
      <c r="J1391" s="50" t="str">
        <f>IF(I1391="","",_xlfn.XLOOKUP(TRIM(I1391),'SkillMasterSkill ID'!$C:$C,'SkillMasterSkill ID'!$F:$F,"NOT FOUND",0))</f>
        <v/>
      </c>
      <c r="K1391" s="50"/>
      <c r="L1391" s="50"/>
    </row>
    <row r="1392" spans="1:12" x14ac:dyDescent="0.25">
      <c r="A139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92" s="46"/>
      <c r="C1392" s="46"/>
      <c r="D1392" s="46"/>
      <c r="E1392" s="46" t="str">
        <f>IF(I1392="","",_xlfn.XLOOKUP(TRIM(I1392),'SkillMasterSkill ID'!$C:$C,'SkillMasterSkill ID'!$D:$D,"NOT FOUND",0))</f>
        <v/>
      </c>
      <c r="F1392" s="50"/>
      <c r="G1392" s="50"/>
      <c r="H1392" s="51"/>
      <c r="I1392" s="50"/>
      <c r="J1392" s="50" t="str">
        <f>IF(I1392="","",_xlfn.XLOOKUP(TRIM(I1392),'SkillMasterSkill ID'!$C:$C,'SkillMasterSkill ID'!$F:$F,"NOT FOUND",0))</f>
        <v/>
      </c>
      <c r="K1392" s="50"/>
      <c r="L1392" s="50"/>
    </row>
    <row r="1393" spans="1:12" x14ac:dyDescent="0.25">
      <c r="A139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93" s="46"/>
      <c r="C1393" s="46"/>
      <c r="D1393" s="46"/>
      <c r="E1393" s="46" t="str">
        <f>IF(I1393="","",_xlfn.XLOOKUP(TRIM(I1393),'SkillMasterSkill ID'!$C:$C,'SkillMasterSkill ID'!$D:$D,"NOT FOUND",0))</f>
        <v/>
      </c>
      <c r="F1393" s="50"/>
      <c r="G1393" s="50"/>
      <c r="H1393" s="51"/>
      <c r="I1393" s="50"/>
      <c r="J1393" s="50" t="str">
        <f>IF(I1393="","",_xlfn.XLOOKUP(TRIM(I1393),'SkillMasterSkill ID'!$C:$C,'SkillMasterSkill ID'!$F:$F,"NOT FOUND",0))</f>
        <v/>
      </c>
      <c r="K1393" s="50"/>
      <c r="L1393" s="50"/>
    </row>
    <row r="1394" spans="1:12" x14ac:dyDescent="0.25">
      <c r="A139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94" s="46"/>
      <c r="C1394" s="46"/>
      <c r="D1394" s="46"/>
      <c r="E1394" s="46" t="str">
        <f>IF(I1394="","",_xlfn.XLOOKUP(TRIM(I1394),'SkillMasterSkill ID'!$C:$C,'SkillMasterSkill ID'!$D:$D,"NOT FOUND",0))</f>
        <v/>
      </c>
      <c r="F1394" s="50"/>
      <c r="G1394" s="50"/>
      <c r="H1394" s="51"/>
      <c r="I1394" s="50"/>
      <c r="J1394" s="50" t="str">
        <f>IF(I1394="","",_xlfn.XLOOKUP(TRIM(I1394),'SkillMasterSkill ID'!$C:$C,'SkillMasterSkill ID'!$F:$F,"NOT FOUND",0))</f>
        <v/>
      </c>
      <c r="K1394" s="50"/>
      <c r="L1394" s="50"/>
    </row>
    <row r="1395" spans="1:12" x14ac:dyDescent="0.25">
      <c r="A139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95" s="46"/>
      <c r="C1395" s="46"/>
      <c r="D1395" s="46"/>
      <c r="E1395" s="46" t="str">
        <f>IF(I1395="","",_xlfn.XLOOKUP(TRIM(I1395),'SkillMasterSkill ID'!$C:$C,'SkillMasterSkill ID'!$D:$D,"NOT FOUND",0))</f>
        <v/>
      </c>
      <c r="F1395" s="50"/>
      <c r="G1395" s="50"/>
      <c r="H1395" s="51"/>
      <c r="I1395" s="50"/>
      <c r="J1395" s="50" t="str">
        <f>IF(I1395="","",_xlfn.XLOOKUP(TRIM(I1395),'SkillMasterSkill ID'!$C:$C,'SkillMasterSkill ID'!$F:$F,"NOT FOUND",0))</f>
        <v/>
      </c>
      <c r="K1395" s="50"/>
      <c r="L1395" s="50"/>
    </row>
    <row r="1396" spans="1:12" x14ac:dyDescent="0.25">
      <c r="A139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96" s="46"/>
      <c r="C1396" s="46"/>
      <c r="D1396" s="46"/>
      <c r="E1396" s="46" t="str">
        <f>IF(I1396="","",_xlfn.XLOOKUP(TRIM(I1396),'SkillMasterSkill ID'!$C:$C,'SkillMasterSkill ID'!$D:$D,"NOT FOUND",0))</f>
        <v/>
      </c>
      <c r="F1396" s="50"/>
      <c r="G1396" s="50"/>
      <c r="H1396" s="51"/>
      <c r="I1396" s="50"/>
      <c r="J1396" s="50" t="str">
        <f>IF(I1396="","",_xlfn.XLOOKUP(TRIM(I1396),'SkillMasterSkill ID'!$C:$C,'SkillMasterSkill ID'!$F:$F,"NOT FOUND",0))</f>
        <v/>
      </c>
      <c r="K1396" s="50"/>
      <c r="L1396" s="50"/>
    </row>
    <row r="1397" spans="1:12" x14ac:dyDescent="0.25">
      <c r="A139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97" s="46"/>
      <c r="C1397" s="46"/>
      <c r="D1397" s="46"/>
      <c r="E1397" s="46" t="str">
        <f>IF(I1397="","",_xlfn.XLOOKUP(TRIM(I1397),'SkillMasterSkill ID'!$C:$C,'SkillMasterSkill ID'!$D:$D,"NOT FOUND",0))</f>
        <v/>
      </c>
      <c r="F1397" s="50"/>
      <c r="G1397" s="50"/>
      <c r="H1397" s="51"/>
      <c r="I1397" s="50"/>
      <c r="J1397" s="50" t="str">
        <f>IF(I1397="","",_xlfn.XLOOKUP(TRIM(I1397),'SkillMasterSkill ID'!$C:$C,'SkillMasterSkill ID'!$F:$F,"NOT FOUND",0))</f>
        <v/>
      </c>
      <c r="K1397" s="50"/>
      <c r="L1397" s="50"/>
    </row>
    <row r="1398" spans="1:12" x14ac:dyDescent="0.25">
      <c r="A139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98" s="46"/>
      <c r="C1398" s="46"/>
      <c r="D1398" s="46"/>
      <c r="E1398" s="46" t="str">
        <f>IF(I1398="","",_xlfn.XLOOKUP(TRIM(I1398),'SkillMasterSkill ID'!$C:$C,'SkillMasterSkill ID'!$D:$D,"NOT FOUND",0))</f>
        <v/>
      </c>
      <c r="F1398" s="50"/>
      <c r="G1398" s="50"/>
      <c r="H1398" s="51"/>
      <c r="I1398" s="50"/>
      <c r="J1398" s="50" t="str">
        <f>IF(I1398="","",_xlfn.XLOOKUP(TRIM(I1398),'SkillMasterSkill ID'!$C:$C,'SkillMasterSkill ID'!$F:$F,"NOT FOUND",0))</f>
        <v/>
      </c>
      <c r="K1398" s="50"/>
      <c r="L1398" s="50"/>
    </row>
    <row r="1399" spans="1:12" x14ac:dyDescent="0.25">
      <c r="A139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399" s="46"/>
      <c r="C1399" s="46"/>
      <c r="D1399" s="46"/>
      <c r="E1399" s="46" t="str">
        <f>IF(I1399="","",_xlfn.XLOOKUP(TRIM(I1399),'SkillMasterSkill ID'!$C:$C,'SkillMasterSkill ID'!$D:$D,"NOT FOUND",0))</f>
        <v/>
      </c>
      <c r="F1399" s="50"/>
      <c r="G1399" s="50"/>
      <c r="H1399" s="51"/>
      <c r="I1399" s="50"/>
      <c r="J1399" s="50" t="str">
        <f>IF(I1399="","",_xlfn.XLOOKUP(TRIM(I1399),'SkillMasterSkill ID'!$C:$C,'SkillMasterSkill ID'!$F:$F,"NOT FOUND",0))</f>
        <v/>
      </c>
      <c r="K1399" s="50"/>
      <c r="L1399" s="50"/>
    </row>
    <row r="1400" spans="1:12" x14ac:dyDescent="0.25">
      <c r="A140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00" s="46"/>
      <c r="C1400" s="46"/>
      <c r="D1400" s="46"/>
      <c r="E1400" s="46" t="str">
        <f>IF(I1400="","",_xlfn.XLOOKUP(TRIM(I1400),'SkillMasterSkill ID'!$C:$C,'SkillMasterSkill ID'!$D:$D,"NOT FOUND",0))</f>
        <v/>
      </c>
      <c r="F1400" s="50"/>
      <c r="G1400" s="50"/>
      <c r="H1400" s="51"/>
      <c r="I1400" s="50"/>
      <c r="J1400" s="50" t="str">
        <f>IF(I1400="","",_xlfn.XLOOKUP(TRIM(I1400),'SkillMasterSkill ID'!$C:$C,'SkillMasterSkill ID'!$F:$F,"NOT FOUND",0))</f>
        <v/>
      </c>
      <c r="K1400" s="50"/>
      <c r="L1400" s="50"/>
    </row>
    <row r="1401" spans="1:12" x14ac:dyDescent="0.25">
      <c r="A140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01" s="46"/>
      <c r="C1401" s="46"/>
      <c r="D1401" s="46"/>
      <c r="E1401" s="46" t="str">
        <f>IF(I1401="","",_xlfn.XLOOKUP(TRIM(I1401),'SkillMasterSkill ID'!$C:$C,'SkillMasterSkill ID'!$D:$D,"NOT FOUND",0))</f>
        <v/>
      </c>
      <c r="F1401" s="50"/>
      <c r="G1401" s="50"/>
      <c r="H1401" s="51"/>
      <c r="I1401" s="50"/>
      <c r="J1401" s="50" t="str">
        <f>IF(I1401="","",_xlfn.XLOOKUP(TRIM(I1401),'SkillMasterSkill ID'!$C:$C,'SkillMasterSkill ID'!$F:$F,"NOT FOUND",0))</f>
        <v/>
      </c>
      <c r="K1401" s="50"/>
      <c r="L1401" s="50"/>
    </row>
    <row r="1402" spans="1:12" x14ac:dyDescent="0.25">
      <c r="A140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02" s="46"/>
      <c r="C1402" s="46"/>
      <c r="D1402" s="46"/>
      <c r="E1402" s="46" t="str">
        <f>IF(I1402="","",_xlfn.XLOOKUP(TRIM(I1402),'SkillMasterSkill ID'!$C:$C,'SkillMasterSkill ID'!$D:$D,"NOT FOUND",0))</f>
        <v/>
      </c>
      <c r="F1402" s="50"/>
      <c r="G1402" s="50"/>
      <c r="H1402" s="51"/>
      <c r="I1402" s="50"/>
      <c r="J1402" s="50" t="str">
        <f>IF(I1402="","",_xlfn.XLOOKUP(TRIM(I1402),'SkillMasterSkill ID'!$C:$C,'SkillMasterSkill ID'!$F:$F,"NOT FOUND",0))</f>
        <v/>
      </c>
      <c r="K1402" s="50"/>
      <c r="L1402" s="50"/>
    </row>
    <row r="1403" spans="1:12" x14ac:dyDescent="0.25">
      <c r="A140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03" s="46"/>
      <c r="C1403" s="46"/>
      <c r="D1403" s="46"/>
      <c r="E1403" s="46" t="str">
        <f>IF(I1403="","",_xlfn.XLOOKUP(TRIM(I1403),'SkillMasterSkill ID'!$C:$C,'SkillMasterSkill ID'!$D:$D,"NOT FOUND",0))</f>
        <v/>
      </c>
      <c r="F1403" s="50"/>
      <c r="G1403" s="50"/>
      <c r="H1403" s="51"/>
      <c r="I1403" s="50"/>
      <c r="J1403" s="50" t="str">
        <f>IF(I1403="","",_xlfn.XLOOKUP(TRIM(I1403),'SkillMasterSkill ID'!$C:$C,'SkillMasterSkill ID'!$F:$F,"NOT FOUND",0))</f>
        <v/>
      </c>
      <c r="K1403" s="50"/>
      <c r="L1403" s="50"/>
    </row>
    <row r="1404" spans="1:12" x14ac:dyDescent="0.25">
      <c r="A140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04" s="46"/>
      <c r="C1404" s="46"/>
      <c r="D1404" s="46"/>
      <c r="E1404" s="46" t="str">
        <f>IF(I1404="","",_xlfn.XLOOKUP(TRIM(I1404),'SkillMasterSkill ID'!$C:$C,'SkillMasterSkill ID'!$D:$D,"NOT FOUND",0))</f>
        <v/>
      </c>
      <c r="F1404" s="50"/>
      <c r="G1404" s="50"/>
      <c r="H1404" s="51"/>
      <c r="I1404" s="50"/>
      <c r="J1404" s="50" t="str">
        <f>IF(I1404="","",_xlfn.XLOOKUP(TRIM(I1404),'SkillMasterSkill ID'!$C:$C,'SkillMasterSkill ID'!$F:$F,"NOT FOUND",0))</f>
        <v/>
      </c>
      <c r="K1404" s="50"/>
      <c r="L1404" s="50"/>
    </row>
    <row r="1405" spans="1:12" x14ac:dyDescent="0.25">
      <c r="A140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05" s="46"/>
      <c r="C1405" s="46"/>
      <c r="D1405" s="46"/>
      <c r="E1405" s="46" t="str">
        <f>IF(I1405="","",_xlfn.XLOOKUP(TRIM(I1405),'SkillMasterSkill ID'!$C:$C,'SkillMasterSkill ID'!$D:$D,"NOT FOUND",0))</f>
        <v/>
      </c>
      <c r="F1405" s="50"/>
      <c r="G1405" s="50"/>
      <c r="H1405" s="51"/>
      <c r="I1405" s="50"/>
      <c r="J1405" s="50" t="str">
        <f>IF(I1405="","",_xlfn.XLOOKUP(TRIM(I1405),'SkillMasterSkill ID'!$C:$C,'SkillMasterSkill ID'!$F:$F,"NOT FOUND",0))</f>
        <v/>
      </c>
      <c r="K1405" s="50"/>
      <c r="L1405" s="50"/>
    </row>
    <row r="1406" spans="1:12" x14ac:dyDescent="0.25">
      <c r="A140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06" s="46"/>
      <c r="C1406" s="46"/>
      <c r="D1406" s="46"/>
      <c r="E1406" s="46" t="str">
        <f>IF(I1406="","",_xlfn.XLOOKUP(TRIM(I1406),'SkillMasterSkill ID'!$C:$C,'SkillMasterSkill ID'!$D:$D,"NOT FOUND",0))</f>
        <v/>
      </c>
      <c r="F1406" s="50"/>
      <c r="G1406" s="50"/>
      <c r="H1406" s="51"/>
      <c r="I1406" s="50"/>
      <c r="J1406" s="50" t="str">
        <f>IF(I1406="","",_xlfn.XLOOKUP(TRIM(I1406),'SkillMasterSkill ID'!$C:$C,'SkillMasterSkill ID'!$F:$F,"NOT FOUND",0))</f>
        <v/>
      </c>
      <c r="K1406" s="50"/>
      <c r="L1406" s="50"/>
    </row>
    <row r="1407" spans="1:12" ht="16.5" thickBot="1" x14ac:dyDescent="0.3">
      <c r="A140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07" s="46"/>
      <c r="C1407" s="46"/>
      <c r="D1407" s="46"/>
      <c r="E1407" s="46" t="str">
        <f>IF(I1407="","",_xlfn.XLOOKUP(TRIM(I1407),'SkillMasterSkill ID'!$C:$C,'SkillMasterSkill ID'!$D:$D,"NOT FOUND",0))</f>
        <v/>
      </c>
      <c r="F1407" s="50"/>
      <c r="G1407" s="50"/>
      <c r="H1407" s="51"/>
      <c r="I1407" s="50"/>
      <c r="J1407" s="50" t="str">
        <f>IF(I1407="","",_xlfn.XLOOKUP(TRIM(I1407),'SkillMasterSkill ID'!$C:$C,'SkillMasterSkill ID'!$F:$F,"NOT FOUND",0))</f>
        <v/>
      </c>
      <c r="K1407" s="50"/>
      <c r="L1407" s="50"/>
    </row>
    <row r="1408" spans="1:12" ht="16.5" thickBot="1" x14ac:dyDescent="0.3">
      <c r="A140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08" s="45"/>
      <c r="C1408" s="45"/>
      <c r="D1408" s="46"/>
      <c r="E1408" s="46" t="str">
        <f>IF(I1408="","",_xlfn.XLOOKUP(TRIM(I1408),'SkillMasterSkill ID'!$C:$C,'SkillMasterSkill ID'!$D:$D,"NOT FOUND",0))</f>
        <v/>
      </c>
      <c r="F1408" s="50"/>
      <c r="G1408" s="50"/>
      <c r="H1408" s="51"/>
      <c r="I1408" s="50"/>
      <c r="J1408" s="50" t="str">
        <f>IF(I1408="","",_xlfn.XLOOKUP(TRIM(I1408),'SkillMasterSkill ID'!$C:$C,'SkillMasterSkill ID'!$F:$F,"NOT FOUND",0))</f>
        <v/>
      </c>
      <c r="K1408" s="50"/>
      <c r="L1408" s="50"/>
    </row>
    <row r="1409" spans="1:12" ht="16.5" thickBot="1" x14ac:dyDescent="0.3">
      <c r="A140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09" s="45"/>
      <c r="C1409" s="45"/>
      <c r="D1409" s="46"/>
      <c r="E1409" s="46" t="str">
        <f>IF(I1409="","",_xlfn.XLOOKUP(TRIM(I1409),'SkillMasterSkill ID'!$C:$C,'SkillMasterSkill ID'!$D:$D,"NOT FOUND",0))</f>
        <v/>
      </c>
      <c r="F1409" s="50"/>
      <c r="G1409" s="50"/>
      <c r="H1409" s="51"/>
      <c r="I1409" s="50"/>
      <c r="J1409" s="50" t="str">
        <f>IF(I1409="","",_xlfn.XLOOKUP(TRIM(I1409),'SkillMasterSkill ID'!$C:$C,'SkillMasterSkill ID'!$F:$F,"NOT FOUND",0))</f>
        <v/>
      </c>
      <c r="K1409" s="50"/>
      <c r="L1409" s="50"/>
    </row>
    <row r="1410" spans="1:12" ht="16.5" thickBot="1" x14ac:dyDescent="0.3">
      <c r="A141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10" s="45"/>
      <c r="C1410" s="45"/>
      <c r="D1410" s="46"/>
      <c r="E1410" s="46" t="str">
        <f>IF(I1410="","",_xlfn.XLOOKUP(TRIM(I1410),'SkillMasterSkill ID'!$C:$C,'SkillMasterSkill ID'!$D:$D,"NOT FOUND",0))</f>
        <v/>
      </c>
      <c r="F1410" s="50"/>
      <c r="G1410" s="50"/>
      <c r="H1410" s="51"/>
      <c r="I1410" s="50"/>
      <c r="J1410" s="50" t="str">
        <f>IF(I1410="","",_xlfn.XLOOKUP(TRIM(I1410),'SkillMasterSkill ID'!$C:$C,'SkillMasterSkill ID'!$F:$F,"NOT FOUND",0))</f>
        <v/>
      </c>
      <c r="K1410" s="50"/>
      <c r="L1410" s="50"/>
    </row>
    <row r="1411" spans="1:12" ht="16.5" thickBot="1" x14ac:dyDescent="0.3">
      <c r="A141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11" s="45"/>
      <c r="C1411" s="45"/>
      <c r="D1411" s="46"/>
      <c r="E1411" s="46" t="str">
        <f>IF(I1411="","",_xlfn.XLOOKUP(TRIM(I1411),'SkillMasterSkill ID'!$C:$C,'SkillMasterSkill ID'!$D:$D,"NOT FOUND",0))</f>
        <v/>
      </c>
      <c r="F1411" s="50"/>
      <c r="G1411" s="50"/>
      <c r="H1411" s="51"/>
      <c r="I1411" s="50"/>
      <c r="J1411" s="50" t="str">
        <f>IF(I1411="","",_xlfn.XLOOKUP(TRIM(I1411),'SkillMasterSkill ID'!$C:$C,'SkillMasterSkill ID'!$F:$F,"NOT FOUND",0))</f>
        <v/>
      </c>
      <c r="K1411" s="50"/>
      <c r="L1411" s="50"/>
    </row>
    <row r="1412" spans="1:12" ht="16.5" thickBot="1" x14ac:dyDescent="0.3">
      <c r="A141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12" s="45"/>
      <c r="C1412" s="45"/>
      <c r="D1412" s="46"/>
      <c r="E1412" s="46" t="str">
        <f>IF(I1412="","",_xlfn.XLOOKUP(TRIM(I1412),'SkillMasterSkill ID'!$C:$C,'SkillMasterSkill ID'!$D:$D,"NOT FOUND",0))</f>
        <v/>
      </c>
      <c r="F1412" s="50"/>
      <c r="G1412" s="50"/>
      <c r="H1412" s="51"/>
      <c r="I1412" s="50"/>
      <c r="J1412" s="50" t="str">
        <f>IF(I1412="","",_xlfn.XLOOKUP(TRIM(I1412),'SkillMasterSkill ID'!$C:$C,'SkillMasterSkill ID'!$F:$F,"NOT FOUND",0))</f>
        <v/>
      </c>
      <c r="K1412" s="50"/>
      <c r="L1412" s="50"/>
    </row>
    <row r="1413" spans="1:12" ht="16.5" thickBot="1" x14ac:dyDescent="0.3">
      <c r="A141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13" s="45"/>
      <c r="C1413" s="45"/>
      <c r="D1413" s="46"/>
      <c r="E1413" s="46" t="str">
        <f>IF(I1413="","",_xlfn.XLOOKUP(TRIM(I1413),'SkillMasterSkill ID'!$C:$C,'SkillMasterSkill ID'!$D:$D,"NOT FOUND",0))</f>
        <v/>
      </c>
      <c r="F1413" s="50"/>
      <c r="G1413" s="50"/>
      <c r="H1413" s="51"/>
      <c r="I1413" s="50"/>
      <c r="J1413" s="50" t="str">
        <f>IF(I1413="","",_xlfn.XLOOKUP(TRIM(I1413),'SkillMasterSkill ID'!$C:$C,'SkillMasterSkill ID'!$F:$F,"NOT FOUND",0))</f>
        <v/>
      </c>
      <c r="K1413" s="50"/>
      <c r="L1413" s="50"/>
    </row>
    <row r="1414" spans="1:12" ht="16.5" thickBot="1" x14ac:dyDescent="0.3">
      <c r="A141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14" s="45"/>
      <c r="C1414" s="45"/>
      <c r="D1414" s="46"/>
      <c r="E1414" s="46" t="str">
        <f>IF(I1414="","",_xlfn.XLOOKUP(TRIM(I1414),'SkillMasterSkill ID'!$C:$C,'SkillMasterSkill ID'!$D:$D,"NOT FOUND",0))</f>
        <v/>
      </c>
      <c r="F1414" s="50"/>
      <c r="G1414" s="50"/>
      <c r="H1414" s="51"/>
      <c r="I1414" s="50"/>
      <c r="J1414" s="50" t="str">
        <f>IF(I1414="","",_xlfn.XLOOKUP(TRIM(I1414),'SkillMasterSkill ID'!$C:$C,'SkillMasterSkill ID'!$F:$F,"NOT FOUND",0))</f>
        <v/>
      </c>
      <c r="K1414" s="50"/>
      <c r="L1414" s="50"/>
    </row>
    <row r="1415" spans="1:12" ht="16.5" thickBot="1" x14ac:dyDescent="0.3">
      <c r="A141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15" s="45"/>
      <c r="C1415" s="45"/>
      <c r="D1415" s="46"/>
      <c r="E1415" s="46" t="str">
        <f>IF(I1415="","",_xlfn.XLOOKUP(TRIM(I1415),'SkillMasterSkill ID'!$C:$C,'SkillMasterSkill ID'!$D:$D,"NOT FOUND",0))</f>
        <v/>
      </c>
      <c r="F1415" s="50"/>
      <c r="G1415" s="50"/>
      <c r="H1415" s="51"/>
      <c r="I1415" s="50"/>
      <c r="J1415" s="50" t="str">
        <f>IF(I1415="","",_xlfn.XLOOKUP(TRIM(I1415),'SkillMasterSkill ID'!$C:$C,'SkillMasterSkill ID'!$F:$F,"NOT FOUND",0))</f>
        <v/>
      </c>
      <c r="K1415" s="50"/>
      <c r="L1415" s="50"/>
    </row>
    <row r="1416" spans="1:12" ht="16.5" thickBot="1" x14ac:dyDescent="0.3">
      <c r="A141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16" s="45"/>
      <c r="C1416" s="45"/>
      <c r="D1416" s="46"/>
      <c r="E1416" s="46" t="str">
        <f>IF(I1416="","",_xlfn.XLOOKUP(TRIM(I1416),'SkillMasterSkill ID'!$C:$C,'SkillMasterSkill ID'!$D:$D,"NOT FOUND",0))</f>
        <v/>
      </c>
      <c r="F1416" s="50"/>
      <c r="G1416" s="50"/>
      <c r="H1416" s="51"/>
      <c r="I1416" s="50"/>
      <c r="J1416" s="50" t="str">
        <f>IF(I1416="","",_xlfn.XLOOKUP(TRIM(I1416),'SkillMasterSkill ID'!$C:$C,'SkillMasterSkill ID'!$F:$F,"NOT FOUND",0))</f>
        <v/>
      </c>
      <c r="K1416" s="50"/>
      <c r="L1416" s="50"/>
    </row>
    <row r="1417" spans="1:12" ht="16.5" thickBot="1" x14ac:dyDescent="0.3">
      <c r="A141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17" s="45"/>
      <c r="C1417" s="45"/>
      <c r="D1417" s="46"/>
      <c r="E1417" s="46" t="str">
        <f>IF(I1417="","",_xlfn.XLOOKUP(TRIM(I1417),'SkillMasterSkill ID'!$C:$C,'SkillMasterSkill ID'!$D:$D,"NOT FOUND",0))</f>
        <v/>
      </c>
      <c r="F1417" s="50"/>
      <c r="G1417" s="50"/>
      <c r="H1417" s="51"/>
      <c r="I1417" s="50"/>
      <c r="J1417" s="50" t="str">
        <f>IF(I1417="","",_xlfn.XLOOKUP(TRIM(I1417),'SkillMasterSkill ID'!$C:$C,'SkillMasterSkill ID'!$F:$F,"NOT FOUND",0))</f>
        <v/>
      </c>
      <c r="K1417" s="50"/>
      <c r="L1417" s="50"/>
    </row>
    <row r="1418" spans="1:12" ht="16.5" thickBot="1" x14ac:dyDescent="0.3">
      <c r="A141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18" s="45"/>
      <c r="C1418" s="45"/>
      <c r="D1418" s="46"/>
      <c r="E1418" s="46" t="str">
        <f>IF(I1418="","",_xlfn.XLOOKUP(TRIM(I1418),'SkillMasterSkill ID'!$C:$C,'SkillMasterSkill ID'!$D:$D,"NOT FOUND",0))</f>
        <v/>
      </c>
      <c r="F1418" s="50"/>
      <c r="G1418" s="50"/>
      <c r="H1418" s="51"/>
      <c r="I1418" s="50"/>
      <c r="J1418" s="50" t="str">
        <f>IF(I1418="","",_xlfn.XLOOKUP(TRIM(I1418),'SkillMasterSkill ID'!$C:$C,'SkillMasterSkill ID'!$F:$F,"NOT FOUND",0))</f>
        <v/>
      </c>
      <c r="K1418" s="50"/>
      <c r="L1418" s="50"/>
    </row>
    <row r="1419" spans="1:12" ht="16.5" thickBot="1" x14ac:dyDescent="0.3">
      <c r="A141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19" s="45"/>
      <c r="C1419" s="45"/>
      <c r="D1419" s="46"/>
      <c r="E1419" s="46" t="str">
        <f>IF(I1419="","",_xlfn.XLOOKUP(TRIM(I1419),'SkillMasterSkill ID'!$C:$C,'SkillMasterSkill ID'!$D:$D,"NOT FOUND",0))</f>
        <v/>
      </c>
      <c r="F1419" s="50"/>
      <c r="G1419" s="50"/>
      <c r="H1419" s="51"/>
      <c r="I1419" s="50"/>
      <c r="J1419" s="50" t="str">
        <f>IF(I1419="","",_xlfn.XLOOKUP(TRIM(I1419),'SkillMasterSkill ID'!$C:$C,'SkillMasterSkill ID'!$F:$F,"NOT FOUND",0))</f>
        <v/>
      </c>
      <c r="K1419" s="50"/>
      <c r="L1419" s="50"/>
    </row>
    <row r="1420" spans="1:12" ht="16.5" thickBot="1" x14ac:dyDescent="0.3">
      <c r="A142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20" s="45"/>
      <c r="C1420" s="45"/>
      <c r="D1420" s="46"/>
      <c r="E1420" s="46" t="str">
        <f>IF(I1420="","",_xlfn.XLOOKUP(TRIM(I1420),'SkillMasterSkill ID'!$C:$C,'SkillMasterSkill ID'!$D:$D,"NOT FOUND",0))</f>
        <v/>
      </c>
      <c r="F1420" s="50"/>
      <c r="G1420" s="50"/>
      <c r="H1420" s="51"/>
      <c r="I1420" s="50"/>
      <c r="J1420" s="50" t="str">
        <f>IF(I1420="","",_xlfn.XLOOKUP(TRIM(I1420),'SkillMasterSkill ID'!$C:$C,'SkillMasterSkill ID'!$F:$F,"NOT FOUND",0))</f>
        <v/>
      </c>
      <c r="K1420" s="50"/>
      <c r="L1420" s="50"/>
    </row>
    <row r="1421" spans="1:12" ht="16.5" thickBot="1" x14ac:dyDescent="0.3">
      <c r="A142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21" s="45"/>
      <c r="C1421" s="45"/>
      <c r="D1421" s="46"/>
      <c r="E1421" s="46" t="str">
        <f>IF(I1421="","",_xlfn.XLOOKUP(TRIM(I1421),'SkillMasterSkill ID'!$C:$C,'SkillMasterSkill ID'!$D:$D,"NOT FOUND",0))</f>
        <v/>
      </c>
      <c r="F1421" s="50"/>
      <c r="G1421" s="50"/>
      <c r="H1421" s="51"/>
      <c r="I1421" s="50"/>
      <c r="J1421" s="50" t="str">
        <f>IF(I1421="","",_xlfn.XLOOKUP(TRIM(I1421),'SkillMasterSkill ID'!$C:$C,'SkillMasterSkill ID'!$F:$F,"NOT FOUND",0))</f>
        <v/>
      </c>
      <c r="K1421" s="50"/>
      <c r="L1421" s="50"/>
    </row>
    <row r="1422" spans="1:12" ht="16.5" thickBot="1" x14ac:dyDescent="0.3">
      <c r="A142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22" s="45"/>
      <c r="C1422" s="45"/>
      <c r="D1422" s="46"/>
      <c r="E1422" s="46" t="str">
        <f>IF(I1422="","",_xlfn.XLOOKUP(TRIM(I1422),'SkillMasterSkill ID'!$C:$C,'SkillMasterSkill ID'!$D:$D,"NOT FOUND",0))</f>
        <v/>
      </c>
      <c r="F1422" s="50"/>
      <c r="G1422" s="50"/>
      <c r="H1422" s="51"/>
      <c r="I1422" s="50"/>
      <c r="J1422" s="50" t="str">
        <f>IF(I1422="","",_xlfn.XLOOKUP(TRIM(I1422),'SkillMasterSkill ID'!$C:$C,'SkillMasterSkill ID'!$F:$F,"NOT FOUND",0))</f>
        <v/>
      </c>
      <c r="K1422" s="50"/>
      <c r="L1422" s="50"/>
    </row>
    <row r="1423" spans="1:12" ht="16.5" thickBot="1" x14ac:dyDescent="0.3">
      <c r="A142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23" s="45"/>
      <c r="C1423" s="45"/>
      <c r="D1423" s="46"/>
      <c r="E1423" s="46" t="str">
        <f>IF(I1423="","",_xlfn.XLOOKUP(TRIM(I1423),'SkillMasterSkill ID'!$C:$C,'SkillMasterSkill ID'!$D:$D,"NOT FOUND",0))</f>
        <v/>
      </c>
      <c r="F1423" s="50"/>
      <c r="G1423" s="50"/>
      <c r="H1423" s="51"/>
      <c r="I1423" s="50"/>
      <c r="J1423" s="50" t="str">
        <f>IF(I1423="","",_xlfn.XLOOKUP(TRIM(I1423),'SkillMasterSkill ID'!$C:$C,'SkillMasterSkill ID'!$F:$F,"NOT FOUND",0))</f>
        <v/>
      </c>
      <c r="K1423" s="50"/>
      <c r="L1423" s="50"/>
    </row>
    <row r="1424" spans="1:12" ht="16.5" thickBot="1" x14ac:dyDescent="0.3">
      <c r="A142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24" s="45"/>
      <c r="C1424" s="45"/>
      <c r="D1424" s="46"/>
      <c r="E1424" s="46" t="str">
        <f>IF(I1424="","",_xlfn.XLOOKUP(TRIM(I1424),'SkillMasterSkill ID'!$C:$C,'SkillMasterSkill ID'!$D:$D,"NOT FOUND",0))</f>
        <v/>
      </c>
      <c r="F1424" s="50"/>
      <c r="G1424" s="50"/>
      <c r="H1424" s="51"/>
      <c r="I1424" s="50"/>
      <c r="J1424" s="50" t="str">
        <f>IF(I1424="","",_xlfn.XLOOKUP(TRIM(I1424),'SkillMasterSkill ID'!$C:$C,'SkillMasterSkill ID'!$F:$F,"NOT FOUND",0))</f>
        <v/>
      </c>
      <c r="K1424" s="50"/>
      <c r="L1424" s="50"/>
    </row>
    <row r="1425" spans="1:12" ht="16.5" thickBot="1" x14ac:dyDescent="0.3">
      <c r="A142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25" s="45"/>
      <c r="C1425" s="45"/>
      <c r="D1425" s="46"/>
      <c r="E1425" s="46" t="str">
        <f>IF(I1425="","",_xlfn.XLOOKUP(TRIM(I1425),'SkillMasterSkill ID'!$C:$C,'SkillMasterSkill ID'!$D:$D,"NOT FOUND",0))</f>
        <v/>
      </c>
      <c r="F1425" s="50"/>
      <c r="G1425" s="50"/>
      <c r="H1425" s="51"/>
      <c r="I1425" s="50"/>
      <c r="J1425" s="50" t="str">
        <f>IF(I1425="","",_xlfn.XLOOKUP(TRIM(I1425),'SkillMasterSkill ID'!$C:$C,'SkillMasterSkill ID'!$F:$F,"NOT FOUND",0))</f>
        <v/>
      </c>
      <c r="K1425" s="50"/>
      <c r="L1425" s="50"/>
    </row>
    <row r="1426" spans="1:12" ht="16.5" thickBot="1" x14ac:dyDescent="0.3">
      <c r="A142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26" s="45"/>
      <c r="C1426" s="45"/>
      <c r="D1426" s="46"/>
      <c r="E1426" s="46" t="str">
        <f>IF(I1426="","",_xlfn.XLOOKUP(TRIM(I1426),'SkillMasterSkill ID'!$C:$C,'SkillMasterSkill ID'!$D:$D,"NOT FOUND",0))</f>
        <v/>
      </c>
      <c r="F1426" s="50"/>
      <c r="G1426" s="50"/>
      <c r="H1426" s="51"/>
      <c r="I1426" s="50"/>
      <c r="J1426" s="50" t="str">
        <f>IF(I1426="","",_xlfn.XLOOKUP(TRIM(I1426),'SkillMasterSkill ID'!$C:$C,'SkillMasterSkill ID'!$F:$F,"NOT FOUND",0))</f>
        <v/>
      </c>
      <c r="K1426" s="50"/>
      <c r="L1426" s="50"/>
    </row>
    <row r="1427" spans="1:12" ht="16.5" thickBot="1" x14ac:dyDescent="0.3">
      <c r="A142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27" s="45"/>
      <c r="C1427" s="45"/>
      <c r="D1427" s="46"/>
      <c r="E1427" s="46" t="str">
        <f>IF(I1427="","",_xlfn.XLOOKUP(TRIM(I1427),'SkillMasterSkill ID'!$C:$C,'SkillMasterSkill ID'!$D:$D,"NOT FOUND",0))</f>
        <v/>
      </c>
      <c r="F1427" s="50"/>
      <c r="G1427" s="50"/>
      <c r="H1427" s="51"/>
      <c r="I1427" s="50"/>
      <c r="J1427" s="50" t="str">
        <f>IF(I1427="","",_xlfn.XLOOKUP(TRIM(I1427),'SkillMasterSkill ID'!$C:$C,'SkillMasterSkill ID'!$F:$F,"NOT FOUND",0))</f>
        <v/>
      </c>
      <c r="K1427" s="50"/>
      <c r="L1427" s="50"/>
    </row>
    <row r="1428" spans="1:12" ht="16.5" thickBot="1" x14ac:dyDescent="0.3">
      <c r="A142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28" s="45"/>
      <c r="C1428" s="45"/>
      <c r="D1428" s="46"/>
      <c r="E1428" s="46" t="str">
        <f>IF(I1428="","",_xlfn.XLOOKUP(TRIM(I1428),'SkillMasterSkill ID'!$C:$C,'SkillMasterSkill ID'!$D:$D,"NOT FOUND",0))</f>
        <v/>
      </c>
      <c r="F1428" s="50"/>
      <c r="G1428" s="50"/>
      <c r="H1428" s="51"/>
      <c r="I1428" s="50"/>
      <c r="J1428" s="50" t="str">
        <f>IF(I1428="","",_xlfn.XLOOKUP(TRIM(I1428),'SkillMasterSkill ID'!$C:$C,'SkillMasterSkill ID'!$F:$F,"NOT FOUND",0))</f>
        <v/>
      </c>
      <c r="K1428" s="50"/>
      <c r="L1428" s="50"/>
    </row>
    <row r="1429" spans="1:12" ht="16.5" thickBot="1" x14ac:dyDescent="0.3">
      <c r="A142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29" s="45"/>
      <c r="C1429" s="45"/>
      <c r="D1429" s="46"/>
      <c r="E1429" s="46" t="str">
        <f>IF(I1429="","",_xlfn.XLOOKUP(TRIM(I1429),'SkillMasterSkill ID'!$C:$C,'SkillMasterSkill ID'!$D:$D,"NOT FOUND",0))</f>
        <v/>
      </c>
      <c r="F1429" s="50"/>
      <c r="G1429" s="50"/>
      <c r="H1429" s="51"/>
      <c r="I1429" s="50"/>
      <c r="J1429" s="50" t="str">
        <f>IF(I1429="","",_xlfn.XLOOKUP(TRIM(I1429),'SkillMasterSkill ID'!$C:$C,'SkillMasterSkill ID'!$F:$F,"NOT FOUND",0))</f>
        <v/>
      </c>
      <c r="K1429" s="50"/>
      <c r="L1429" s="50"/>
    </row>
    <row r="1430" spans="1:12" ht="16.5" thickBot="1" x14ac:dyDescent="0.3">
      <c r="A143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30" s="45"/>
      <c r="C1430" s="45"/>
      <c r="D1430" s="46"/>
      <c r="E1430" s="46" t="str">
        <f>IF(I1430="","",_xlfn.XLOOKUP(TRIM(I1430),'SkillMasterSkill ID'!$C:$C,'SkillMasterSkill ID'!$D:$D,"NOT FOUND",0))</f>
        <v/>
      </c>
      <c r="F1430" s="50"/>
      <c r="G1430" s="50"/>
      <c r="H1430" s="51"/>
      <c r="I1430" s="50"/>
      <c r="J1430" s="50" t="str">
        <f>IF(I1430="","",_xlfn.XLOOKUP(TRIM(I1430),'SkillMasterSkill ID'!$C:$C,'SkillMasterSkill ID'!$F:$F,"NOT FOUND",0))</f>
        <v/>
      </c>
      <c r="K1430" s="50"/>
      <c r="L1430" s="50"/>
    </row>
    <row r="1431" spans="1:12" ht="16.5" thickBot="1" x14ac:dyDescent="0.3">
      <c r="A143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31" s="45"/>
      <c r="C1431" s="45"/>
      <c r="D1431" s="46"/>
      <c r="E1431" s="46" t="str">
        <f>IF(I1431="","",_xlfn.XLOOKUP(TRIM(I1431),'SkillMasterSkill ID'!$C:$C,'SkillMasterSkill ID'!$D:$D,"NOT FOUND",0))</f>
        <v/>
      </c>
      <c r="F1431" s="50"/>
      <c r="G1431" s="50"/>
      <c r="H1431" s="51"/>
      <c r="I1431" s="50"/>
      <c r="J1431" s="50" t="str">
        <f>IF(I1431="","",_xlfn.XLOOKUP(TRIM(I1431),'SkillMasterSkill ID'!$C:$C,'SkillMasterSkill ID'!$F:$F,"NOT FOUND",0))</f>
        <v/>
      </c>
      <c r="K1431" s="50"/>
      <c r="L1431" s="50"/>
    </row>
    <row r="1432" spans="1:12" ht="16.5" thickBot="1" x14ac:dyDescent="0.3">
      <c r="A143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32" s="45"/>
      <c r="C1432" s="45"/>
      <c r="D1432" s="46"/>
      <c r="E1432" s="46" t="str">
        <f>IF(I1432="","",_xlfn.XLOOKUP(TRIM(I1432),'SkillMasterSkill ID'!$C:$C,'SkillMasterSkill ID'!$D:$D,"NOT FOUND",0))</f>
        <v/>
      </c>
      <c r="F1432" s="50"/>
      <c r="G1432" s="50"/>
      <c r="H1432" s="51"/>
      <c r="I1432" s="50"/>
      <c r="J1432" s="50" t="str">
        <f>IF(I1432="","",_xlfn.XLOOKUP(TRIM(I1432),'SkillMasterSkill ID'!$C:$C,'SkillMasterSkill ID'!$F:$F,"NOT FOUND",0))</f>
        <v/>
      </c>
      <c r="K1432" s="50"/>
      <c r="L1432" s="50"/>
    </row>
    <row r="1433" spans="1:12" ht="16.5" thickBot="1" x14ac:dyDescent="0.3">
      <c r="A143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33" s="45"/>
      <c r="C1433" s="45"/>
      <c r="D1433" s="46"/>
      <c r="E1433" s="46" t="str">
        <f>IF(I1433="","",_xlfn.XLOOKUP(TRIM(I1433),'SkillMasterSkill ID'!$C:$C,'SkillMasterSkill ID'!$D:$D,"NOT FOUND",0))</f>
        <v/>
      </c>
      <c r="F1433" s="50"/>
      <c r="G1433" s="50"/>
      <c r="H1433" s="51"/>
      <c r="I1433" s="50"/>
      <c r="J1433" s="50" t="str">
        <f>IF(I1433="","",_xlfn.XLOOKUP(TRIM(I1433),'SkillMasterSkill ID'!$C:$C,'SkillMasterSkill ID'!$F:$F,"NOT FOUND",0))</f>
        <v/>
      </c>
      <c r="K1433" s="50"/>
      <c r="L1433" s="50"/>
    </row>
    <row r="1434" spans="1:12" ht="16.5" thickBot="1" x14ac:dyDescent="0.3">
      <c r="A143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34" s="45"/>
      <c r="C1434" s="45"/>
      <c r="D1434" s="46"/>
      <c r="E1434" s="46" t="str">
        <f>IF(I1434="","",_xlfn.XLOOKUP(TRIM(I1434),'SkillMasterSkill ID'!$C:$C,'SkillMasterSkill ID'!$D:$D,"NOT FOUND",0))</f>
        <v/>
      </c>
      <c r="F1434" s="50"/>
      <c r="G1434" s="50"/>
      <c r="H1434" s="51"/>
      <c r="I1434" s="50"/>
      <c r="J1434" s="50" t="str">
        <f>IF(I1434="","",_xlfn.XLOOKUP(TRIM(I1434),'SkillMasterSkill ID'!$C:$C,'SkillMasterSkill ID'!$F:$F,"NOT FOUND",0))</f>
        <v/>
      </c>
      <c r="K1434" s="50"/>
      <c r="L1434" s="50"/>
    </row>
    <row r="1435" spans="1:12" ht="16.5" thickBot="1" x14ac:dyDescent="0.3">
      <c r="A143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35" s="45"/>
      <c r="C1435" s="45"/>
      <c r="D1435" s="46"/>
      <c r="E1435" s="46" t="str">
        <f>IF(I1435="","",_xlfn.XLOOKUP(TRIM(I1435),'SkillMasterSkill ID'!$C:$C,'SkillMasterSkill ID'!$D:$D,"NOT FOUND",0))</f>
        <v/>
      </c>
      <c r="F1435" s="50"/>
      <c r="G1435" s="50"/>
      <c r="H1435" s="51"/>
      <c r="I1435" s="50"/>
      <c r="J1435" s="50" t="str">
        <f>IF(I1435="","",_xlfn.XLOOKUP(TRIM(I1435),'SkillMasterSkill ID'!$C:$C,'SkillMasterSkill ID'!$F:$F,"NOT FOUND",0))</f>
        <v/>
      </c>
      <c r="K1435" s="50"/>
      <c r="L1435" s="50"/>
    </row>
    <row r="1436" spans="1:12" ht="16.5" thickBot="1" x14ac:dyDescent="0.3">
      <c r="A143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36" s="45"/>
      <c r="C1436" s="45"/>
      <c r="D1436" s="46"/>
      <c r="E1436" s="46" t="str">
        <f>IF(I1436="","",_xlfn.XLOOKUP(TRIM(I1436),'SkillMasterSkill ID'!$C:$C,'SkillMasterSkill ID'!$D:$D,"NOT FOUND",0))</f>
        <v/>
      </c>
      <c r="F1436" s="50"/>
      <c r="G1436" s="50"/>
      <c r="H1436" s="51"/>
      <c r="I1436" s="50"/>
      <c r="J1436" s="50" t="str">
        <f>IF(I1436="","",_xlfn.XLOOKUP(TRIM(I1436),'SkillMasterSkill ID'!$C:$C,'SkillMasterSkill ID'!$F:$F,"NOT FOUND",0))</f>
        <v/>
      </c>
      <c r="K1436" s="50"/>
      <c r="L1436" s="50"/>
    </row>
    <row r="1437" spans="1:12" ht="16.5" thickBot="1" x14ac:dyDescent="0.3">
      <c r="A143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37" s="45"/>
      <c r="C1437" s="45"/>
      <c r="D1437" s="46"/>
      <c r="E1437" s="46" t="str">
        <f>IF(I1437="","",_xlfn.XLOOKUP(TRIM(I1437),'SkillMasterSkill ID'!$C:$C,'SkillMasterSkill ID'!$D:$D,"NOT FOUND",0))</f>
        <v/>
      </c>
      <c r="F1437" s="50"/>
      <c r="G1437" s="50"/>
      <c r="H1437" s="51"/>
      <c r="I1437" s="50"/>
      <c r="J1437" s="50" t="str">
        <f>IF(I1437="","",_xlfn.XLOOKUP(TRIM(I1437),'SkillMasterSkill ID'!$C:$C,'SkillMasterSkill ID'!$F:$F,"NOT FOUND",0))</f>
        <v/>
      </c>
      <c r="K1437" s="50"/>
      <c r="L1437" s="50"/>
    </row>
    <row r="1438" spans="1:12" ht="16.5" thickBot="1" x14ac:dyDescent="0.3">
      <c r="A143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38" s="45"/>
      <c r="C1438" s="45"/>
      <c r="D1438" s="46"/>
      <c r="E1438" s="46" t="str">
        <f>IF(I1438="","",_xlfn.XLOOKUP(TRIM(I1438),'SkillMasterSkill ID'!$C:$C,'SkillMasterSkill ID'!$D:$D,"NOT FOUND",0))</f>
        <v/>
      </c>
      <c r="F1438" s="50"/>
      <c r="G1438" s="50"/>
      <c r="H1438" s="51"/>
      <c r="I1438" s="50"/>
      <c r="J1438" s="50" t="str">
        <f>IF(I1438="","",_xlfn.XLOOKUP(TRIM(I1438),'SkillMasterSkill ID'!$C:$C,'SkillMasterSkill ID'!$F:$F,"NOT FOUND",0))</f>
        <v/>
      </c>
      <c r="K1438" s="50"/>
      <c r="L1438" s="50"/>
    </row>
    <row r="1439" spans="1:12" ht="16.5" thickBot="1" x14ac:dyDescent="0.3">
      <c r="A143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39" s="45"/>
      <c r="C1439" s="45"/>
      <c r="D1439" s="46"/>
      <c r="E1439" s="46" t="str">
        <f>IF(I1439="","",_xlfn.XLOOKUP(TRIM(I1439),'SkillMasterSkill ID'!$C:$C,'SkillMasterSkill ID'!$D:$D,"NOT FOUND",0))</f>
        <v/>
      </c>
      <c r="F1439" s="50"/>
      <c r="G1439" s="50"/>
      <c r="H1439" s="51"/>
      <c r="I1439" s="50"/>
      <c r="J1439" s="50" t="str">
        <f>IF(I1439="","",_xlfn.XLOOKUP(TRIM(I1439),'SkillMasterSkill ID'!$C:$C,'SkillMasterSkill ID'!$F:$F,"NOT FOUND",0))</f>
        <v/>
      </c>
      <c r="K1439" s="50"/>
      <c r="L1439" s="50"/>
    </row>
    <row r="1440" spans="1:12" ht="16.5" thickBot="1" x14ac:dyDescent="0.3">
      <c r="A144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40" s="45"/>
      <c r="C1440" s="45"/>
      <c r="D1440" s="46"/>
      <c r="E1440" s="46" t="str">
        <f>IF(I1440="","",_xlfn.XLOOKUP(TRIM(I1440),'SkillMasterSkill ID'!$C:$C,'SkillMasterSkill ID'!$D:$D,"NOT FOUND",0))</f>
        <v/>
      </c>
      <c r="F1440" s="50"/>
      <c r="G1440" s="50"/>
      <c r="H1440" s="51"/>
      <c r="I1440" s="50"/>
      <c r="J1440" s="50" t="str">
        <f>IF(I1440="","",_xlfn.XLOOKUP(TRIM(I1440),'SkillMasterSkill ID'!$C:$C,'SkillMasterSkill ID'!$F:$F,"NOT FOUND",0))</f>
        <v/>
      </c>
      <c r="K1440" s="50"/>
      <c r="L1440" s="50"/>
    </row>
    <row r="1441" spans="1:12" ht="16.5" thickBot="1" x14ac:dyDescent="0.3">
      <c r="A144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41" s="45"/>
      <c r="C1441" s="45"/>
      <c r="D1441" s="46"/>
      <c r="E1441" s="46" t="str">
        <f>IF(I1441="","",_xlfn.XLOOKUP(TRIM(I1441),'SkillMasterSkill ID'!$C:$C,'SkillMasterSkill ID'!$D:$D,"NOT FOUND",0))</f>
        <v/>
      </c>
      <c r="F1441" s="50"/>
      <c r="G1441" s="50"/>
      <c r="H1441" s="51"/>
      <c r="I1441" s="50"/>
      <c r="J1441" s="50" t="str">
        <f>IF(I1441="","",_xlfn.XLOOKUP(TRIM(I1441),'SkillMasterSkill ID'!$C:$C,'SkillMasterSkill ID'!$F:$F,"NOT FOUND",0))</f>
        <v/>
      </c>
      <c r="K1441" s="50"/>
      <c r="L1441" s="50"/>
    </row>
    <row r="1442" spans="1:12" ht="16.5" thickBot="1" x14ac:dyDescent="0.3">
      <c r="A144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42" s="45"/>
      <c r="C1442" s="45"/>
      <c r="D1442" s="46"/>
      <c r="E1442" s="46" t="str">
        <f>IF(I1442="","",_xlfn.XLOOKUP(TRIM(I1442),'SkillMasterSkill ID'!$C:$C,'SkillMasterSkill ID'!$D:$D,"NOT FOUND",0))</f>
        <v/>
      </c>
      <c r="F1442" s="50"/>
      <c r="G1442" s="50"/>
      <c r="H1442" s="51"/>
      <c r="I1442" s="50"/>
      <c r="J1442" s="50" t="str">
        <f>IF(I1442="","",_xlfn.XLOOKUP(TRIM(I1442),'SkillMasterSkill ID'!$C:$C,'SkillMasterSkill ID'!$F:$F,"NOT FOUND",0))</f>
        <v/>
      </c>
      <c r="K1442" s="50"/>
      <c r="L1442" s="50"/>
    </row>
    <row r="1443" spans="1:12" ht="16.5" thickBot="1" x14ac:dyDescent="0.3">
      <c r="A144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43" s="45"/>
      <c r="C1443" s="45"/>
      <c r="D1443" s="46"/>
      <c r="E1443" s="46" t="str">
        <f>IF(I1443="","",_xlfn.XLOOKUP(TRIM(I1443),'SkillMasterSkill ID'!$C:$C,'SkillMasterSkill ID'!$D:$D,"NOT FOUND",0))</f>
        <v/>
      </c>
      <c r="F1443" s="50"/>
      <c r="G1443" s="50"/>
      <c r="H1443" s="51"/>
      <c r="I1443" s="50"/>
      <c r="J1443" s="50" t="str">
        <f>IF(I1443="","",_xlfn.XLOOKUP(TRIM(I1443),'SkillMasterSkill ID'!$C:$C,'SkillMasterSkill ID'!$F:$F,"NOT FOUND",0))</f>
        <v/>
      </c>
      <c r="K1443" s="50"/>
      <c r="L1443" s="50"/>
    </row>
    <row r="1444" spans="1:12" ht="16.5" thickBot="1" x14ac:dyDescent="0.3">
      <c r="A144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44" s="45"/>
      <c r="C1444" s="45"/>
      <c r="D1444" s="46"/>
      <c r="E1444" s="46" t="str">
        <f>IF(I1444="","",_xlfn.XLOOKUP(TRIM(I1444),'SkillMasterSkill ID'!$C:$C,'SkillMasterSkill ID'!$D:$D,"NOT FOUND",0))</f>
        <v/>
      </c>
      <c r="F1444" s="50"/>
      <c r="G1444" s="50"/>
      <c r="H1444" s="51"/>
      <c r="I1444" s="50"/>
      <c r="J1444" s="50" t="str">
        <f>IF(I1444="","",_xlfn.XLOOKUP(TRIM(I1444),'SkillMasterSkill ID'!$C:$C,'SkillMasterSkill ID'!$F:$F,"NOT FOUND",0))</f>
        <v/>
      </c>
      <c r="K1444" s="50"/>
      <c r="L1444" s="50"/>
    </row>
    <row r="1445" spans="1:12" ht="16.5" thickBot="1" x14ac:dyDescent="0.3">
      <c r="A144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45" s="45"/>
      <c r="C1445" s="45"/>
      <c r="D1445" s="46"/>
      <c r="E1445" s="46" t="str">
        <f>IF(I1445="","",_xlfn.XLOOKUP(TRIM(I1445),'SkillMasterSkill ID'!$C:$C,'SkillMasterSkill ID'!$D:$D,"NOT FOUND",0))</f>
        <v/>
      </c>
      <c r="F1445" s="50"/>
      <c r="G1445" s="50"/>
      <c r="H1445" s="51"/>
      <c r="I1445" s="50"/>
      <c r="J1445" s="50" t="str">
        <f>IF(I1445="","",_xlfn.XLOOKUP(TRIM(I1445),'SkillMasterSkill ID'!$C:$C,'SkillMasterSkill ID'!$F:$F,"NOT FOUND",0))</f>
        <v/>
      </c>
      <c r="K1445" s="50"/>
      <c r="L1445" s="50"/>
    </row>
    <row r="1446" spans="1:12" ht="16.5" thickBot="1" x14ac:dyDescent="0.3">
      <c r="A144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46" s="45"/>
      <c r="C1446" s="45"/>
      <c r="D1446" s="46"/>
      <c r="E1446" s="46" t="str">
        <f>IF(I1446="","",_xlfn.XLOOKUP(TRIM(I1446),'SkillMasterSkill ID'!$C:$C,'SkillMasterSkill ID'!$D:$D,"NOT FOUND",0))</f>
        <v/>
      </c>
      <c r="F1446" s="50"/>
      <c r="G1446" s="50"/>
      <c r="H1446" s="51"/>
      <c r="I1446" s="50"/>
      <c r="J1446" s="50" t="str">
        <f>IF(I1446="","",_xlfn.XLOOKUP(TRIM(I1446),'SkillMasterSkill ID'!$C:$C,'SkillMasterSkill ID'!$F:$F,"NOT FOUND",0))</f>
        <v/>
      </c>
      <c r="K1446" s="50"/>
      <c r="L1446" s="50"/>
    </row>
    <row r="1447" spans="1:12" ht="16.5" thickBot="1" x14ac:dyDescent="0.3">
      <c r="A144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47" s="45"/>
      <c r="C1447" s="45"/>
      <c r="D1447" s="46"/>
      <c r="E1447" s="46" t="str">
        <f>IF(I1447="","",_xlfn.XLOOKUP(TRIM(I1447),'SkillMasterSkill ID'!$C:$C,'SkillMasterSkill ID'!$D:$D,"NOT FOUND",0))</f>
        <v/>
      </c>
      <c r="F1447" s="50"/>
      <c r="G1447" s="50"/>
      <c r="H1447" s="51"/>
      <c r="I1447" s="50"/>
      <c r="J1447" s="50" t="str">
        <f>IF(I1447="","",_xlfn.XLOOKUP(TRIM(I1447),'SkillMasterSkill ID'!$C:$C,'SkillMasterSkill ID'!$F:$F,"NOT FOUND",0))</f>
        <v/>
      </c>
      <c r="K1447" s="50"/>
      <c r="L1447" s="50"/>
    </row>
    <row r="1448" spans="1:12" ht="16.5" thickBot="1" x14ac:dyDescent="0.3">
      <c r="A144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48" s="45"/>
      <c r="C1448" s="45"/>
      <c r="D1448" s="46"/>
      <c r="E1448" s="46" t="str">
        <f>IF(I1448="","",_xlfn.XLOOKUP(TRIM(I1448),'SkillMasterSkill ID'!$C:$C,'SkillMasterSkill ID'!$D:$D,"NOT FOUND",0))</f>
        <v/>
      </c>
      <c r="F1448" s="50"/>
      <c r="G1448" s="50"/>
      <c r="H1448" s="51"/>
      <c r="I1448" s="50"/>
      <c r="J1448" s="50" t="str">
        <f>IF(I1448="","",_xlfn.XLOOKUP(TRIM(I1448),'SkillMasterSkill ID'!$C:$C,'SkillMasterSkill ID'!$F:$F,"NOT FOUND",0))</f>
        <v/>
      </c>
      <c r="K1448" s="50"/>
      <c r="L1448" s="50"/>
    </row>
    <row r="1449" spans="1:12" ht="16.5" thickBot="1" x14ac:dyDescent="0.3">
      <c r="A144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49" s="45"/>
      <c r="C1449" s="45"/>
      <c r="D1449" s="46"/>
      <c r="E1449" s="46" t="str">
        <f>IF(I1449="","",_xlfn.XLOOKUP(TRIM(I1449),'SkillMasterSkill ID'!$C:$C,'SkillMasterSkill ID'!$D:$D,"NOT FOUND",0))</f>
        <v/>
      </c>
      <c r="F1449" s="50"/>
      <c r="G1449" s="50"/>
      <c r="H1449" s="51"/>
      <c r="I1449" s="50"/>
      <c r="J1449" s="50" t="str">
        <f>IF(I1449="","",_xlfn.XLOOKUP(TRIM(I1449),'SkillMasterSkill ID'!$C:$C,'SkillMasterSkill ID'!$F:$F,"NOT FOUND",0))</f>
        <v/>
      </c>
      <c r="K1449" s="50"/>
      <c r="L1449" s="50"/>
    </row>
    <row r="1450" spans="1:12" ht="16.5" thickBot="1" x14ac:dyDescent="0.3">
      <c r="A145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50" s="45"/>
      <c r="C1450" s="45"/>
      <c r="D1450" s="46"/>
      <c r="E1450" s="46" t="str">
        <f>IF(I1450="","",_xlfn.XLOOKUP(TRIM(I1450),'SkillMasterSkill ID'!$C:$C,'SkillMasterSkill ID'!$D:$D,"NOT FOUND",0))</f>
        <v/>
      </c>
      <c r="F1450" s="50"/>
      <c r="G1450" s="50"/>
      <c r="H1450" s="51"/>
      <c r="I1450" s="50"/>
      <c r="J1450" s="50" t="str">
        <f>IF(I1450="","",_xlfn.XLOOKUP(TRIM(I1450),'SkillMasterSkill ID'!$C:$C,'SkillMasterSkill ID'!$F:$F,"NOT FOUND",0))</f>
        <v/>
      </c>
      <c r="K1450" s="50"/>
      <c r="L1450" s="50"/>
    </row>
    <row r="1451" spans="1:12" ht="16.5" thickBot="1" x14ac:dyDescent="0.3">
      <c r="A145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51" s="45"/>
      <c r="C1451" s="45"/>
      <c r="D1451" s="46"/>
      <c r="E1451" s="46" t="str">
        <f>IF(I1451="","",_xlfn.XLOOKUP(TRIM(I1451),'SkillMasterSkill ID'!$C:$C,'SkillMasterSkill ID'!$D:$D,"NOT FOUND",0))</f>
        <v/>
      </c>
      <c r="F1451" s="50"/>
      <c r="G1451" s="50"/>
      <c r="H1451" s="51"/>
      <c r="I1451" s="50"/>
      <c r="J1451" s="50" t="str">
        <f>IF(I1451="","",_xlfn.XLOOKUP(TRIM(I1451),'SkillMasterSkill ID'!$C:$C,'SkillMasterSkill ID'!$F:$F,"NOT FOUND",0))</f>
        <v/>
      </c>
      <c r="K1451" s="50"/>
      <c r="L1451" s="50"/>
    </row>
    <row r="1452" spans="1:12" ht="16.5" thickBot="1" x14ac:dyDescent="0.3">
      <c r="A145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52" s="45"/>
      <c r="C1452" s="45"/>
      <c r="D1452" s="46"/>
      <c r="E1452" s="46" t="str">
        <f>IF(I1452="","",_xlfn.XLOOKUP(TRIM(I1452),'SkillMasterSkill ID'!$C:$C,'SkillMasterSkill ID'!$D:$D,"NOT FOUND",0))</f>
        <v/>
      </c>
      <c r="F1452" s="50"/>
      <c r="G1452" s="50"/>
      <c r="H1452" s="51"/>
      <c r="I1452" s="50"/>
      <c r="J1452" s="50" t="str">
        <f>IF(I1452="","",_xlfn.XLOOKUP(TRIM(I1452),'SkillMasterSkill ID'!$C:$C,'SkillMasterSkill ID'!$F:$F,"NOT FOUND",0))</f>
        <v/>
      </c>
      <c r="K1452" s="50"/>
      <c r="L1452" s="50"/>
    </row>
    <row r="1453" spans="1:12" ht="16.5" thickBot="1" x14ac:dyDescent="0.3">
      <c r="A145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53" s="45"/>
      <c r="C1453" s="45"/>
      <c r="D1453" s="46"/>
      <c r="E1453" s="46" t="str">
        <f>IF(I1453="","",_xlfn.XLOOKUP(TRIM(I1453),'SkillMasterSkill ID'!$C:$C,'SkillMasterSkill ID'!$D:$D,"NOT FOUND",0))</f>
        <v/>
      </c>
      <c r="F1453" s="50"/>
      <c r="G1453" s="50"/>
      <c r="H1453" s="51"/>
      <c r="I1453" s="50"/>
      <c r="J1453" s="50" t="str">
        <f>IF(I1453="","",_xlfn.XLOOKUP(TRIM(I1453),'SkillMasterSkill ID'!$C:$C,'SkillMasterSkill ID'!$F:$F,"NOT FOUND",0))</f>
        <v/>
      </c>
      <c r="K1453" s="50"/>
      <c r="L1453" s="50"/>
    </row>
    <row r="1454" spans="1:12" ht="16.5" thickBot="1" x14ac:dyDescent="0.3">
      <c r="A145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54" s="45"/>
      <c r="C1454" s="45"/>
      <c r="D1454" s="46"/>
      <c r="E1454" s="46" t="str">
        <f>IF(I1454="","",_xlfn.XLOOKUP(TRIM(I1454),'SkillMasterSkill ID'!$C:$C,'SkillMasterSkill ID'!$D:$D,"NOT FOUND",0))</f>
        <v/>
      </c>
      <c r="F1454" s="50"/>
      <c r="G1454" s="50"/>
      <c r="H1454" s="51"/>
      <c r="I1454" s="50"/>
      <c r="J1454" s="50" t="str">
        <f>IF(I1454="","",_xlfn.XLOOKUP(TRIM(I1454),'SkillMasterSkill ID'!$C:$C,'SkillMasterSkill ID'!$F:$F,"NOT FOUND",0))</f>
        <v/>
      </c>
      <c r="K1454" s="50"/>
      <c r="L1454" s="50"/>
    </row>
    <row r="1455" spans="1:12" ht="16.5" thickBot="1" x14ac:dyDescent="0.3">
      <c r="A145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55" s="45"/>
      <c r="C1455" s="45"/>
      <c r="D1455" s="46"/>
      <c r="E1455" s="46" t="str">
        <f>IF(I1455="","",_xlfn.XLOOKUP(TRIM(I1455),'SkillMasterSkill ID'!$C:$C,'SkillMasterSkill ID'!$D:$D,"NOT FOUND",0))</f>
        <v/>
      </c>
      <c r="F1455" s="50"/>
      <c r="G1455" s="50"/>
      <c r="H1455" s="51"/>
      <c r="I1455" s="50"/>
      <c r="J1455" s="50" t="str">
        <f>IF(I1455="","",_xlfn.XLOOKUP(TRIM(I1455),'SkillMasterSkill ID'!$C:$C,'SkillMasterSkill ID'!$F:$F,"NOT FOUND",0))</f>
        <v/>
      </c>
      <c r="K1455" s="50"/>
      <c r="L1455" s="50"/>
    </row>
    <row r="1456" spans="1:12" ht="16.5" thickBot="1" x14ac:dyDescent="0.3">
      <c r="A145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56" s="45"/>
      <c r="C1456" s="45"/>
      <c r="D1456" s="46"/>
      <c r="E1456" s="46" t="str">
        <f>IF(I1456="","",_xlfn.XLOOKUP(TRIM(I1456),'SkillMasterSkill ID'!$C:$C,'SkillMasterSkill ID'!$D:$D,"NOT FOUND",0))</f>
        <v/>
      </c>
      <c r="F1456" s="50"/>
      <c r="G1456" s="50"/>
      <c r="H1456" s="51"/>
      <c r="I1456" s="50"/>
      <c r="J1456" s="50" t="str">
        <f>IF(I1456="","",_xlfn.XLOOKUP(TRIM(I1456),'SkillMasterSkill ID'!$C:$C,'SkillMasterSkill ID'!$F:$F,"NOT FOUND",0))</f>
        <v/>
      </c>
      <c r="K1456" s="50"/>
      <c r="L1456" s="50"/>
    </row>
    <row r="1457" spans="1:12" ht="16.5" thickBot="1" x14ac:dyDescent="0.3">
      <c r="A145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57" s="45"/>
      <c r="C1457" s="45"/>
      <c r="D1457" s="46"/>
      <c r="E1457" s="46" t="str">
        <f>IF(I1457="","",_xlfn.XLOOKUP(TRIM(I1457),'SkillMasterSkill ID'!$C:$C,'SkillMasterSkill ID'!$D:$D,"NOT FOUND",0))</f>
        <v/>
      </c>
      <c r="F1457" s="50"/>
      <c r="G1457" s="50"/>
      <c r="H1457" s="51"/>
      <c r="I1457" s="50"/>
      <c r="J1457" s="50" t="str">
        <f>IF(I1457="","",_xlfn.XLOOKUP(TRIM(I1457),'SkillMasterSkill ID'!$C:$C,'SkillMasterSkill ID'!$F:$F,"NOT FOUND",0))</f>
        <v/>
      </c>
      <c r="K1457" s="50"/>
      <c r="L1457" s="50"/>
    </row>
    <row r="1458" spans="1:12" ht="16.5" thickBot="1" x14ac:dyDescent="0.3">
      <c r="A145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58" s="45"/>
      <c r="C1458" s="45"/>
      <c r="D1458" s="46"/>
      <c r="E1458" s="46" t="str">
        <f>IF(I1458="","",_xlfn.XLOOKUP(TRIM(I1458),'SkillMasterSkill ID'!$C:$C,'SkillMasterSkill ID'!$D:$D,"NOT FOUND",0))</f>
        <v/>
      </c>
      <c r="F1458" s="50"/>
      <c r="G1458" s="50"/>
      <c r="H1458" s="51"/>
      <c r="I1458" s="50"/>
      <c r="J1458" s="50" t="str">
        <f>IF(I1458="","",_xlfn.XLOOKUP(TRIM(I1458),'SkillMasterSkill ID'!$C:$C,'SkillMasterSkill ID'!$F:$F,"NOT FOUND",0))</f>
        <v/>
      </c>
      <c r="K1458" s="50"/>
      <c r="L1458" s="50"/>
    </row>
    <row r="1459" spans="1:12" ht="16.5" thickBot="1" x14ac:dyDescent="0.3">
      <c r="A145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59" s="45"/>
      <c r="C1459" s="45"/>
      <c r="D1459" s="46"/>
      <c r="E1459" s="46" t="str">
        <f>IF(I1459="","",_xlfn.XLOOKUP(TRIM(I1459),'SkillMasterSkill ID'!$C:$C,'SkillMasterSkill ID'!$D:$D,"NOT FOUND",0))</f>
        <v/>
      </c>
      <c r="F1459" s="50"/>
      <c r="G1459" s="50"/>
      <c r="H1459" s="51"/>
      <c r="I1459" s="50"/>
      <c r="J1459" s="50" t="str">
        <f>IF(I1459="","",_xlfn.XLOOKUP(TRIM(I1459),'SkillMasterSkill ID'!$C:$C,'SkillMasterSkill ID'!$F:$F,"NOT FOUND",0))</f>
        <v/>
      </c>
      <c r="K1459" s="50"/>
      <c r="L1459" s="50"/>
    </row>
    <row r="1460" spans="1:12" ht="16.5" thickBot="1" x14ac:dyDescent="0.3">
      <c r="A146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60" s="45"/>
      <c r="C1460" s="45"/>
      <c r="D1460" s="46"/>
      <c r="E1460" s="46" t="str">
        <f>IF(I1460="","",_xlfn.XLOOKUP(TRIM(I1460),'SkillMasterSkill ID'!$C:$C,'SkillMasterSkill ID'!$D:$D,"NOT FOUND",0))</f>
        <v/>
      </c>
      <c r="F1460" s="50"/>
      <c r="G1460" s="50"/>
      <c r="H1460" s="51"/>
      <c r="I1460" s="50"/>
      <c r="J1460" s="50" t="str">
        <f>IF(I1460="","",_xlfn.XLOOKUP(TRIM(I1460),'SkillMasterSkill ID'!$C:$C,'SkillMasterSkill ID'!$F:$F,"NOT FOUND",0))</f>
        <v/>
      </c>
      <c r="K1460" s="50"/>
      <c r="L1460" s="50"/>
    </row>
    <row r="1461" spans="1:12" ht="16.5" thickBot="1" x14ac:dyDescent="0.3">
      <c r="A146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61" s="45"/>
      <c r="C1461" s="45"/>
      <c r="D1461" s="46"/>
      <c r="E1461" s="46" t="str">
        <f>IF(I1461="","",_xlfn.XLOOKUP(TRIM(I1461),'SkillMasterSkill ID'!$C:$C,'SkillMasterSkill ID'!$D:$D,"NOT FOUND",0))</f>
        <v/>
      </c>
      <c r="F1461" s="50"/>
      <c r="G1461" s="50"/>
      <c r="H1461" s="51"/>
      <c r="I1461" s="50"/>
      <c r="J1461" s="50" t="str">
        <f>IF(I1461="","",_xlfn.XLOOKUP(TRIM(I1461),'SkillMasterSkill ID'!$C:$C,'SkillMasterSkill ID'!$F:$F,"NOT FOUND",0))</f>
        <v/>
      </c>
      <c r="K1461" s="50"/>
      <c r="L1461" s="50"/>
    </row>
    <row r="1462" spans="1:12" ht="16.5" thickBot="1" x14ac:dyDescent="0.3">
      <c r="A146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62" s="45"/>
      <c r="C1462" s="45"/>
      <c r="D1462" s="46"/>
      <c r="E1462" s="46" t="str">
        <f>IF(I1462="","",_xlfn.XLOOKUP(TRIM(I1462),'SkillMasterSkill ID'!$C:$C,'SkillMasterSkill ID'!$D:$D,"NOT FOUND",0))</f>
        <v/>
      </c>
      <c r="F1462" s="50"/>
      <c r="G1462" s="50"/>
      <c r="H1462" s="51"/>
      <c r="I1462" s="50"/>
      <c r="J1462" s="50" t="str">
        <f>IF(I1462="","",_xlfn.XLOOKUP(TRIM(I1462),'SkillMasterSkill ID'!$C:$C,'SkillMasterSkill ID'!$F:$F,"NOT FOUND",0))</f>
        <v/>
      </c>
      <c r="K1462" s="50"/>
      <c r="L1462" s="50"/>
    </row>
    <row r="1463" spans="1:12" ht="16.5" thickBot="1" x14ac:dyDescent="0.3">
      <c r="A146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63" s="45"/>
      <c r="C1463" s="45"/>
      <c r="D1463" s="46"/>
      <c r="E1463" s="46" t="str">
        <f>IF(I1463="","",_xlfn.XLOOKUP(TRIM(I1463),'SkillMasterSkill ID'!$C:$C,'SkillMasterSkill ID'!$D:$D,"NOT FOUND",0))</f>
        <v/>
      </c>
      <c r="F1463" s="50"/>
      <c r="G1463" s="50"/>
      <c r="H1463" s="51"/>
      <c r="I1463" s="50"/>
      <c r="J1463" s="50" t="str">
        <f>IF(I1463="","",_xlfn.XLOOKUP(TRIM(I1463),'SkillMasterSkill ID'!$C:$C,'SkillMasterSkill ID'!$F:$F,"NOT FOUND",0))</f>
        <v/>
      </c>
      <c r="K1463" s="50"/>
      <c r="L1463" s="50"/>
    </row>
    <row r="1464" spans="1:12" ht="16.5" thickBot="1" x14ac:dyDescent="0.3">
      <c r="A146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64" s="45"/>
      <c r="C1464" s="45"/>
      <c r="D1464" s="46"/>
      <c r="E1464" s="46" t="str">
        <f>IF(I1464="","",_xlfn.XLOOKUP(TRIM(I1464),'SkillMasterSkill ID'!$C:$C,'SkillMasterSkill ID'!$D:$D,"NOT FOUND",0))</f>
        <v/>
      </c>
      <c r="F1464" s="50"/>
      <c r="G1464" s="50"/>
      <c r="H1464" s="51"/>
      <c r="I1464" s="50"/>
      <c r="J1464" s="50" t="str">
        <f>IF(I1464="","",_xlfn.XLOOKUP(TRIM(I1464),'SkillMasterSkill ID'!$C:$C,'SkillMasterSkill ID'!$F:$F,"NOT FOUND",0))</f>
        <v/>
      </c>
      <c r="K1464" s="50"/>
      <c r="L1464" s="50"/>
    </row>
    <row r="1465" spans="1:12" ht="16.5" thickBot="1" x14ac:dyDescent="0.3">
      <c r="A146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65" s="45"/>
      <c r="C1465" s="45"/>
      <c r="D1465" s="46"/>
      <c r="E1465" s="46" t="str">
        <f>IF(I1465="","",_xlfn.XLOOKUP(TRIM(I1465),'SkillMasterSkill ID'!$C:$C,'SkillMasterSkill ID'!$D:$D,"NOT FOUND",0))</f>
        <v/>
      </c>
      <c r="F1465" s="50"/>
      <c r="G1465" s="50"/>
      <c r="H1465" s="51"/>
      <c r="I1465" s="50"/>
      <c r="J1465" s="50" t="str">
        <f>IF(I1465="","",_xlfn.XLOOKUP(TRIM(I1465),'SkillMasterSkill ID'!$C:$C,'SkillMasterSkill ID'!$F:$F,"NOT FOUND",0))</f>
        <v/>
      </c>
      <c r="K1465" s="50"/>
      <c r="L1465" s="50"/>
    </row>
    <row r="1466" spans="1:12" ht="16.5" thickBot="1" x14ac:dyDescent="0.3">
      <c r="A146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66" s="45"/>
      <c r="C1466" s="45"/>
      <c r="D1466" s="46"/>
      <c r="E1466" s="46" t="str">
        <f>IF(I1466="","",_xlfn.XLOOKUP(TRIM(I1466),'SkillMasterSkill ID'!$C:$C,'SkillMasterSkill ID'!$D:$D,"NOT FOUND",0))</f>
        <v/>
      </c>
      <c r="F1466" s="50"/>
      <c r="G1466" s="50"/>
      <c r="H1466" s="51"/>
      <c r="I1466" s="50"/>
      <c r="J1466" s="50" t="str">
        <f>IF(I1466="","",_xlfn.XLOOKUP(TRIM(I1466),'SkillMasterSkill ID'!$C:$C,'SkillMasterSkill ID'!$F:$F,"NOT FOUND",0))</f>
        <v/>
      </c>
      <c r="K1466" s="50"/>
      <c r="L1466" s="50"/>
    </row>
    <row r="1467" spans="1:12" ht="16.5" thickBot="1" x14ac:dyDescent="0.3">
      <c r="A146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67" s="45"/>
      <c r="C1467" s="45"/>
      <c r="D1467" s="46"/>
      <c r="E1467" s="46" t="str">
        <f>IF(I1467="","",_xlfn.XLOOKUP(TRIM(I1467),'SkillMasterSkill ID'!$C:$C,'SkillMasterSkill ID'!$D:$D,"NOT FOUND",0))</f>
        <v/>
      </c>
      <c r="F1467" s="50"/>
      <c r="G1467" s="50"/>
      <c r="H1467" s="51"/>
      <c r="I1467" s="50"/>
      <c r="J1467" s="50" t="str">
        <f>IF(I1467="","",_xlfn.XLOOKUP(TRIM(I1467),'SkillMasterSkill ID'!$C:$C,'SkillMasterSkill ID'!$F:$F,"NOT FOUND",0))</f>
        <v/>
      </c>
      <c r="K1467" s="50"/>
      <c r="L1467" s="50"/>
    </row>
    <row r="1468" spans="1:12" ht="16.5" thickBot="1" x14ac:dyDescent="0.3">
      <c r="A146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68" s="45"/>
      <c r="C1468" s="45"/>
      <c r="D1468" s="46"/>
      <c r="E1468" s="46" t="str">
        <f>IF(I1468="","",_xlfn.XLOOKUP(TRIM(I1468),'SkillMasterSkill ID'!$C:$C,'SkillMasterSkill ID'!$D:$D,"NOT FOUND",0))</f>
        <v/>
      </c>
      <c r="F1468" s="50"/>
      <c r="G1468" s="50"/>
      <c r="H1468" s="51"/>
      <c r="I1468" s="50"/>
      <c r="J1468" s="50" t="str">
        <f>IF(I1468="","",_xlfn.XLOOKUP(TRIM(I1468),'SkillMasterSkill ID'!$C:$C,'SkillMasterSkill ID'!$F:$F,"NOT FOUND",0))</f>
        <v/>
      </c>
      <c r="K1468" s="50"/>
      <c r="L1468" s="50"/>
    </row>
    <row r="1469" spans="1:12" ht="16.5" thickBot="1" x14ac:dyDescent="0.3">
      <c r="A146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69" s="45"/>
      <c r="C1469" s="45"/>
      <c r="D1469" s="46"/>
      <c r="E1469" s="46" t="str">
        <f>IF(I1469="","",_xlfn.XLOOKUP(TRIM(I1469),'SkillMasterSkill ID'!$C:$C,'SkillMasterSkill ID'!$D:$D,"NOT FOUND",0))</f>
        <v/>
      </c>
      <c r="F1469" s="50"/>
      <c r="G1469" s="50"/>
      <c r="H1469" s="51"/>
      <c r="I1469" s="50"/>
      <c r="J1469" s="50" t="str">
        <f>IF(I1469="","",_xlfn.XLOOKUP(TRIM(I1469),'SkillMasterSkill ID'!$C:$C,'SkillMasterSkill ID'!$F:$F,"NOT FOUND",0))</f>
        <v/>
      </c>
      <c r="K1469" s="50"/>
      <c r="L1469" s="50"/>
    </row>
    <row r="1470" spans="1:12" ht="16.5" thickBot="1" x14ac:dyDescent="0.3">
      <c r="A147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70" s="45"/>
      <c r="C1470" s="45"/>
      <c r="D1470" s="46"/>
      <c r="E1470" s="46" t="str">
        <f>IF(I1470="","",_xlfn.XLOOKUP(TRIM(I1470),'SkillMasterSkill ID'!$C:$C,'SkillMasterSkill ID'!$D:$D,"NOT FOUND",0))</f>
        <v/>
      </c>
      <c r="F1470" s="50"/>
      <c r="G1470" s="50"/>
      <c r="H1470" s="51"/>
      <c r="I1470" s="50"/>
      <c r="J1470" s="50" t="str">
        <f>IF(I1470="","",_xlfn.XLOOKUP(TRIM(I1470),'SkillMasterSkill ID'!$C:$C,'SkillMasterSkill ID'!$F:$F,"NOT FOUND",0))</f>
        <v/>
      </c>
      <c r="K1470" s="50"/>
      <c r="L1470" s="50"/>
    </row>
    <row r="1471" spans="1:12" ht="16.5" thickBot="1" x14ac:dyDescent="0.3">
      <c r="A147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71" s="45"/>
      <c r="C1471" s="45"/>
      <c r="D1471" s="46"/>
      <c r="E1471" s="46" t="str">
        <f>IF(I1471="","",_xlfn.XLOOKUP(TRIM(I1471),'SkillMasterSkill ID'!$C:$C,'SkillMasterSkill ID'!$D:$D,"NOT FOUND",0))</f>
        <v/>
      </c>
      <c r="F1471" s="50"/>
      <c r="G1471" s="50"/>
      <c r="H1471" s="51"/>
      <c r="I1471" s="50"/>
      <c r="J1471" s="50" t="str">
        <f>IF(I1471="","",_xlfn.XLOOKUP(TRIM(I1471),'SkillMasterSkill ID'!$C:$C,'SkillMasterSkill ID'!$F:$F,"NOT FOUND",0))</f>
        <v/>
      </c>
      <c r="K1471" s="50"/>
      <c r="L1471" s="50"/>
    </row>
    <row r="1472" spans="1:12" ht="16.5" thickBot="1" x14ac:dyDescent="0.3">
      <c r="A147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72" s="45"/>
      <c r="C1472" s="45"/>
      <c r="D1472" s="46"/>
      <c r="E1472" s="46" t="str">
        <f>IF(I1472="","",_xlfn.XLOOKUP(TRIM(I1472),'SkillMasterSkill ID'!$C:$C,'SkillMasterSkill ID'!$D:$D,"NOT FOUND",0))</f>
        <v/>
      </c>
      <c r="F1472" s="50"/>
      <c r="G1472" s="50"/>
      <c r="H1472" s="51"/>
      <c r="I1472" s="50"/>
      <c r="J1472" s="50" t="str">
        <f>IF(I1472="","",_xlfn.XLOOKUP(TRIM(I1472),'SkillMasterSkill ID'!$C:$C,'SkillMasterSkill ID'!$F:$F,"NOT FOUND",0))</f>
        <v/>
      </c>
      <c r="K1472" s="50"/>
      <c r="L1472" s="50"/>
    </row>
    <row r="1473" spans="1:12" ht="16.5" thickBot="1" x14ac:dyDescent="0.3">
      <c r="A147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73" s="45"/>
      <c r="C1473" s="45"/>
      <c r="D1473" s="46"/>
      <c r="E1473" s="46" t="str">
        <f>IF(I1473="","",_xlfn.XLOOKUP(TRIM(I1473),'SkillMasterSkill ID'!$C:$C,'SkillMasterSkill ID'!$D:$D,"NOT FOUND",0))</f>
        <v/>
      </c>
      <c r="F1473" s="50"/>
      <c r="G1473" s="50"/>
      <c r="H1473" s="51"/>
      <c r="I1473" s="50"/>
      <c r="J1473" s="50" t="str">
        <f>IF(I1473="","",_xlfn.XLOOKUP(TRIM(I1473),'SkillMasterSkill ID'!$C:$C,'SkillMasterSkill ID'!$F:$F,"NOT FOUND",0))</f>
        <v/>
      </c>
      <c r="K1473" s="50"/>
      <c r="L1473" s="50"/>
    </row>
    <row r="1474" spans="1:12" ht="16.5" thickBot="1" x14ac:dyDescent="0.3">
      <c r="A147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74" s="45"/>
      <c r="C1474" s="45"/>
      <c r="D1474" s="46"/>
      <c r="E1474" s="46" t="str">
        <f>IF(I1474="","",_xlfn.XLOOKUP(TRIM(I1474),'SkillMasterSkill ID'!$C:$C,'SkillMasterSkill ID'!$D:$D,"NOT FOUND",0))</f>
        <v/>
      </c>
      <c r="F1474" s="50"/>
      <c r="G1474" s="50"/>
      <c r="H1474" s="51"/>
      <c r="I1474" s="50"/>
      <c r="J1474" s="50" t="str">
        <f>IF(I1474="","",_xlfn.XLOOKUP(TRIM(I1474),'SkillMasterSkill ID'!$C:$C,'SkillMasterSkill ID'!$F:$F,"NOT FOUND",0))</f>
        <v/>
      </c>
      <c r="K1474" s="50"/>
      <c r="L1474" s="50"/>
    </row>
    <row r="1475" spans="1:12" ht="16.5" thickBot="1" x14ac:dyDescent="0.3">
      <c r="A147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75" s="45"/>
      <c r="C1475" s="45"/>
      <c r="D1475" s="46"/>
      <c r="E1475" s="46" t="str">
        <f>IF(I1475="","",_xlfn.XLOOKUP(TRIM(I1475),'SkillMasterSkill ID'!$C:$C,'SkillMasterSkill ID'!$D:$D,"NOT FOUND",0))</f>
        <v/>
      </c>
      <c r="F1475" s="50"/>
      <c r="G1475" s="50"/>
      <c r="H1475" s="51"/>
      <c r="I1475" s="50"/>
      <c r="J1475" s="50" t="str">
        <f>IF(I1475="","",_xlfn.XLOOKUP(TRIM(I1475),'SkillMasterSkill ID'!$C:$C,'SkillMasterSkill ID'!$F:$F,"NOT FOUND",0))</f>
        <v/>
      </c>
      <c r="K1475" s="50"/>
      <c r="L1475" s="50"/>
    </row>
    <row r="1476" spans="1:12" ht="16.5" thickBot="1" x14ac:dyDescent="0.3">
      <c r="A147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76" s="45"/>
      <c r="C1476" s="45"/>
      <c r="D1476" s="46"/>
      <c r="E1476" s="46" t="str">
        <f>IF(I1476="","",_xlfn.XLOOKUP(TRIM(I1476),'SkillMasterSkill ID'!$C:$C,'SkillMasterSkill ID'!$D:$D,"NOT FOUND",0))</f>
        <v/>
      </c>
      <c r="F1476" s="50"/>
      <c r="G1476" s="50"/>
      <c r="H1476" s="51"/>
      <c r="I1476" s="50"/>
      <c r="J1476" s="50" t="str">
        <f>IF(I1476="","",_xlfn.XLOOKUP(TRIM(I1476),'SkillMasterSkill ID'!$C:$C,'SkillMasterSkill ID'!$F:$F,"NOT FOUND",0))</f>
        <v/>
      </c>
      <c r="K1476" s="50"/>
      <c r="L1476" s="50"/>
    </row>
    <row r="1477" spans="1:12" ht="16.5" thickBot="1" x14ac:dyDescent="0.3">
      <c r="A147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77" s="45"/>
      <c r="C1477" s="45"/>
      <c r="D1477" s="46"/>
      <c r="E1477" s="46" t="str">
        <f>IF(I1477="","",_xlfn.XLOOKUP(TRIM(I1477),'SkillMasterSkill ID'!$C:$C,'SkillMasterSkill ID'!$D:$D,"NOT FOUND",0))</f>
        <v/>
      </c>
      <c r="F1477" s="50"/>
      <c r="G1477" s="50"/>
      <c r="H1477" s="51"/>
      <c r="I1477" s="50"/>
      <c r="J1477" s="50" t="str">
        <f>IF(I1477="","",_xlfn.XLOOKUP(TRIM(I1477),'SkillMasterSkill ID'!$C:$C,'SkillMasterSkill ID'!$F:$F,"NOT FOUND",0))</f>
        <v/>
      </c>
      <c r="K1477" s="50"/>
      <c r="L1477" s="50"/>
    </row>
    <row r="1478" spans="1:12" ht="16.5" thickBot="1" x14ac:dyDescent="0.3">
      <c r="A147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78" s="45"/>
      <c r="C1478" s="45"/>
      <c r="D1478" s="46"/>
      <c r="E1478" s="46" t="str">
        <f>IF(I1478="","",_xlfn.XLOOKUP(TRIM(I1478),'SkillMasterSkill ID'!$C:$C,'SkillMasterSkill ID'!$D:$D,"NOT FOUND",0))</f>
        <v/>
      </c>
      <c r="F1478" s="50"/>
      <c r="G1478" s="50"/>
      <c r="H1478" s="51"/>
      <c r="I1478" s="50"/>
      <c r="J1478" s="50" t="str">
        <f>IF(I1478="","",_xlfn.XLOOKUP(TRIM(I1478),'SkillMasterSkill ID'!$C:$C,'SkillMasterSkill ID'!$F:$F,"NOT FOUND",0))</f>
        <v/>
      </c>
      <c r="K1478" s="50"/>
      <c r="L1478" s="50"/>
    </row>
    <row r="1479" spans="1:12" ht="16.5" thickBot="1" x14ac:dyDescent="0.3">
      <c r="A147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79" s="45"/>
      <c r="C1479" s="45"/>
      <c r="D1479" s="46"/>
      <c r="E1479" s="46" t="str">
        <f>IF(I1479="","",_xlfn.XLOOKUP(TRIM(I1479),'SkillMasterSkill ID'!$C:$C,'SkillMasterSkill ID'!$D:$D,"NOT FOUND",0))</f>
        <v/>
      </c>
      <c r="F1479" s="50"/>
      <c r="G1479" s="50"/>
      <c r="H1479" s="51"/>
      <c r="I1479" s="50"/>
      <c r="J1479" s="50" t="str">
        <f>IF(I1479="","",_xlfn.XLOOKUP(TRIM(I1479),'SkillMasterSkill ID'!$C:$C,'SkillMasterSkill ID'!$F:$F,"NOT FOUND",0))</f>
        <v/>
      </c>
      <c r="K1479" s="50"/>
      <c r="L1479" s="50"/>
    </row>
    <row r="1480" spans="1:12" ht="16.5" thickBot="1" x14ac:dyDescent="0.3">
      <c r="A148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80" s="45"/>
      <c r="C1480" s="45"/>
      <c r="D1480" s="46"/>
      <c r="E1480" s="46" t="str">
        <f>IF(I1480="","",_xlfn.XLOOKUP(TRIM(I1480),'SkillMasterSkill ID'!$C:$C,'SkillMasterSkill ID'!$D:$D,"NOT FOUND",0))</f>
        <v/>
      </c>
      <c r="F1480" s="50"/>
      <c r="G1480" s="50"/>
      <c r="H1480" s="51"/>
      <c r="I1480" s="50"/>
      <c r="J1480" s="50" t="str">
        <f>IF(I1480="","",_xlfn.XLOOKUP(TRIM(I1480),'SkillMasterSkill ID'!$C:$C,'SkillMasterSkill ID'!$F:$F,"NOT FOUND",0))</f>
        <v/>
      </c>
      <c r="K1480" s="50"/>
      <c r="L1480" s="50"/>
    </row>
    <row r="1481" spans="1:12" ht="16.5" thickBot="1" x14ac:dyDescent="0.3">
      <c r="A148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81" s="45"/>
      <c r="C1481" s="45"/>
      <c r="D1481" s="46"/>
      <c r="E1481" s="46" t="str">
        <f>IF(I1481="","",_xlfn.XLOOKUP(TRIM(I1481),'SkillMasterSkill ID'!$C:$C,'SkillMasterSkill ID'!$D:$D,"NOT FOUND",0))</f>
        <v/>
      </c>
      <c r="F1481" s="50"/>
      <c r="G1481" s="50"/>
      <c r="H1481" s="51"/>
      <c r="I1481" s="50"/>
      <c r="J1481" s="50" t="str">
        <f>IF(I1481="","",_xlfn.XLOOKUP(TRIM(I1481),'SkillMasterSkill ID'!$C:$C,'SkillMasterSkill ID'!$F:$F,"NOT FOUND",0))</f>
        <v/>
      </c>
      <c r="K1481" s="50"/>
      <c r="L1481" s="50"/>
    </row>
    <row r="1482" spans="1:12" ht="16.5" thickBot="1" x14ac:dyDescent="0.3">
      <c r="A148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82" s="45"/>
      <c r="C1482" s="45"/>
      <c r="D1482" s="46"/>
      <c r="E1482" s="46" t="str">
        <f>IF(I1482="","",_xlfn.XLOOKUP(TRIM(I1482),'SkillMasterSkill ID'!$C:$C,'SkillMasterSkill ID'!$D:$D,"NOT FOUND",0))</f>
        <v/>
      </c>
      <c r="F1482" s="50"/>
      <c r="G1482" s="50"/>
      <c r="H1482" s="51"/>
      <c r="I1482" s="50"/>
      <c r="J1482" s="50" t="str">
        <f>IF(I1482="","",_xlfn.XLOOKUP(TRIM(I1482),'SkillMasterSkill ID'!$C:$C,'SkillMasterSkill ID'!$F:$F,"NOT FOUND",0))</f>
        <v/>
      </c>
      <c r="K1482" s="50"/>
      <c r="L1482" s="50"/>
    </row>
    <row r="1483" spans="1:12" ht="16.5" thickBot="1" x14ac:dyDescent="0.3">
      <c r="A148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83" s="45"/>
      <c r="C1483" s="45"/>
      <c r="D1483" s="46"/>
      <c r="E1483" s="46" t="str">
        <f>IF(I1483="","",_xlfn.XLOOKUP(TRIM(I1483),'SkillMasterSkill ID'!$C:$C,'SkillMasterSkill ID'!$D:$D,"NOT FOUND",0))</f>
        <v/>
      </c>
      <c r="F1483" s="50"/>
      <c r="G1483" s="50"/>
      <c r="H1483" s="51"/>
      <c r="I1483" s="50"/>
      <c r="J1483" s="50" t="str">
        <f>IF(I1483="","",_xlfn.XLOOKUP(TRIM(I1483),'SkillMasterSkill ID'!$C:$C,'SkillMasterSkill ID'!$F:$F,"NOT FOUND",0))</f>
        <v/>
      </c>
      <c r="K1483" s="50"/>
      <c r="L1483" s="50"/>
    </row>
    <row r="1484" spans="1:12" ht="16.5" thickBot="1" x14ac:dyDescent="0.3">
      <c r="A148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84" s="45"/>
      <c r="C1484" s="45"/>
      <c r="D1484" s="46"/>
      <c r="E1484" s="46" t="str">
        <f>IF(I1484="","",_xlfn.XLOOKUP(TRIM(I1484),'SkillMasterSkill ID'!$C:$C,'SkillMasterSkill ID'!$D:$D,"NOT FOUND",0))</f>
        <v/>
      </c>
      <c r="F1484" s="50"/>
      <c r="G1484" s="50"/>
      <c r="H1484" s="51"/>
      <c r="I1484" s="50"/>
      <c r="J1484" s="50" t="str">
        <f>IF(I1484="","",_xlfn.XLOOKUP(TRIM(I1484),'SkillMasterSkill ID'!$C:$C,'SkillMasterSkill ID'!$F:$F,"NOT FOUND",0))</f>
        <v/>
      </c>
      <c r="K1484" s="50"/>
      <c r="L1484" s="50"/>
    </row>
    <row r="1485" spans="1:12" ht="16.5" thickBot="1" x14ac:dyDescent="0.3">
      <c r="A148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85" s="45"/>
      <c r="C1485" s="45"/>
      <c r="D1485" s="46"/>
      <c r="E1485" s="46" t="str">
        <f>IF(I1485="","",_xlfn.XLOOKUP(TRIM(I1485),'SkillMasterSkill ID'!$C:$C,'SkillMasterSkill ID'!$D:$D,"NOT FOUND",0))</f>
        <v/>
      </c>
      <c r="F1485" s="50"/>
      <c r="G1485" s="50"/>
      <c r="H1485" s="51"/>
      <c r="I1485" s="50"/>
      <c r="J1485" s="50" t="str">
        <f>IF(I1485="","",_xlfn.XLOOKUP(TRIM(I1485),'SkillMasterSkill ID'!$C:$C,'SkillMasterSkill ID'!$F:$F,"NOT FOUND",0))</f>
        <v/>
      </c>
      <c r="K1485" s="50"/>
      <c r="L1485" s="50"/>
    </row>
    <row r="1486" spans="1:12" ht="16.5" thickBot="1" x14ac:dyDescent="0.3">
      <c r="A148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86" s="45"/>
      <c r="C1486" s="45"/>
      <c r="D1486" s="46"/>
      <c r="E1486" s="46" t="str">
        <f>IF(I1486="","",_xlfn.XLOOKUP(TRIM(I1486),'SkillMasterSkill ID'!$C:$C,'SkillMasterSkill ID'!$D:$D,"NOT FOUND",0))</f>
        <v/>
      </c>
      <c r="F1486" s="50"/>
      <c r="G1486" s="50"/>
      <c r="H1486" s="51"/>
      <c r="I1486" s="50"/>
      <c r="J1486" s="50" t="str">
        <f>IF(I1486="","",_xlfn.XLOOKUP(TRIM(I1486),'SkillMasterSkill ID'!$C:$C,'SkillMasterSkill ID'!$F:$F,"NOT FOUND",0))</f>
        <v/>
      </c>
      <c r="K1486" s="50"/>
      <c r="L1486" s="50"/>
    </row>
    <row r="1487" spans="1:12" ht="16.5" thickBot="1" x14ac:dyDescent="0.3">
      <c r="A148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87" s="45"/>
      <c r="C1487" s="45"/>
      <c r="D1487" s="46"/>
      <c r="E1487" s="46" t="str">
        <f>IF(I1487="","",_xlfn.XLOOKUP(TRIM(I1487),'SkillMasterSkill ID'!$C:$C,'SkillMasterSkill ID'!$D:$D,"NOT FOUND",0))</f>
        <v/>
      </c>
      <c r="F1487" s="50"/>
      <c r="G1487" s="50"/>
      <c r="H1487" s="51"/>
      <c r="I1487" s="50"/>
      <c r="J1487" s="50" t="str">
        <f>IF(I1487="","",_xlfn.XLOOKUP(TRIM(I1487),'SkillMasterSkill ID'!$C:$C,'SkillMasterSkill ID'!$F:$F,"NOT FOUND",0))</f>
        <v/>
      </c>
      <c r="K1487" s="50"/>
      <c r="L1487" s="50"/>
    </row>
    <row r="1488" spans="1:12" ht="16.5" thickBot="1" x14ac:dyDescent="0.3">
      <c r="A148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88" s="45"/>
      <c r="C1488" s="45"/>
      <c r="D1488" s="46"/>
      <c r="E1488" s="46" t="str">
        <f>IF(I1488="","",_xlfn.XLOOKUP(TRIM(I1488),'SkillMasterSkill ID'!$C:$C,'SkillMasterSkill ID'!$D:$D,"NOT FOUND",0))</f>
        <v/>
      </c>
      <c r="F1488" s="50"/>
      <c r="G1488" s="50"/>
      <c r="H1488" s="51"/>
      <c r="I1488" s="50"/>
      <c r="J1488" s="50" t="str">
        <f>IF(I1488="","",_xlfn.XLOOKUP(TRIM(I1488),'SkillMasterSkill ID'!$C:$C,'SkillMasterSkill ID'!$F:$F,"NOT FOUND",0))</f>
        <v/>
      </c>
      <c r="K1488" s="50"/>
      <c r="L1488" s="50"/>
    </row>
    <row r="1489" spans="1:12" ht="16.5" thickBot="1" x14ac:dyDescent="0.3">
      <c r="A148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89" s="45"/>
      <c r="C1489" s="45"/>
      <c r="D1489" s="46"/>
      <c r="E1489" s="46" t="str">
        <f>IF(I1489="","",_xlfn.XLOOKUP(TRIM(I1489),'SkillMasterSkill ID'!$C:$C,'SkillMasterSkill ID'!$D:$D,"NOT FOUND",0))</f>
        <v/>
      </c>
      <c r="F1489" s="50"/>
      <c r="G1489" s="50"/>
      <c r="H1489" s="51"/>
      <c r="I1489" s="50"/>
      <c r="J1489" s="50" t="str">
        <f>IF(I1489="","",_xlfn.XLOOKUP(TRIM(I1489),'SkillMasterSkill ID'!$C:$C,'SkillMasterSkill ID'!$F:$F,"NOT FOUND",0))</f>
        <v/>
      </c>
      <c r="K1489" s="50"/>
      <c r="L1489" s="50"/>
    </row>
    <row r="1490" spans="1:12" ht="16.5" thickBot="1" x14ac:dyDescent="0.3">
      <c r="A149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90" s="45"/>
      <c r="C1490" s="45"/>
      <c r="D1490" s="46"/>
      <c r="E1490" s="46" t="str">
        <f>IF(I1490="","",_xlfn.XLOOKUP(TRIM(I1490),'SkillMasterSkill ID'!$C:$C,'SkillMasterSkill ID'!$D:$D,"NOT FOUND",0))</f>
        <v/>
      </c>
      <c r="F1490" s="50"/>
      <c r="G1490" s="50"/>
      <c r="H1490" s="51"/>
      <c r="I1490" s="50"/>
      <c r="J1490" s="50" t="str">
        <f>IF(I1490="","",_xlfn.XLOOKUP(TRIM(I1490),'SkillMasterSkill ID'!$C:$C,'SkillMasterSkill ID'!$F:$F,"NOT FOUND",0))</f>
        <v/>
      </c>
      <c r="K1490" s="50"/>
      <c r="L1490" s="50"/>
    </row>
    <row r="1491" spans="1:12" ht="16.5" thickBot="1" x14ac:dyDescent="0.3">
      <c r="A149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91" s="45"/>
      <c r="C1491" s="45"/>
      <c r="D1491" s="46"/>
      <c r="E1491" s="46" t="str">
        <f>IF(I1491="","",_xlfn.XLOOKUP(TRIM(I1491),'SkillMasterSkill ID'!$C:$C,'SkillMasterSkill ID'!$D:$D,"NOT FOUND",0))</f>
        <v/>
      </c>
      <c r="F1491" s="50"/>
      <c r="G1491" s="50"/>
      <c r="H1491" s="51"/>
      <c r="I1491" s="50"/>
      <c r="J1491" s="50" t="str">
        <f>IF(I1491="","",_xlfn.XLOOKUP(TRIM(I1491),'SkillMasterSkill ID'!$C:$C,'SkillMasterSkill ID'!$F:$F,"NOT FOUND",0))</f>
        <v/>
      </c>
      <c r="K1491" s="50"/>
      <c r="L1491" s="50"/>
    </row>
    <row r="1492" spans="1:12" ht="16.5" thickBot="1" x14ac:dyDescent="0.3">
      <c r="A149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92" s="45"/>
      <c r="C1492" s="45"/>
      <c r="D1492" s="46"/>
      <c r="E1492" s="46" t="str">
        <f>IF(I1492="","",_xlfn.XLOOKUP(TRIM(I1492),'SkillMasterSkill ID'!$C:$C,'SkillMasterSkill ID'!$D:$D,"NOT FOUND",0))</f>
        <v/>
      </c>
      <c r="F1492" s="50"/>
      <c r="G1492" s="50"/>
      <c r="H1492" s="51"/>
      <c r="I1492" s="50"/>
      <c r="J1492" s="50" t="str">
        <f>IF(I1492="","",_xlfn.XLOOKUP(TRIM(I1492),'SkillMasterSkill ID'!$C:$C,'SkillMasterSkill ID'!$F:$F,"NOT FOUND",0))</f>
        <v/>
      </c>
      <c r="K1492" s="50"/>
      <c r="L1492" s="50"/>
    </row>
    <row r="1493" spans="1:12" ht="16.5" thickBot="1" x14ac:dyDescent="0.3">
      <c r="A149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93" s="45"/>
      <c r="C1493" s="45"/>
      <c r="D1493" s="46"/>
      <c r="E1493" s="46" t="str">
        <f>IF(I1493="","",_xlfn.XLOOKUP(TRIM(I1493),'SkillMasterSkill ID'!$C:$C,'SkillMasterSkill ID'!$D:$D,"NOT FOUND",0))</f>
        <v/>
      </c>
      <c r="F1493" s="50"/>
      <c r="G1493" s="50"/>
      <c r="H1493" s="51"/>
      <c r="I1493" s="50"/>
      <c r="J1493" s="50" t="str">
        <f>IF(I1493="","",_xlfn.XLOOKUP(TRIM(I1493),'SkillMasterSkill ID'!$C:$C,'SkillMasterSkill ID'!$F:$F,"NOT FOUND",0))</f>
        <v/>
      </c>
      <c r="K1493" s="50"/>
      <c r="L1493" s="50"/>
    </row>
    <row r="1494" spans="1:12" ht="16.5" thickBot="1" x14ac:dyDescent="0.3">
      <c r="A149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94" s="45"/>
      <c r="C1494" s="45"/>
      <c r="D1494" s="46"/>
      <c r="E1494" s="46" t="str">
        <f>IF(I1494="","",_xlfn.XLOOKUP(TRIM(I1494),'SkillMasterSkill ID'!$C:$C,'SkillMasterSkill ID'!$D:$D,"NOT FOUND",0))</f>
        <v/>
      </c>
      <c r="F1494" s="50"/>
      <c r="G1494" s="50"/>
      <c r="H1494" s="51"/>
      <c r="I1494" s="50"/>
      <c r="J1494" s="50" t="str">
        <f>IF(I1494="","",_xlfn.XLOOKUP(TRIM(I1494),'SkillMasterSkill ID'!$C:$C,'SkillMasterSkill ID'!$F:$F,"NOT FOUND",0))</f>
        <v/>
      </c>
      <c r="K1494" s="50"/>
      <c r="L1494" s="50"/>
    </row>
    <row r="1495" spans="1:12" ht="16.5" thickBot="1" x14ac:dyDescent="0.3">
      <c r="A149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95" s="45"/>
      <c r="C1495" s="45"/>
      <c r="D1495" s="46"/>
      <c r="E1495" s="46" t="str">
        <f>IF(I1495="","",_xlfn.XLOOKUP(TRIM(I1495),'SkillMasterSkill ID'!$C:$C,'SkillMasterSkill ID'!$D:$D,"NOT FOUND",0))</f>
        <v/>
      </c>
      <c r="F1495" s="50"/>
      <c r="G1495" s="50"/>
      <c r="H1495" s="51"/>
      <c r="I1495" s="50"/>
      <c r="J1495" s="50" t="str">
        <f>IF(I1495="","",_xlfn.XLOOKUP(TRIM(I1495),'SkillMasterSkill ID'!$C:$C,'SkillMasterSkill ID'!$F:$F,"NOT FOUND",0))</f>
        <v/>
      </c>
      <c r="K1495" s="50"/>
      <c r="L1495" s="50"/>
    </row>
    <row r="1496" spans="1:12" ht="16.5" thickBot="1" x14ac:dyDescent="0.3">
      <c r="A149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96" s="45"/>
      <c r="C1496" s="45"/>
      <c r="D1496" s="46"/>
      <c r="E1496" s="46" t="str">
        <f>IF(I1496="","",_xlfn.XLOOKUP(TRIM(I1496),'SkillMasterSkill ID'!$C:$C,'SkillMasterSkill ID'!$D:$D,"NOT FOUND",0))</f>
        <v/>
      </c>
      <c r="F1496" s="50"/>
      <c r="G1496" s="50"/>
      <c r="H1496" s="51"/>
      <c r="I1496" s="50"/>
      <c r="J1496" s="50" t="str">
        <f>IF(I1496="","",_xlfn.XLOOKUP(TRIM(I1496),'SkillMasterSkill ID'!$C:$C,'SkillMasterSkill ID'!$F:$F,"NOT FOUND",0))</f>
        <v/>
      </c>
      <c r="K1496" s="50"/>
      <c r="L1496" s="50"/>
    </row>
    <row r="1497" spans="1:12" ht="16.5" thickBot="1" x14ac:dyDescent="0.3">
      <c r="A149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97" s="45"/>
      <c r="C1497" s="45"/>
      <c r="D1497" s="46"/>
      <c r="E1497" s="46" t="str">
        <f>IF(I1497="","",_xlfn.XLOOKUP(TRIM(I1497),'SkillMasterSkill ID'!$C:$C,'SkillMasterSkill ID'!$D:$D,"NOT FOUND",0))</f>
        <v/>
      </c>
      <c r="F1497" s="50"/>
      <c r="G1497" s="50"/>
      <c r="H1497" s="51"/>
      <c r="I1497" s="50"/>
      <c r="J1497" s="50" t="str">
        <f>IF(I1497="","",_xlfn.XLOOKUP(TRIM(I1497),'SkillMasterSkill ID'!$C:$C,'SkillMasterSkill ID'!$F:$F,"NOT FOUND",0))</f>
        <v/>
      </c>
      <c r="K1497" s="50"/>
      <c r="L1497" s="50"/>
    </row>
    <row r="1498" spans="1:12" ht="16.5" thickBot="1" x14ac:dyDescent="0.3">
      <c r="A149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98" s="45"/>
      <c r="C1498" s="45"/>
      <c r="D1498" s="46"/>
      <c r="E1498" s="46" t="str">
        <f>IF(I1498="","",_xlfn.XLOOKUP(TRIM(I1498),'SkillMasterSkill ID'!$C:$C,'SkillMasterSkill ID'!$D:$D,"NOT FOUND",0))</f>
        <v/>
      </c>
      <c r="F1498" s="50"/>
      <c r="G1498" s="50"/>
      <c r="H1498" s="51"/>
      <c r="I1498" s="50"/>
      <c r="J1498" s="50" t="str">
        <f>IF(I1498="","",_xlfn.XLOOKUP(TRIM(I1498),'SkillMasterSkill ID'!$C:$C,'SkillMasterSkill ID'!$F:$F,"NOT FOUND",0))</f>
        <v/>
      </c>
      <c r="K1498" s="50"/>
      <c r="L1498" s="50"/>
    </row>
    <row r="1499" spans="1:12" ht="16.5" thickBot="1" x14ac:dyDescent="0.3">
      <c r="A149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499" s="45"/>
      <c r="C1499" s="45"/>
      <c r="D1499" s="46"/>
      <c r="E1499" s="46" t="str">
        <f>IF(I1499="","",_xlfn.XLOOKUP(TRIM(I1499),'SkillMasterSkill ID'!$C:$C,'SkillMasterSkill ID'!$D:$D,"NOT FOUND",0))</f>
        <v/>
      </c>
      <c r="F1499" s="50"/>
      <c r="G1499" s="50"/>
      <c r="H1499" s="51"/>
      <c r="I1499" s="50"/>
      <c r="J1499" s="50" t="str">
        <f>IF(I1499="","",_xlfn.XLOOKUP(TRIM(I1499),'SkillMasterSkill ID'!$C:$C,'SkillMasterSkill ID'!$F:$F,"NOT FOUND",0))</f>
        <v/>
      </c>
      <c r="K1499" s="50"/>
      <c r="L1499" s="50"/>
    </row>
    <row r="1500" spans="1:12" ht="16.5" thickBot="1" x14ac:dyDescent="0.3">
      <c r="A150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00" s="45"/>
      <c r="C1500" s="45"/>
      <c r="D1500" s="46"/>
      <c r="E1500" s="46" t="str">
        <f>IF(I1500="","",_xlfn.XLOOKUP(TRIM(I1500),'SkillMasterSkill ID'!$C:$C,'SkillMasterSkill ID'!$D:$D,"NOT FOUND",0))</f>
        <v/>
      </c>
      <c r="F1500" s="50"/>
      <c r="G1500" s="50"/>
      <c r="H1500" s="51"/>
      <c r="I1500" s="50"/>
      <c r="J1500" s="50" t="str">
        <f>IF(I1500="","",_xlfn.XLOOKUP(TRIM(I1500),'SkillMasterSkill ID'!$C:$C,'SkillMasterSkill ID'!$F:$F,"NOT FOUND",0))</f>
        <v/>
      </c>
      <c r="K1500" s="50"/>
      <c r="L1500" s="50"/>
    </row>
    <row r="1501" spans="1:12" ht="16.5" thickBot="1" x14ac:dyDescent="0.3">
      <c r="A150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01" s="45"/>
      <c r="C1501" s="45"/>
      <c r="D1501" s="46"/>
      <c r="E1501" s="46" t="str">
        <f>IF(I1501="","",_xlfn.XLOOKUP(TRIM(I1501),'SkillMasterSkill ID'!$C:$C,'SkillMasterSkill ID'!$D:$D,"NOT FOUND",0))</f>
        <v/>
      </c>
      <c r="F1501" s="50"/>
      <c r="G1501" s="50"/>
      <c r="H1501" s="51"/>
      <c r="I1501" s="50"/>
      <c r="J1501" s="50" t="str">
        <f>IF(I1501="","",_xlfn.XLOOKUP(TRIM(I1501),'SkillMasterSkill ID'!$C:$C,'SkillMasterSkill ID'!$F:$F,"NOT FOUND",0))</f>
        <v/>
      </c>
      <c r="K1501" s="50"/>
      <c r="L1501" s="50"/>
    </row>
    <row r="1502" spans="1:12" ht="16.5" thickBot="1" x14ac:dyDescent="0.3">
      <c r="A150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02" s="45"/>
      <c r="C1502" s="45"/>
      <c r="D1502" s="46"/>
      <c r="E1502" s="46" t="str">
        <f>IF(I1502="","",_xlfn.XLOOKUP(TRIM(I1502),'SkillMasterSkill ID'!$C:$C,'SkillMasterSkill ID'!$D:$D,"NOT FOUND",0))</f>
        <v/>
      </c>
      <c r="F1502" s="50"/>
      <c r="G1502" s="50"/>
      <c r="H1502" s="51"/>
      <c r="I1502" s="50"/>
      <c r="J1502" s="50" t="str">
        <f>IF(I1502="","",_xlfn.XLOOKUP(TRIM(I1502),'SkillMasterSkill ID'!$C:$C,'SkillMasterSkill ID'!$F:$F,"NOT FOUND",0))</f>
        <v/>
      </c>
      <c r="K1502" s="50"/>
      <c r="L1502" s="50"/>
    </row>
    <row r="1503" spans="1:12" ht="16.5" thickBot="1" x14ac:dyDescent="0.3">
      <c r="A150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03" s="45"/>
      <c r="C1503" s="45"/>
      <c r="D1503" s="46"/>
      <c r="E1503" s="46" t="str">
        <f>IF(I1503="","",_xlfn.XLOOKUP(TRIM(I1503),'SkillMasterSkill ID'!$C:$C,'SkillMasterSkill ID'!$D:$D,"NOT FOUND",0))</f>
        <v/>
      </c>
      <c r="F1503" s="50"/>
      <c r="G1503" s="50"/>
      <c r="H1503" s="51"/>
      <c r="I1503" s="50"/>
      <c r="J1503" s="50" t="str">
        <f>IF(I1503="","",_xlfn.XLOOKUP(TRIM(I1503),'SkillMasterSkill ID'!$C:$C,'SkillMasterSkill ID'!$F:$F,"NOT FOUND",0))</f>
        <v/>
      </c>
      <c r="K1503" s="50"/>
      <c r="L1503" s="50"/>
    </row>
    <row r="1504" spans="1:12" ht="16.5" thickBot="1" x14ac:dyDescent="0.3">
      <c r="A150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04" s="45"/>
      <c r="C1504" s="45"/>
      <c r="D1504" s="46"/>
      <c r="E1504" s="46" t="str">
        <f>IF(I1504="","",_xlfn.XLOOKUP(TRIM(I1504),'SkillMasterSkill ID'!$C:$C,'SkillMasterSkill ID'!$D:$D,"NOT FOUND",0))</f>
        <v/>
      </c>
      <c r="F1504" s="50"/>
      <c r="G1504" s="50"/>
      <c r="H1504" s="51"/>
      <c r="I1504" s="50"/>
      <c r="J1504" s="50" t="str">
        <f>IF(I1504="","",_xlfn.XLOOKUP(TRIM(I1504),'SkillMasterSkill ID'!$C:$C,'SkillMasterSkill ID'!$F:$F,"NOT FOUND",0))</f>
        <v/>
      </c>
      <c r="K1504" s="50"/>
      <c r="L1504" s="50"/>
    </row>
    <row r="1505" spans="1:12" ht="16.5" thickBot="1" x14ac:dyDescent="0.3">
      <c r="A150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05" s="45"/>
      <c r="C1505" s="45"/>
      <c r="D1505" s="46"/>
      <c r="E1505" s="46" t="str">
        <f>IF(I1505="","",_xlfn.XLOOKUP(TRIM(I1505),'SkillMasterSkill ID'!$C:$C,'SkillMasterSkill ID'!$D:$D,"NOT FOUND",0))</f>
        <v/>
      </c>
      <c r="F1505" s="50"/>
      <c r="G1505" s="50"/>
      <c r="H1505" s="51"/>
      <c r="I1505" s="50"/>
      <c r="J1505" s="50" t="str">
        <f>IF(I1505="","",_xlfn.XLOOKUP(TRIM(I1505),'SkillMasterSkill ID'!$C:$C,'SkillMasterSkill ID'!$F:$F,"NOT FOUND",0))</f>
        <v/>
      </c>
      <c r="K1505" s="50"/>
      <c r="L1505" s="50"/>
    </row>
    <row r="1506" spans="1:12" ht="16.5" thickBot="1" x14ac:dyDescent="0.3">
      <c r="A150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06" s="45"/>
      <c r="C1506" s="45"/>
      <c r="D1506" s="46"/>
      <c r="E1506" s="46" t="str">
        <f>IF(I1506="","",_xlfn.XLOOKUP(TRIM(I1506),'SkillMasterSkill ID'!$C:$C,'SkillMasterSkill ID'!$D:$D,"NOT FOUND",0))</f>
        <v/>
      </c>
      <c r="F1506" s="50"/>
      <c r="G1506" s="50"/>
      <c r="H1506" s="51"/>
      <c r="I1506" s="50"/>
      <c r="J1506" s="50" t="str">
        <f>IF(I1506="","",_xlfn.XLOOKUP(TRIM(I1506),'SkillMasterSkill ID'!$C:$C,'SkillMasterSkill ID'!$F:$F,"NOT FOUND",0))</f>
        <v/>
      </c>
      <c r="K1506" s="50"/>
      <c r="L1506" s="50"/>
    </row>
    <row r="1507" spans="1:12" ht="16.5" thickBot="1" x14ac:dyDescent="0.3">
      <c r="A150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07" s="45"/>
      <c r="C1507" s="45"/>
      <c r="D1507" s="46"/>
      <c r="E1507" s="46" t="str">
        <f>IF(I1507="","",_xlfn.XLOOKUP(TRIM(I1507),'SkillMasterSkill ID'!$C:$C,'SkillMasterSkill ID'!$D:$D,"NOT FOUND",0))</f>
        <v/>
      </c>
      <c r="F1507" s="50"/>
      <c r="G1507" s="50"/>
      <c r="H1507" s="51"/>
      <c r="I1507" s="50"/>
      <c r="J1507" s="50" t="str">
        <f>IF(I1507="","",_xlfn.XLOOKUP(TRIM(I1507),'SkillMasterSkill ID'!$C:$C,'SkillMasterSkill ID'!$F:$F,"NOT FOUND",0))</f>
        <v/>
      </c>
      <c r="K1507" s="50"/>
      <c r="L1507" s="50"/>
    </row>
    <row r="1508" spans="1:12" ht="16.5" thickBot="1" x14ac:dyDescent="0.3">
      <c r="A150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08" s="45"/>
      <c r="C1508" s="45"/>
      <c r="D1508" s="46"/>
      <c r="E1508" s="46" t="str">
        <f>IF(I1508="","",_xlfn.XLOOKUP(TRIM(I1508),'SkillMasterSkill ID'!$C:$C,'SkillMasterSkill ID'!$D:$D,"NOT FOUND",0))</f>
        <v/>
      </c>
      <c r="F1508" s="50"/>
      <c r="G1508" s="50"/>
      <c r="H1508" s="51"/>
      <c r="I1508" s="50"/>
      <c r="J1508" s="50" t="str">
        <f>IF(I1508="","",_xlfn.XLOOKUP(TRIM(I1508),'SkillMasterSkill ID'!$C:$C,'SkillMasterSkill ID'!$F:$F,"NOT FOUND",0))</f>
        <v/>
      </c>
      <c r="K1508" s="50"/>
      <c r="L1508" s="50"/>
    </row>
    <row r="1509" spans="1:12" ht="16.5" thickBot="1" x14ac:dyDescent="0.3">
      <c r="A150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09" s="45"/>
      <c r="C1509" s="45"/>
      <c r="D1509" s="46"/>
      <c r="E1509" s="46" t="str">
        <f>IF(I1509="","",_xlfn.XLOOKUP(TRIM(I1509),'SkillMasterSkill ID'!$C:$C,'SkillMasterSkill ID'!$D:$D,"NOT FOUND",0))</f>
        <v/>
      </c>
      <c r="F1509" s="50"/>
      <c r="G1509" s="50"/>
      <c r="H1509" s="51"/>
      <c r="I1509" s="50"/>
      <c r="J1509" s="50" t="str">
        <f>IF(I1509="","",_xlfn.XLOOKUP(TRIM(I1509),'SkillMasterSkill ID'!$C:$C,'SkillMasterSkill ID'!$F:$F,"NOT FOUND",0))</f>
        <v/>
      </c>
      <c r="K1509" s="50"/>
      <c r="L1509" s="50"/>
    </row>
    <row r="1510" spans="1:12" ht="16.5" thickBot="1" x14ac:dyDescent="0.3">
      <c r="A151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10" s="45"/>
      <c r="C1510" s="45"/>
      <c r="D1510" s="46"/>
      <c r="E1510" s="46" t="str">
        <f>IF(I1510="","",_xlfn.XLOOKUP(TRIM(I1510),'SkillMasterSkill ID'!$C:$C,'SkillMasterSkill ID'!$D:$D,"NOT FOUND",0))</f>
        <v/>
      </c>
      <c r="F1510" s="50"/>
      <c r="G1510" s="50"/>
      <c r="H1510" s="51"/>
      <c r="I1510" s="50"/>
      <c r="J1510" s="50" t="str">
        <f>IF(I1510="","",_xlfn.XLOOKUP(TRIM(I1510),'SkillMasterSkill ID'!$C:$C,'SkillMasterSkill ID'!$F:$F,"NOT FOUND",0))</f>
        <v/>
      </c>
      <c r="K1510" s="50"/>
      <c r="L1510" s="50"/>
    </row>
    <row r="1511" spans="1:12" ht="16.5" thickBot="1" x14ac:dyDescent="0.3">
      <c r="A151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11" s="45"/>
      <c r="C1511" s="45"/>
      <c r="D1511" s="46"/>
      <c r="E1511" s="46" t="str">
        <f>IF(I1511="","",_xlfn.XLOOKUP(TRIM(I1511),'SkillMasterSkill ID'!$C:$C,'SkillMasterSkill ID'!$D:$D,"NOT FOUND",0))</f>
        <v/>
      </c>
      <c r="F1511" s="50"/>
      <c r="G1511" s="50"/>
      <c r="H1511" s="51"/>
      <c r="I1511" s="50"/>
      <c r="J1511" s="50" t="str">
        <f>IF(I1511="","",_xlfn.XLOOKUP(TRIM(I1511),'SkillMasterSkill ID'!$C:$C,'SkillMasterSkill ID'!$F:$F,"NOT FOUND",0))</f>
        <v/>
      </c>
      <c r="K1511" s="50"/>
      <c r="L1511" s="50"/>
    </row>
    <row r="1512" spans="1:12" ht="16.5" thickBot="1" x14ac:dyDescent="0.3">
      <c r="A151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12" s="45"/>
      <c r="C1512" s="45"/>
      <c r="D1512" s="46"/>
      <c r="E1512" s="46" t="str">
        <f>IF(I1512="","",_xlfn.XLOOKUP(TRIM(I1512),'SkillMasterSkill ID'!$C:$C,'SkillMasterSkill ID'!$D:$D,"NOT FOUND",0))</f>
        <v/>
      </c>
      <c r="F1512" s="50"/>
      <c r="G1512" s="50"/>
      <c r="H1512" s="51"/>
      <c r="I1512" s="50"/>
      <c r="J1512" s="50" t="str">
        <f>IF(I1512="","",_xlfn.XLOOKUP(TRIM(I1512),'SkillMasterSkill ID'!$C:$C,'SkillMasterSkill ID'!$F:$F,"NOT FOUND",0))</f>
        <v/>
      </c>
      <c r="K1512" s="50"/>
      <c r="L1512" s="50"/>
    </row>
    <row r="1513" spans="1:12" ht="16.5" thickBot="1" x14ac:dyDescent="0.3">
      <c r="A151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13" s="45"/>
      <c r="C1513" s="45"/>
      <c r="D1513" s="46"/>
      <c r="E1513" s="46" t="str">
        <f>IF(I1513="","",_xlfn.XLOOKUP(TRIM(I1513),'SkillMasterSkill ID'!$C:$C,'SkillMasterSkill ID'!$D:$D,"NOT FOUND",0))</f>
        <v/>
      </c>
      <c r="F1513" s="50"/>
      <c r="G1513" s="50"/>
      <c r="H1513" s="51"/>
      <c r="I1513" s="50"/>
      <c r="J1513" s="50" t="str">
        <f>IF(I1513="","",_xlfn.XLOOKUP(TRIM(I1513),'SkillMasterSkill ID'!$C:$C,'SkillMasterSkill ID'!$F:$F,"NOT FOUND",0))</f>
        <v/>
      </c>
      <c r="K1513" s="50"/>
      <c r="L1513" s="50"/>
    </row>
    <row r="1514" spans="1:12" ht="16.5" thickBot="1" x14ac:dyDescent="0.3">
      <c r="A151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14" s="45"/>
      <c r="C1514" s="45"/>
      <c r="D1514" s="46"/>
      <c r="E1514" s="46" t="str">
        <f>IF(I1514="","",_xlfn.XLOOKUP(TRIM(I1514),'SkillMasterSkill ID'!$C:$C,'SkillMasterSkill ID'!$D:$D,"NOT FOUND",0))</f>
        <v/>
      </c>
      <c r="F1514" s="50"/>
      <c r="G1514" s="50"/>
      <c r="H1514" s="51"/>
      <c r="I1514" s="50"/>
      <c r="J1514" s="50" t="str">
        <f>IF(I1514="","",_xlfn.XLOOKUP(TRIM(I1514),'SkillMasterSkill ID'!$C:$C,'SkillMasterSkill ID'!$F:$F,"NOT FOUND",0))</f>
        <v/>
      </c>
      <c r="K1514" s="50"/>
      <c r="L1514" s="50"/>
    </row>
    <row r="1515" spans="1:12" ht="16.5" thickBot="1" x14ac:dyDescent="0.3">
      <c r="A151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15" s="45"/>
      <c r="C1515" s="45"/>
      <c r="D1515" s="46"/>
      <c r="E1515" s="46" t="str">
        <f>IF(I1515="","",_xlfn.XLOOKUP(TRIM(I1515),'SkillMasterSkill ID'!$C:$C,'SkillMasterSkill ID'!$D:$D,"NOT FOUND",0))</f>
        <v/>
      </c>
      <c r="F1515" s="50"/>
      <c r="G1515" s="50"/>
      <c r="H1515" s="51"/>
      <c r="I1515" s="50"/>
      <c r="J1515" s="50" t="str">
        <f>IF(I1515="","",_xlfn.XLOOKUP(TRIM(I1515),'SkillMasterSkill ID'!$C:$C,'SkillMasterSkill ID'!$F:$F,"NOT FOUND",0))</f>
        <v/>
      </c>
      <c r="K1515" s="50"/>
      <c r="L1515" s="50"/>
    </row>
    <row r="1516" spans="1:12" ht="16.5" thickBot="1" x14ac:dyDescent="0.3">
      <c r="A151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16" s="45"/>
      <c r="C1516" s="45"/>
      <c r="D1516" s="46"/>
      <c r="E1516" s="46" t="str">
        <f>IF(I1516="","",_xlfn.XLOOKUP(TRIM(I1516),'SkillMasterSkill ID'!$C:$C,'SkillMasterSkill ID'!$D:$D,"NOT FOUND",0))</f>
        <v/>
      </c>
      <c r="F1516" s="50"/>
      <c r="G1516" s="50"/>
      <c r="H1516" s="51"/>
      <c r="I1516" s="50"/>
      <c r="J1516" s="50" t="str">
        <f>IF(I1516="","",_xlfn.XLOOKUP(TRIM(I1516),'SkillMasterSkill ID'!$C:$C,'SkillMasterSkill ID'!$F:$F,"NOT FOUND",0))</f>
        <v/>
      </c>
      <c r="K1516" s="50"/>
      <c r="L1516" s="50"/>
    </row>
    <row r="1517" spans="1:12" ht="16.5" thickBot="1" x14ac:dyDescent="0.3">
      <c r="A151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17" s="45"/>
      <c r="C1517" s="45"/>
      <c r="D1517" s="46"/>
      <c r="E1517" s="46" t="str">
        <f>IF(I1517="","",_xlfn.XLOOKUP(TRIM(I1517),'SkillMasterSkill ID'!$C:$C,'SkillMasterSkill ID'!$D:$D,"NOT FOUND",0))</f>
        <v/>
      </c>
      <c r="F1517" s="50"/>
      <c r="G1517" s="50"/>
      <c r="H1517" s="51"/>
      <c r="I1517" s="50"/>
      <c r="J1517" s="50" t="str">
        <f>IF(I1517="","",_xlfn.XLOOKUP(TRIM(I1517),'SkillMasterSkill ID'!$C:$C,'SkillMasterSkill ID'!$F:$F,"NOT FOUND",0))</f>
        <v/>
      </c>
      <c r="K1517" s="50"/>
      <c r="L1517" s="50"/>
    </row>
    <row r="1518" spans="1:12" ht="16.5" thickBot="1" x14ac:dyDescent="0.3">
      <c r="A151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18" s="45"/>
      <c r="C1518" s="45"/>
      <c r="D1518" s="46"/>
      <c r="E1518" s="46" t="str">
        <f>IF(I1518="","",_xlfn.XLOOKUP(TRIM(I1518),'SkillMasterSkill ID'!$C:$C,'SkillMasterSkill ID'!$D:$D,"NOT FOUND",0))</f>
        <v/>
      </c>
      <c r="F1518" s="50"/>
      <c r="G1518" s="50"/>
      <c r="H1518" s="51"/>
      <c r="I1518" s="50"/>
      <c r="J1518" s="50" t="str">
        <f>IF(I1518="","",_xlfn.XLOOKUP(TRIM(I1518),'SkillMasterSkill ID'!$C:$C,'SkillMasterSkill ID'!$F:$F,"NOT FOUND",0))</f>
        <v/>
      </c>
      <c r="K1518" s="50"/>
      <c r="L1518" s="50"/>
    </row>
    <row r="1519" spans="1:12" ht="16.5" thickBot="1" x14ac:dyDescent="0.3">
      <c r="A151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19" s="45"/>
      <c r="C1519" s="45"/>
      <c r="D1519" s="46"/>
      <c r="E1519" s="46" t="str">
        <f>IF(I1519="","",_xlfn.XLOOKUP(TRIM(I1519),'SkillMasterSkill ID'!$C:$C,'SkillMasterSkill ID'!$D:$D,"NOT FOUND",0))</f>
        <v/>
      </c>
      <c r="F1519" s="50"/>
      <c r="G1519" s="50"/>
      <c r="H1519" s="51"/>
      <c r="I1519" s="50"/>
      <c r="J1519" s="50" t="str">
        <f>IF(I1519="","",_xlfn.XLOOKUP(TRIM(I1519),'SkillMasterSkill ID'!$C:$C,'SkillMasterSkill ID'!$F:$F,"NOT FOUND",0))</f>
        <v/>
      </c>
      <c r="K1519" s="50"/>
      <c r="L1519" s="50"/>
    </row>
    <row r="1520" spans="1:12" ht="16.5" thickBot="1" x14ac:dyDescent="0.3">
      <c r="A152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20" s="45"/>
      <c r="C1520" s="45"/>
      <c r="D1520" s="46"/>
      <c r="E1520" s="46" t="str">
        <f>IF(I1520="","",_xlfn.XLOOKUP(TRIM(I1520),'SkillMasterSkill ID'!$C:$C,'SkillMasterSkill ID'!$D:$D,"NOT FOUND",0))</f>
        <v/>
      </c>
      <c r="F1520" s="50"/>
      <c r="G1520" s="50"/>
      <c r="H1520" s="51"/>
      <c r="I1520" s="50"/>
      <c r="J1520" s="50" t="str">
        <f>IF(I1520="","",_xlfn.XLOOKUP(TRIM(I1520),'SkillMasterSkill ID'!$C:$C,'SkillMasterSkill ID'!$F:$F,"NOT FOUND",0))</f>
        <v/>
      </c>
      <c r="K1520" s="50"/>
      <c r="L1520" s="50"/>
    </row>
    <row r="1521" spans="1:12" ht="16.5" thickBot="1" x14ac:dyDescent="0.3">
      <c r="A152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21" s="45"/>
      <c r="C1521" s="45"/>
      <c r="D1521" s="46"/>
      <c r="E1521" s="46" t="str">
        <f>IF(I1521="","",_xlfn.XLOOKUP(TRIM(I1521),'SkillMasterSkill ID'!$C:$C,'SkillMasterSkill ID'!$D:$D,"NOT FOUND",0))</f>
        <v/>
      </c>
      <c r="F1521" s="50"/>
      <c r="G1521" s="50"/>
      <c r="H1521" s="51"/>
      <c r="I1521" s="50"/>
      <c r="J1521" s="50" t="str">
        <f>IF(I1521="","",_xlfn.XLOOKUP(TRIM(I1521),'SkillMasterSkill ID'!$C:$C,'SkillMasterSkill ID'!$F:$F,"NOT FOUND",0))</f>
        <v/>
      </c>
      <c r="K1521" s="50"/>
      <c r="L1521" s="50"/>
    </row>
    <row r="1522" spans="1:12" ht="16.5" thickBot="1" x14ac:dyDescent="0.3">
      <c r="A1522"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22" s="45"/>
      <c r="C1522" s="45"/>
      <c r="D1522" s="46"/>
      <c r="E1522" s="46" t="str">
        <f>IF(I1522="","",_xlfn.XLOOKUP(TRIM(I1522),'SkillMasterSkill ID'!$C:$C,'SkillMasterSkill ID'!$D:$D,"NOT FOUND",0))</f>
        <v/>
      </c>
      <c r="F1522" s="50"/>
      <c r="G1522" s="50"/>
      <c r="H1522" s="51"/>
      <c r="I1522" s="50"/>
      <c r="J1522" s="50" t="str">
        <f>IF(I1522="","",_xlfn.XLOOKUP(TRIM(I1522),'SkillMasterSkill ID'!$C:$C,'SkillMasterSkill ID'!$F:$F,"NOT FOUND",0))</f>
        <v/>
      </c>
      <c r="K1522" s="50"/>
      <c r="L1522" s="50"/>
    </row>
    <row r="1523" spans="1:12" ht="16.5" thickBot="1" x14ac:dyDescent="0.3">
      <c r="A1523"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23" s="45"/>
      <c r="C1523" s="45"/>
      <c r="D1523" s="46"/>
      <c r="E1523" s="46" t="str">
        <f>IF(I1523="","",_xlfn.XLOOKUP(TRIM(I1523),'SkillMasterSkill ID'!$C:$C,'SkillMasterSkill ID'!$D:$D,"NOT FOUND",0))</f>
        <v/>
      </c>
      <c r="F1523" s="50"/>
      <c r="G1523" s="50"/>
      <c r="H1523" s="51"/>
      <c r="I1523" s="50"/>
      <c r="J1523" s="50" t="str">
        <f>IF(I1523="","",_xlfn.XLOOKUP(TRIM(I1523),'SkillMasterSkill ID'!$C:$C,'SkillMasterSkill ID'!$F:$F,"NOT FOUND",0))</f>
        <v/>
      </c>
      <c r="K1523" s="50"/>
      <c r="L1523" s="50"/>
    </row>
    <row r="1524" spans="1:12" ht="16.5" thickBot="1" x14ac:dyDescent="0.3">
      <c r="A1524"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24" s="45"/>
      <c r="C1524" s="45"/>
      <c r="D1524" s="46"/>
      <c r="E1524" s="46" t="str">
        <f>IF(I1524="","",_xlfn.XLOOKUP(TRIM(I1524),'SkillMasterSkill ID'!$C:$C,'SkillMasterSkill ID'!$D:$D,"NOT FOUND",0))</f>
        <v/>
      </c>
      <c r="F1524" s="50"/>
      <c r="G1524" s="50"/>
      <c r="H1524" s="51"/>
      <c r="I1524" s="50"/>
      <c r="J1524" s="50" t="str">
        <f>IF(I1524="","",_xlfn.XLOOKUP(TRIM(I1524),'SkillMasterSkill ID'!$C:$C,'SkillMasterSkill ID'!$F:$F,"NOT FOUND",0))</f>
        <v/>
      </c>
      <c r="K1524" s="50"/>
      <c r="L1524" s="50"/>
    </row>
    <row r="1525" spans="1:12" ht="16.5" thickBot="1" x14ac:dyDescent="0.3">
      <c r="A152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25" s="45"/>
      <c r="C1525" s="45"/>
      <c r="D1525" s="46"/>
      <c r="E1525" s="46" t="str">
        <f>IF(I1525="","",_xlfn.XLOOKUP(TRIM(I1525),'SkillMasterSkill ID'!$C:$C,'SkillMasterSkill ID'!$D:$D,"NOT FOUND",0))</f>
        <v/>
      </c>
      <c r="F1525" s="50"/>
      <c r="G1525" s="50"/>
      <c r="H1525" s="51"/>
      <c r="I1525" s="50"/>
      <c r="J1525" s="50" t="str">
        <f>IF(I1525="","",_xlfn.XLOOKUP(TRIM(I1525),'SkillMasterSkill ID'!$C:$C,'SkillMasterSkill ID'!$F:$F,"NOT FOUND",0))</f>
        <v/>
      </c>
      <c r="K1525" s="50"/>
      <c r="L1525" s="50"/>
    </row>
    <row r="1526" spans="1:12" ht="16.5" thickBot="1" x14ac:dyDescent="0.3">
      <c r="A1526"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26" s="45"/>
      <c r="C1526" s="45"/>
      <c r="D1526" s="46"/>
      <c r="E1526" s="46" t="str">
        <f>IF(I1526="","",_xlfn.XLOOKUP(TRIM(I1526),'SkillMasterSkill ID'!$C:$C,'SkillMasterSkill ID'!$D:$D,"NOT FOUND",0))</f>
        <v/>
      </c>
      <c r="F1526" s="50"/>
      <c r="G1526" s="50"/>
      <c r="H1526" s="51"/>
      <c r="I1526" s="50"/>
      <c r="J1526" s="50" t="str">
        <f>IF(I1526="","",_xlfn.XLOOKUP(TRIM(I1526),'SkillMasterSkill ID'!$C:$C,'SkillMasterSkill ID'!$F:$F,"NOT FOUND",0))</f>
        <v/>
      </c>
      <c r="K1526" s="50"/>
      <c r="L1526" s="50"/>
    </row>
    <row r="1527" spans="1:12" ht="16.5" thickBot="1" x14ac:dyDescent="0.3">
      <c r="A1527"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27" s="45"/>
      <c r="C1527" s="45"/>
      <c r="D1527" s="46"/>
      <c r="E1527" s="46" t="str">
        <f>IF(I1527="","",_xlfn.XLOOKUP(TRIM(I1527),'SkillMasterSkill ID'!$C:$C,'SkillMasterSkill ID'!$D:$D,"NOT FOUND",0))</f>
        <v/>
      </c>
      <c r="F1527" s="50"/>
      <c r="G1527" s="50"/>
      <c r="H1527" s="51"/>
      <c r="I1527" s="50"/>
      <c r="J1527" s="50" t="str">
        <f>IF(I1527="","",_xlfn.XLOOKUP(TRIM(I1527),'SkillMasterSkill ID'!$C:$C,'SkillMasterSkill ID'!$F:$F,"NOT FOUND",0))</f>
        <v/>
      </c>
      <c r="K1527" s="50"/>
      <c r="L1527" s="50"/>
    </row>
    <row r="1528" spans="1:12" ht="16.5" thickBot="1" x14ac:dyDescent="0.3">
      <c r="A1528"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28" s="45"/>
      <c r="C1528" s="45"/>
      <c r="D1528" s="46"/>
      <c r="E1528" s="46" t="str">
        <f>IF(I1528="","",_xlfn.XLOOKUP(TRIM(I1528),'SkillMasterSkill ID'!$C:$C,'SkillMasterSkill ID'!$D:$D,"NOT FOUND",0))</f>
        <v/>
      </c>
      <c r="F1528" s="50"/>
      <c r="G1528" s="50"/>
      <c r="H1528" s="51"/>
      <c r="I1528" s="50"/>
      <c r="J1528" s="50" t="str">
        <f>IF(I1528="","",_xlfn.XLOOKUP(TRIM(I1528),'SkillMasterSkill ID'!$C:$C,'SkillMasterSkill ID'!$F:$F,"NOT FOUND",0))</f>
        <v/>
      </c>
      <c r="K1528" s="50"/>
      <c r="L1528" s="50"/>
    </row>
    <row r="1529" spans="1:12" ht="16.5" thickBot="1" x14ac:dyDescent="0.3">
      <c r="A1529"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29" s="45"/>
      <c r="C1529" s="45"/>
      <c r="D1529" s="46"/>
      <c r="E1529" s="46" t="str">
        <f>IF(I1529="","",_xlfn.XLOOKUP(TRIM(I1529),'SkillMasterSkill ID'!$C:$C,'SkillMasterSkill ID'!$D:$D,"NOT FOUND",0))</f>
        <v/>
      </c>
      <c r="F1529" s="50"/>
      <c r="G1529" s="50"/>
      <c r="H1529" s="51"/>
      <c r="I1529" s="50"/>
      <c r="J1529" s="50" t="str">
        <f>IF(I1529="","",_xlfn.XLOOKUP(TRIM(I1529),'SkillMasterSkill ID'!$C:$C,'SkillMasterSkill ID'!$F:$F,"NOT FOUND",0))</f>
        <v/>
      </c>
      <c r="K1529" s="50"/>
      <c r="L1529" s="50"/>
    </row>
    <row r="1530" spans="1:12" ht="16.5" thickBot="1" x14ac:dyDescent="0.3">
      <c r="A1530"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30" s="45"/>
      <c r="C1530" s="45"/>
      <c r="D1530" s="46"/>
      <c r="E1530" s="46" t="str">
        <f>IF(I1530="","",_xlfn.XLOOKUP(TRIM(I1530),'SkillMasterSkill ID'!$C:$C,'SkillMasterSkill ID'!$D:$D,"NOT FOUND",0))</f>
        <v/>
      </c>
      <c r="F1530" s="50"/>
      <c r="G1530" s="50"/>
      <c r="H1530" s="51"/>
      <c r="I1530" s="50"/>
      <c r="J1530" s="50" t="str">
        <f>IF(I1530="","",_xlfn.XLOOKUP(TRIM(I1530),'SkillMasterSkill ID'!$C:$C,'SkillMasterSkill ID'!$F:$F,"NOT FOUND",0))</f>
        <v/>
      </c>
      <c r="K1530" s="50"/>
      <c r="L1530" s="50"/>
    </row>
    <row r="1531" spans="1:12" ht="16.5" thickBot="1" x14ac:dyDescent="0.3">
      <c r="A1531"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
      </c>
      <c r="B1531" s="45"/>
      <c r="C1531" s="45"/>
      <c r="D1531" s="46"/>
      <c r="E1531" s="46" t="str">
        <f>IF(I1531="","",_xlfn.XLOOKUP(TRIM(I1531),'SkillMasterSkill ID'!$C:$C,'SkillMasterSkill ID'!$D:$D,"NOT FOUND",0))</f>
        <v/>
      </c>
      <c r="F1531" s="50"/>
      <c r="G1531" s="50"/>
      <c r="H1531" s="51"/>
      <c r="I1531" s="50"/>
      <c r="J1531" s="50" t="str">
        <f>IF(I1531="","",_xlfn.XLOOKUP(TRIM(I1531),'SkillMasterSkill ID'!$C:$C,'SkillMasterSkill ID'!$F:$F,"NOT FOUND",0))</f>
        <v/>
      </c>
      <c r="K1531" s="50"/>
      <c r="L1531" s="50"/>
    </row>
    <row r="1532" spans="1:12" ht="16.5" thickBot="1" x14ac:dyDescent="0.3">
      <c r="A1532" s="48" t="str">
        <f>IF(I1532="","",_xlfn.XLOOKUP(TRIM(I1532),'SkillMasterSkill ID'!$C:$C,'SkillMasterSkill ID'!$B:$B,"NOT FOUND",0))</f>
        <v>NOT FOUND</v>
      </c>
      <c r="B1532" s="62">
        <v>10811</v>
      </c>
      <c r="C1532" s="62" t="s">
        <v>1725</v>
      </c>
      <c r="D1532" s="50"/>
      <c r="E1532" t="s">
        <v>1614</v>
      </c>
      <c r="F1532" s="46" t="str">
        <f>IF(I1532="","",IF(_xlfn.XLOOKUP(TRIM(I1532),'SkillMasterSkill ID'!$C:$C,'SkillMasterSkill ID'!$E:$E,"")=0,"",_xlfn.XLOOKUP(TRIM(I1532),'SkillMasterSkill ID'!$C:$C,'SkillMasterSkill ID'!$E:$E,"")))</f>
        <v/>
      </c>
      <c r="G1532" t="s">
        <v>1770</v>
      </c>
      <c r="H1532" t="s">
        <v>1773</v>
      </c>
      <c r="I1532" t="s">
        <v>1774</v>
      </c>
      <c r="J1532" s="50" t="str">
        <f>IF(I1532="","",_xlfn.XLOOKUP(TRIM(I1532),'SkillMasterSkill ID'!$C:$C,'SkillMasterSkill ID'!$F:$F,"NOT FOUND",0))</f>
        <v>NOT FOUND</v>
      </c>
      <c r="K1532" s="50"/>
      <c r="L1532" s="50"/>
    </row>
    <row r="1533" spans="1:12" ht="16.5" thickBot="1" x14ac:dyDescent="0.3">
      <c r="A1533" s="48" t="str">
        <f>IF(I1533="","",_xlfn.XLOOKUP(TRIM(I1533),'SkillMasterSkill ID'!$C:$C,'SkillMasterSkill ID'!$B:$B,"NOT FOUND",0))</f>
        <v>NOT FOUND</v>
      </c>
      <c r="B1533" s="62">
        <v>10811</v>
      </c>
      <c r="C1533" s="62" t="s">
        <v>1725</v>
      </c>
      <c r="D1533" s="50"/>
      <c r="E1533" t="s">
        <v>1633</v>
      </c>
      <c r="F1533" s="46" t="str">
        <f>IF(I1533="","",IF(_xlfn.XLOOKUP(TRIM(I1533),'SkillMasterSkill ID'!$C:$C,'SkillMasterSkill ID'!$E:$E,"")=0,"",_xlfn.XLOOKUP(TRIM(I1533),'SkillMasterSkill ID'!$C:$C,'SkillMasterSkill ID'!$E:$E,"")))</f>
        <v/>
      </c>
      <c r="G1533" t="s">
        <v>1770</v>
      </c>
      <c r="H1533" t="s">
        <v>1771</v>
      </c>
      <c r="I1533" t="s">
        <v>1772</v>
      </c>
      <c r="J1533" s="50" t="str">
        <f>IF(I1533="","",_xlfn.XLOOKUP(TRIM(I1533),'SkillMasterSkill ID'!$C:$C,'SkillMasterSkill ID'!$F:$F,"NOT FOUND",0))</f>
        <v>NOT FOUND</v>
      </c>
      <c r="K1533" s="50"/>
      <c r="L1533" s="50"/>
    </row>
    <row r="1534" spans="1:12" ht="16.5" thickBot="1" x14ac:dyDescent="0.3">
      <c r="A1534" s="48" t="str">
        <f>IF(I1534="","",_xlfn.XLOOKUP(TRIM(I1534),'SkillMasterSkill ID'!$C:$C,'SkillMasterSkill ID'!$B:$B,"NOT FOUND",0))</f>
        <v>NOT FOUND</v>
      </c>
      <c r="B1534" s="62">
        <v>10811</v>
      </c>
      <c r="C1534" s="62" t="s">
        <v>1725</v>
      </c>
      <c r="D1534" s="50"/>
      <c r="E1534" t="s">
        <v>1754</v>
      </c>
      <c r="F1534" s="46" t="str">
        <f>IF(I1534="","",IF(_xlfn.XLOOKUP(TRIM(I1534),'SkillMasterSkill ID'!$C:$C,'SkillMasterSkill ID'!$E:$E,"")=0,"",_xlfn.XLOOKUP(TRIM(I1534),'SkillMasterSkill ID'!$C:$C,'SkillMasterSkill ID'!$E:$E,"")))</f>
        <v/>
      </c>
      <c r="G1534" t="s">
        <v>1753</v>
      </c>
      <c r="H1534" t="s">
        <v>1759</v>
      </c>
      <c r="I1534" t="s">
        <v>1760</v>
      </c>
      <c r="J1534" s="50" t="str">
        <f>IF(I1534="","",_xlfn.XLOOKUP(TRIM(I1534),'SkillMasterSkill ID'!$C:$C,'SkillMasterSkill ID'!$F:$F,"NOT FOUND",0))</f>
        <v>NOT FOUND</v>
      </c>
      <c r="K1534" s="50"/>
      <c r="L1534" s="50"/>
    </row>
    <row r="1535" spans="1:12" ht="16.5" thickBot="1" x14ac:dyDescent="0.3">
      <c r="A1535" s="48" t="str">
        <f>IF(I1535="","",_xlfn.XLOOKUP(TRIM(I1535),'SkillMasterSkill ID'!$C:$C,'SkillMasterSkill ID'!$B:$B,"NOT FOUND",0))</f>
        <v>NOT FOUND</v>
      </c>
      <c r="B1535" s="62">
        <v>10811</v>
      </c>
      <c r="C1535" s="62" t="s">
        <v>1725</v>
      </c>
      <c r="D1535" s="50"/>
      <c r="E1535" t="s">
        <v>1643</v>
      </c>
      <c r="F1535" s="46" t="str">
        <f>IF(I1535="","",IF(_xlfn.XLOOKUP(TRIM(I1535),'SkillMasterSkill ID'!$C:$C,'SkillMasterSkill ID'!$E:$E,"")=0,"",_xlfn.XLOOKUP(TRIM(I1535),'SkillMasterSkill ID'!$C:$C,'SkillMasterSkill ID'!$E:$E,"")))</f>
        <v/>
      </c>
      <c r="G1535" t="s">
        <v>1763</v>
      </c>
      <c r="H1535" t="s">
        <v>1768</v>
      </c>
      <c r="I1535" t="s">
        <v>1769</v>
      </c>
      <c r="J1535" s="50" t="str">
        <f>IF(I1535="","",_xlfn.XLOOKUP(TRIM(I1535),'SkillMasterSkill ID'!$C:$C,'SkillMasterSkill ID'!$F:$F,"NOT FOUND",0))</f>
        <v>NOT FOUND</v>
      </c>
      <c r="K1535" s="50"/>
      <c r="L1535" s="50"/>
    </row>
    <row r="1536" spans="1:12" ht="16.5" thickBot="1" x14ac:dyDescent="0.3">
      <c r="A1536" s="48" t="str">
        <f>IF(I1536="","",_xlfn.XLOOKUP(TRIM(I1536),'SkillMasterSkill ID'!$C:$C,'SkillMasterSkill ID'!$B:$B,"NOT FOUND",0))</f>
        <v>NOT FOUND</v>
      </c>
      <c r="B1536" s="62">
        <v>10811</v>
      </c>
      <c r="C1536" s="62" t="s">
        <v>1725</v>
      </c>
      <c r="D1536" s="50"/>
      <c r="E1536" t="s">
        <v>1754</v>
      </c>
      <c r="F1536" s="46" t="str">
        <f>IF(I1536="","",IF(_xlfn.XLOOKUP(TRIM(I1536),'SkillMasterSkill ID'!$C:$C,'SkillMasterSkill ID'!$E:$E,"")=0,"",_xlfn.XLOOKUP(TRIM(I1536),'SkillMasterSkill ID'!$C:$C,'SkillMasterSkill ID'!$E:$E,"")))</f>
        <v/>
      </c>
      <c r="G1536" t="s">
        <v>1753</v>
      </c>
      <c r="H1536" t="s">
        <v>1761</v>
      </c>
      <c r="I1536" t="s">
        <v>1762</v>
      </c>
      <c r="J1536" s="50" t="str">
        <f>IF(I1536="","",_xlfn.XLOOKUP(TRIM(I1536),'SkillMasterSkill ID'!$C:$C,'SkillMasterSkill ID'!$F:$F,"NOT FOUND",0))</f>
        <v>NOT FOUND</v>
      </c>
      <c r="K1536" s="50"/>
      <c r="L1536" s="50"/>
    </row>
    <row r="1537" spans="1:12" ht="16.5" thickBot="1" x14ac:dyDescent="0.3">
      <c r="A1537" s="48" t="str">
        <f>IF(I1537="","",_xlfn.XLOOKUP(TRIM(I1537),'SkillMasterSkill ID'!$C:$C,'SkillMasterSkill ID'!$B:$B,"NOT FOUND",0))</f>
        <v>NOT FOUND</v>
      </c>
      <c r="B1537" s="62">
        <v>10811</v>
      </c>
      <c r="C1537" s="62" t="s">
        <v>1725</v>
      </c>
      <c r="D1537" s="50"/>
      <c r="E1537" t="s">
        <v>1633</v>
      </c>
      <c r="F1537" s="46" t="str">
        <f>IF(I1537="","",IF(_xlfn.XLOOKUP(TRIM(I1537),'SkillMasterSkill ID'!$C:$C,'SkillMasterSkill ID'!$E:$E,"")=0,"",_xlfn.XLOOKUP(TRIM(I1537),'SkillMasterSkill ID'!$C:$C,'SkillMasterSkill ID'!$E:$E,"")))</f>
        <v/>
      </c>
      <c r="G1537" t="s">
        <v>1770</v>
      </c>
      <c r="H1537" t="s">
        <v>1776</v>
      </c>
      <c r="I1537" t="s">
        <v>1777</v>
      </c>
      <c r="J1537" s="50" t="str">
        <f>IF(I1537="","",_xlfn.XLOOKUP(TRIM(I1537),'SkillMasterSkill ID'!$C:$C,'SkillMasterSkill ID'!$F:$F,"NOT FOUND",0))</f>
        <v>NOT FOUND</v>
      </c>
      <c r="K1537" s="50"/>
      <c r="L1537" s="50"/>
    </row>
    <row r="1538" spans="1:12" ht="16.5" thickBot="1" x14ac:dyDescent="0.3">
      <c r="A1538" s="48" t="str">
        <f>IF(I1538="","",_xlfn.XLOOKUP(TRIM(I1538),'SkillMasterSkill ID'!$C:$C,'SkillMasterSkill ID'!$B:$B,"NOT FOUND",0))</f>
        <v>NOT FOUND</v>
      </c>
      <c r="B1538" s="62">
        <v>10811</v>
      </c>
      <c r="C1538" s="62" t="s">
        <v>1725</v>
      </c>
      <c r="D1538" s="50"/>
      <c r="E1538" t="s">
        <v>1606</v>
      </c>
      <c r="F1538" s="46" t="str">
        <f>IF(I1538="","",IF(_xlfn.XLOOKUP(TRIM(I1538),'SkillMasterSkill ID'!$C:$C,'SkillMasterSkill ID'!$E:$E,"")=0,"",_xlfn.XLOOKUP(TRIM(I1538),'SkillMasterSkill ID'!$C:$C,'SkillMasterSkill ID'!$E:$E,"")))</f>
        <v/>
      </c>
      <c r="G1538" t="s">
        <v>1744</v>
      </c>
      <c r="H1538" t="s">
        <v>1748</v>
      </c>
      <c r="I1538" t="s">
        <v>1749</v>
      </c>
      <c r="J1538" s="50" t="str">
        <f>IF(I1538="","",_xlfn.XLOOKUP(TRIM(I1538),'SkillMasterSkill ID'!$C:$C,'SkillMasterSkill ID'!$F:$F,"NOT FOUND",0))</f>
        <v>NOT FOUND</v>
      </c>
      <c r="K1538" s="50"/>
      <c r="L1538" s="50"/>
    </row>
    <row r="1539" spans="1:12" ht="16.5" thickBot="1" x14ac:dyDescent="0.3">
      <c r="A1539" s="48" t="str">
        <f>IF(I1539="","",_xlfn.XLOOKUP(TRIM(I1539),'SkillMasterSkill ID'!$C:$C,'SkillMasterSkill ID'!$B:$B,"NOT FOUND",0))</f>
        <v>NOT FOUND</v>
      </c>
      <c r="B1539" s="62">
        <v>10811</v>
      </c>
      <c r="C1539" s="62" t="s">
        <v>1725</v>
      </c>
      <c r="D1539" s="50"/>
      <c r="E1539" t="s">
        <v>1754</v>
      </c>
      <c r="F1539" s="46" t="str">
        <f>IF(I1539="","",IF(_xlfn.XLOOKUP(TRIM(I1539),'SkillMasterSkill ID'!$C:$C,'SkillMasterSkill ID'!$E:$E,"")=0,"",_xlfn.XLOOKUP(TRIM(I1539),'SkillMasterSkill ID'!$C:$C,'SkillMasterSkill ID'!$E:$E,"")))</f>
        <v/>
      </c>
      <c r="G1539" t="s">
        <v>1753</v>
      </c>
      <c r="H1539" t="s">
        <v>1756</v>
      </c>
      <c r="I1539" t="s">
        <v>1757</v>
      </c>
      <c r="J1539" s="50" t="str">
        <f>IF(I1539="","",_xlfn.XLOOKUP(TRIM(I1539),'SkillMasterSkill ID'!$C:$C,'SkillMasterSkill ID'!$F:$F,"NOT FOUND",0))</f>
        <v>NOT FOUND</v>
      </c>
      <c r="K1539" s="50"/>
      <c r="L1539" s="50"/>
    </row>
    <row r="1540" spans="1:12" ht="16.5" thickBot="1" x14ac:dyDescent="0.3">
      <c r="A1540" s="48" t="str">
        <f>IF(I1540="","",_xlfn.XLOOKUP(TRIM(I1540),'SkillMasterSkill ID'!$C:$C,'SkillMasterSkill ID'!$B:$B,"NOT FOUND",0))</f>
        <v>NOT FOUND</v>
      </c>
      <c r="B1540" s="62">
        <v>10811</v>
      </c>
      <c r="C1540" s="62" t="s">
        <v>1725</v>
      </c>
      <c r="D1540" s="50"/>
      <c r="E1540" t="s">
        <v>1606</v>
      </c>
      <c r="F1540" s="46" t="str">
        <f>IF(I1540="","",IF(_xlfn.XLOOKUP(TRIM(I1540),'SkillMasterSkill ID'!$C:$C,'SkillMasterSkill ID'!$E:$E,"")=0,"",_xlfn.XLOOKUP(TRIM(I1540),'SkillMasterSkill ID'!$C:$C,'SkillMasterSkill ID'!$E:$E,"")))</f>
        <v/>
      </c>
      <c r="G1540" t="s">
        <v>1744</v>
      </c>
      <c r="H1540" t="s">
        <v>1751</v>
      </c>
      <c r="I1540" t="s">
        <v>1752</v>
      </c>
      <c r="J1540" s="50" t="str">
        <f>IF(I1540="","",_xlfn.XLOOKUP(TRIM(I1540),'SkillMasterSkill ID'!$C:$C,'SkillMasterSkill ID'!$F:$F,"NOT FOUND",0))</f>
        <v>NOT FOUND</v>
      </c>
      <c r="K1540" s="50"/>
      <c r="L1540" s="50"/>
    </row>
    <row r="1541" spans="1:12" ht="16.5" thickBot="1" x14ac:dyDescent="0.3">
      <c r="A1541" s="48" t="str">
        <f>IF(I1541="","",_xlfn.XLOOKUP(TRIM(I1541),'SkillMasterSkill ID'!$C:$C,'SkillMasterSkill ID'!$B:$B,"NOT FOUND",0))</f>
        <v>NOT FOUND</v>
      </c>
      <c r="B1541" s="62">
        <v>10811</v>
      </c>
      <c r="C1541" s="62" t="s">
        <v>1725</v>
      </c>
      <c r="D1541" s="50"/>
      <c r="E1541" t="s">
        <v>1659</v>
      </c>
      <c r="F1541" s="46" t="str">
        <f>IF(I1541="","",IF(_xlfn.XLOOKUP(TRIM(I1541),'SkillMasterSkill ID'!$C:$C,'SkillMasterSkill ID'!$E:$E,"")=0,"",_xlfn.XLOOKUP(TRIM(I1541),'SkillMasterSkill ID'!$C:$C,'SkillMasterSkill ID'!$E:$E,"")))</f>
        <v/>
      </c>
      <c r="G1541" t="s">
        <v>1763</v>
      </c>
      <c r="H1541" t="s">
        <v>1765</v>
      </c>
      <c r="I1541" t="s">
        <v>1766</v>
      </c>
      <c r="J1541" s="50" t="str">
        <f>IF(I1541="","",_xlfn.XLOOKUP(TRIM(I1541),'SkillMasterSkill ID'!$C:$C,'SkillMasterSkill ID'!$F:$F,"NOT FOUND",0))</f>
        <v>NOT FOUND</v>
      </c>
      <c r="K1541" s="50"/>
      <c r="L1541" s="50"/>
    </row>
    <row r="1542" spans="1:12" ht="16.5" thickBot="1" x14ac:dyDescent="0.3">
      <c r="A1542" s="48" t="str">
        <f>IF(I1542="","",_xlfn.XLOOKUP(TRIM(I1542),'SkillMasterSkill ID'!$C:$C,'SkillMasterSkill ID'!$B:$B,"NOT FOUND",0))</f>
        <v>NOT FOUND</v>
      </c>
      <c r="B1542" s="62">
        <v>10811</v>
      </c>
      <c r="C1542" s="62" t="s">
        <v>1725</v>
      </c>
      <c r="D1542" s="50"/>
      <c r="E1542" t="s">
        <v>1606</v>
      </c>
      <c r="F1542" s="46" t="str">
        <f>IF(I1542="","",IF(_xlfn.XLOOKUP(TRIM(I1542),'SkillMasterSkill ID'!$C:$C,'SkillMasterSkill ID'!$E:$E,"")=0,"",_xlfn.XLOOKUP(TRIM(I1542),'SkillMasterSkill ID'!$C:$C,'SkillMasterSkill ID'!$E:$E,"")))</f>
        <v/>
      </c>
      <c r="G1542" t="s">
        <v>1744</v>
      </c>
      <c r="H1542" t="s">
        <v>1745</v>
      </c>
      <c r="I1542" t="s">
        <v>1746</v>
      </c>
      <c r="J1542" s="50" t="str">
        <f>IF(I1542="","",_xlfn.XLOOKUP(TRIM(I1542),'SkillMasterSkill ID'!$C:$C,'SkillMasterSkill ID'!$F:$F,"NOT FOUND",0))</f>
        <v>NOT FOUND</v>
      </c>
      <c r="K1542" s="50"/>
      <c r="L1542" s="50"/>
    </row>
    <row r="1543" spans="1:12" ht="16.5" thickBot="1" x14ac:dyDescent="0.3">
      <c r="A1543" s="48" t="str">
        <f>IF(I1543="","",_xlfn.XLOOKUP(TRIM(I1543),'SkillMasterSkill ID'!$C:$C,'SkillMasterSkill ID'!$B:$B,"NOT FOUND",0))</f>
        <v>NOT FOUND</v>
      </c>
      <c r="B1543" s="62">
        <v>10802</v>
      </c>
      <c r="C1543" s="62" t="s">
        <v>1677</v>
      </c>
      <c r="D1543" s="50"/>
      <c r="E1543" t="s">
        <v>1623</v>
      </c>
      <c r="F1543" s="46" t="str">
        <f>IF(I1543="","",IF(_xlfn.XLOOKUP(TRIM(I1543),'SkillMasterSkill ID'!$C:$C,'SkillMasterSkill ID'!$E:$E,"")=0,"",_xlfn.XLOOKUP(TRIM(I1543),'SkillMasterSkill ID'!$C:$C,'SkillMasterSkill ID'!$E:$E,"")))</f>
        <v/>
      </c>
      <c r="G1543" t="s">
        <v>1695</v>
      </c>
      <c r="H1543" t="s">
        <v>1696</v>
      </c>
      <c r="I1543" t="s">
        <v>1697</v>
      </c>
      <c r="J1543" s="50" t="str">
        <f>IF(I1543="","",_xlfn.XLOOKUP(TRIM(I1543),'SkillMasterSkill ID'!$C:$C,'SkillMasterSkill ID'!$F:$F,"NOT FOUND",0))</f>
        <v>NOT FOUND</v>
      </c>
      <c r="K1543" s="50"/>
      <c r="L1543" s="50"/>
    </row>
    <row r="1544" spans="1:12" ht="16.5" thickBot="1" x14ac:dyDescent="0.3">
      <c r="A1544" s="48" t="str">
        <f>IF(I1544="","",_xlfn.XLOOKUP(TRIM(I1544),'SkillMasterSkill ID'!$C:$C,'SkillMasterSkill ID'!$B:$B,"NOT FOUND",0))</f>
        <v>NOT FOUND</v>
      </c>
      <c r="B1544" s="62">
        <v>10802</v>
      </c>
      <c r="C1544" s="62" t="s">
        <v>1677</v>
      </c>
      <c r="D1544" s="50"/>
      <c r="E1544" t="s">
        <v>1623</v>
      </c>
      <c r="F1544" s="46" t="str">
        <f>IF(I1544="","",IF(_xlfn.XLOOKUP(TRIM(I1544),'SkillMasterSkill ID'!$C:$C,'SkillMasterSkill ID'!$E:$E,"")=0,"",_xlfn.XLOOKUP(TRIM(I1544),'SkillMasterSkill ID'!$C:$C,'SkillMasterSkill ID'!$E:$E,"")))</f>
        <v/>
      </c>
      <c r="G1544" t="s">
        <v>1695</v>
      </c>
      <c r="H1544" t="s">
        <v>1706</v>
      </c>
      <c r="I1544" t="s">
        <v>1707</v>
      </c>
      <c r="J1544" s="50" t="str">
        <f>IF(I1544="","",_xlfn.XLOOKUP(TRIM(I1544),'SkillMasterSkill ID'!$C:$C,'SkillMasterSkill ID'!$F:$F,"NOT FOUND",0))</f>
        <v>NOT FOUND</v>
      </c>
      <c r="K1544" s="50"/>
      <c r="L1544" s="50"/>
    </row>
    <row r="1545" spans="1:12" ht="16.5" thickBot="1" x14ac:dyDescent="0.3">
      <c r="A1545" s="48" t="str">
        <f>IF(I1545="","",_xlfn.XLOOKUP(TRIM(I1545),'SkillMasterSkill ID'!$C:$C,'SkillMasterSkill ID'!$B:$B,"NOT FOUND",0))</f>
        <v>NOT FOUND</v>
      </c>
      <c r="B1545" s="62">
        <v>10802</v>
      </c>
      <c r="C1545" s="62" t="s">
        <v>1677</v>
      </c>
      <c r="D1545" s="50"/>
      <c r="E1545" t="s">
        <v>1716</v>
      </c>
      <c r="F1545" s="46" t="str">
        <f>IF(I1545="","",IF(_xlfn.XLOOKUP(TRIM(I1545),'SkillMasterSkill ID'!$C:$C,'SkillMasterSkill ID'!$E:$E,"")=0,"",_xlfn.XLOOKUP(TRIM(I1545),'SkillMasterSkill ID'!$C:$C,'SkillMasterSkill ID'!$E:$E,"")))</f>
        <v/>
      </c>
      <c r="G1545" t="s">
        <v>1510</v>
      </c>
      <c r="H1545" t="s">
        <v>1718</v>
      </c>
      <c r="I1545" t="s">
        <v>1719</v>
      </c>
      <c r="J1545" s="50" t="str">
        <f>IF(I1545="","",_xlfn.XLOOKUP(TRIM(I1545),'SkillMasterSkill ID'!$C:$C,'SkillMasterSkill ID'!$F:$F,"NOT FOUND",0))</f>
        <v>NOT FOUND</v>
      </c>
      <c r="K1545" s="50"/>
      <c r="L1545" s="50"/>
    </row>
    <row r="1546" spans="1:12" ht="16.5" thickBot="1" x14ac:dyDescent="0.3">
      <c r="A1546" s="48" t="str">
        <f>IF(I1546="","",_xlfn.XLOOKUP(TRIM(I1546),'SkillMasterSkill ID'!$C:$C,'SkillMasterSkill ID'!$B:$B,"NOT FOUND",0))</f>
        <v>NOT FOUND</v>
      </c>
      <c r="B1546" s="62">
        <v>10802</v>
      </c>
      <c r="C1546" s="62" t="s">
        <v>1677</v>
      </c>
      <c r="D1546" s="50"/>
      <c r="E1546" t="s">
        <v>1623</v>
      </c>
      <c r="F1546" s="46" t="str">
        <f>IF(I1546="","",IF(_xlfn.XLOOKUP(TRIM(I1546),'SkillMasterSkill ID'!$C:$C,'SkillMasterSkill ID'!$E:$E,"")=0,"",_xlfn.XLOOKUP(TRIM(I1546),'SkillMasterSkill ID'!$C:$C,'SkillMasterSkill ID'!$E:$E,"")))</f>
        <v/>
      </c>
      <c r="G1546" t="s">
        <v>1695</v>
      </c>
      <c r="H1546" t="s">
        <v>1700</v>
      </c>
      <c r="I1546" t="s">
        <v>1701</v>
      </c>
      <c r="J1546" s="50" t="str">
        <f>IF(I1546="","",_xlfn.XLOOKUP(TRIM(I1546),'SkillMasterSkill ID'!$C:$C,'SkillMasterSkill ID'!$F:$F,"NOT FOUND",0))</f>
        <v>NOT FOUND</v>
      </c>
      <c r="K1546" s="50"/>
      <c r="L1546" s="50"/>
    </row>
    <row r="1547" spans="1:12" ht="16.5" thickBot="1" x14ac:dyDescent="0.3">
      <c r="A1547" s="48" t="str">
        <f>IF(I1547="","",_xlfn.XLOOKUP(TRIM(I1547),'SkillMasterSkill ID'!$C:$C,'SkillMasterSkill ID'!$B:$B,"NOT FOUND",0))</f>
        <v>NOT FOUND</v>
      </c>
      <c r="B1547" s="62">
        <v>10802</v>
      </c>
      <c r="C1547" s="62" t="s">
        <v>1677</v>
      </c>
      <c r="D1547" s="50"/>
      <c r="E1547" t="s">
        <v>1618</v>
      </c>
      <c r="F1547" s="46" t="str">
        <f>IF(I1547="","",IF(_xlfn.XLOOKUP(TRIM(I1547),'SkillMasterSkill ID'!$C:$C,'SkillMasterSkill ID'!$E:$E,"")=0,"",_xlfn.XLOOKUP(TRIM(I1547),'SkillMasterSkill ID'!$C:$C,'SkillMasterSkill ID'!$E:$E,"")))</f>
        <v/>
      </c>
      <c r="G1547" t="s">
        <v>1622</v>
      </c>
      <c r="H1547" t="s">
        <v>1620</v>
      </c>
      <c r="I1547" t="s">
        <v>1621</v>
      </c>
      <c r="J1547" s="50" t="str">
        <f>IF(I1547="","",_xlfn.XLOOKUP(TRIM(I1547),'SkillMasterSkill ID'!$C:$C,'SkillMasterSkill ID'!$F:$F,"NOT FOUND",0))</f>
        <v>NOT FOUND</v>
      </c>
      <c r="K1547" s="50"/>
      <c r="L1547" s="50"/>
    </row>
    <row r="1548" spans="1:12" ht="16.5" thickBot="1" x14ac:dyDescent="0.3">
      <c r="A1548" s="48" t="str">
        <f>IF(I1548="","",_xlfn.XLOOKUP(TRIM(I1548),'SkillMasterSkill ID'!$C:$C,'SkillMasterSkill ID'!$B:$B,"NOT FOUND",0))</f>
        <v>NOT FOUND</v>
      </c>
      <c r="B1548" s="62">
        <v>10802</v>
      </c>
      <c r="C1548" s="62" t="s">
        <v>1677</v>
      </c>
      <c r="D1548" s="50"/>
      <c r="E1548" t="s">
        <v>1614</v>
      </c>
      <c r="F1548" s="46" t="str">
        <f>IF(I1548="","",IF(_xlfn.XLOOKUP(TRIM(I1548),'SkillMasterSkill ID'!$C:$C,'SkillMasterSkill ID'!$E:$E,"")=0,"",_xlfn.XLOOKUP(TRIM(I1548),'SkillMasterSkill ID'!$C:$C,'SkillMasterSkill ID'!$E:$E,"")))</f>
        <v/>
      </c>
      <c r="G1548" t="s">
        <v>1622</v>
      </c>
      <c r="H1548" t="s">
        <v>1616</v>
      </c>
      <c r="I1548" t="s">
        <v>1617</v>
      </c>
      <c r="J1548" s="50" t="str">
        <f>IF(I1548="","",_xlfn.XLOOKUP(TRIM(I1548),'SkillMasterSkill ID'!$C:$C,'SkillMasterSkill ID'!$F:$F,"NOT FOUND",0))</f>
        <v>NOT FOUND</v>
      </c>
      <c r="K1548" s="50"/>
      <c r="L1548" s="50"/>
    </row>
    <row r="1549" spans="1:12" ht="16.5" thickBot="1" x14ac:dyDescent="0.3">
      <c r="A1549" s="48" t="str">
        <f>IF(I1549="","",_xlfn.XLOOKUP(TRIM(I1549),'SkillMasterSkill ID'!$C:$C,'SkillMasterSkill ID'!$B:$B,"NOT FOUND",0))</f>
        <v>NOT FOUND</v>
      </c>
      <c r="B1549" s="62">
        <v>10802</v>
      </c>
      <c r="C1549" s="62" t="s">
        <v>1677</v>
      </c>
      <c r="D1549" s="50"/>
      <c r="E1549" t="s">
        <v>1655</v>
      </c>
      <c r="F1549" s="46" t="str">
        <f>IF(I1549="","",IF(_xlfn.XLOOKUP(TRIM(I1549),'SkillMasterSkill ID'!$C:$C,'SkillMasterSkill ID'!$E:$E,"")=0,"",_xlfn.XLOOKUP(TRIM(I1549),'SkillMasterSkill ID'!$C:$C,'SkillMasterSkill ID'!$E:$E,"")))</f>
        <v/>
      </c>
      <c r="G1549" t="s">
        <v>1498</v>
      </c>
      <c r="H1549" t="s">
        <v>1681</v>
      </c>
      <c r="I1549" t="s">
        <v>1682</v>
      </c>
      <c r="J1549" s="50" t="str">
        <f>IF(I1549="","",_xlfn.XLOOKUP(TRIM(I1549),'SkillMasterSkill ID'!$C:$C,'SkillMasterSkill ID'!$F:$F,"NOT FOUND",0))</f>
        <v>NOT FOUND</v>
      </c>
      <c r="K1549" s="50"/>
      <c r="L1549" s="50"/>
    </row>
    <row r="1550" spans="1:12" ht="16.5" thickBot="1" x14ac:dyDescent="0.3">
      <c r="A1550" s="48" t="str">
        <f>IF(I1550="","",_xlfn.XLOOKUP(TRIM(I1550),'SkillMasterSkill ID'!$C:$C,'SkillMasterSkill ID'!$B:$B,"NOT FOUND",0))</f>
        <v>NOT FOUND</v>
      </c>
      <c r="B1550" s="62">
        <v>10802</v>
      </c>
      <c r="C1550" s="62" t="s">
        <v>1677</v>
      </c>
      <c r="D1550" s="50"/>
      <c r="E1550" t="s">
        <v>1623</v>
      </c>
      <c r="F1550" s="46" t="str">
        <f>IF(I1550="","",IF(_xlfn.XLOOKUP(TRIM(I1550),'SkillMasterSkill ID'!$C:$C,'SkillMasterSkill ID'!$E:$E,"")=0,"",_xlfn.XLOOKUP(TRIM(I1550),'SkillMasterSkill ID'!$C:$C,'SkillMasterSkill ID'!$E:$E,"")))</f>
        <v/>
      </c>
      <c r="G1550" t="s">
        <v>1695</v>
      </c>
      <c r="H1550" t="s">
        <v>1698</v>
      </c>
      <c r="I1550" t="s">
        <v>1699</v>
      </c>
      <c r="J1550" s="50" t="str">
        <f>IF(I1550="","",_xlfn.XLOOKUP(TRIM(I1550),'SkillMasterSkill ID'!$C:$C,'SkillMasterSkill ID'!$F:$F,"NOT FOUND",0))</f>
        <v>NOT FOUND</v>
      </c>
      <c r="K1550" s="50"/>
      <c r="L1550" s="50"/>
    </row>
    <row r="1551" spans="1:12" ht="16.5" thickBot="1" x14ac:dyDescent="0.3">
      <c r="A1551" s="48" t="str">
        <f>IF(I1551="","",_xlfn.XLOOKUP(TRIM(I1551),'SkillMasterSkill ID'!$C:$C,'SkillMasterSkill ID'!$B:$B,"NOT FOUND",0))</f>
        <v>NOT FOUND</v>
      </c>
      <c r="B1551" s="62">
        <v>10802</v>
      </c>
      <c r="C1551" s="62" t="s">
        <v>1677</v>
      </c>
      <c r="D1551" s="50"/>
      <c r="E1551" t="s">
        <v>1667</v>
      </c>
      <c r="F1551" s="46" t="str">
        <f>IF(I1551="","",IF(_xlfn.XLOOKUP(TRIM(I1551),'SkillMasterSkill ID'!$C:$C,'SkillMasterSkill ID'!$E:$E,"")=0,"",_xlfn.XLOOKUP(TRIM(I1551),'SkillMasterSkill ID'!$C:$C,'SkillMasterSkill ID'!$E:$E,"")))</f>
        <v/>
      </c>
      <c r="G1551" t="s">
        <v>1501</v>
      </c>
      <c r="H1551" t="s">
        <v>1687</v>
      </c>
      <c r="I1551" t="s">
        <v>1688</v>
      </c>
      <c r="J1551" s="50" t="str">
        <f>IF(I1551="","",_xlfn.XLOOKUP(TRIM(I1551),'SkillMasterSkill ID'!$C:$C,'SkillMasterSkill ID'!$F:$F,"NOT FOUND",0))</f>
        <v>NOT FOUND</v>
      </c>
      <c r="K1551" s="50"/>
      <c r="L1551" s="50"/>
    </row>
    <row r="1552" spans="1:12" ht="16.5" thickBot="1" x14ac:dyDescent="0.3">
      <c r="A1552" s="48" t="str">
        <f>IF(I1552="","",_xlfn.XLOOKUP(TRIM(I1552),'SkillMasterSkill ID'!$C:$C,'SkillMasterSkill ID'!$B:$B,"NOT FOUND",0))</f>
        <v>NOT FOUND</v>
      </c>
      <c r="B1552" s="62">
        <v>10802</v>
      </c>
      <c r="C1552" s="62" t="s">
        <v>1677</v>
      </c>
      <c r="D1552" s="50"/>
      <c r="E1552" t="s">
        <v>1708</v>
      </c>
      <c r="F1552" s="46" t="str">
        <f>IF(I1552="","",IF(_xlfn.XLOOKUP(TRIM(I1552),'SkillMasterSkill ID'!$C:$C,'SkillMasterSkill ID'!$E:$E,"")=0,"",_xlfn.XLOOKUP(TRIM(I1552),'SkillMasterSkill ID'!$C:$C,'SkillMasterSkill ID'!$E:$E,"")))</f>
        <v/>
      </c>
      <c r="G1552" t="s">
        <v>1507</v>
      </c>
      <c r="H1552" t="s">
        <v>1710</v>
      </c>
      <c r="I1552" t="s">
        <v>1711</v>
      </c>
      <c r="J1552" s="50" t="str">
        <f>IF(I1552="","",_xlfn.XLOOKUP(TRIM(I1552),'SkillMasterSkill ID'!$C:$C,'SkillMasterSkill ID'!$F:$F,"NOT FOUND",0))</f>
        <v>NOT FOUND</v>
      </c>
      <c r="K1552" s="50"/>
      <c r="L1552" s="50"/>
    </row>
    <row r="1553" spans="1:12" ht="16.5" thickBot="1" x14ac:dyDescent="0.3">
      <c r="A1553" s="48" t="str">
        <f>IF(I1553="","",_xlfn.XLOOKUP(TRIM(I1553),'SkillMasterSkill ID'!$C:$C,'SkillMasterSkill ID'!$B:$B,"NOT FOUND",0))</f>
        <v>NOT FOUND</v>
      </c>
      <c r="B1553" s="62">
        <v>10802</v>
      </c>
      <c r="C1553" s="62" t="s">
        <v>1677</v>
      </c>
      <c r="D1553" s="50"/>
      <c r="E1553" t="s">
        <v>1623</v>
      </c>
      <c r="F1553" s="46" t="str">
        <f>IF(I1553="","",IF(_xlfn.XLOOKUP(TRIM(I1553),'SkillMasterSkill ID'!$C:$C,'SkillMasterSkill ID'!$E:$E,"")=0,"",_xlfn.XLOOKUP(TRIM(I1553),'SkillMasterSkill ID'!$C:$C,'SkillMasterSkill ID'!$E:$E,"")))</f>
        <v/>
      </c>
      <c r="G1553" t="s">
        <v>1695</v>
      </c>
      <c r="H1553" t="s">
        <v>1702</v>
      </c>
      <c r="I1553" t="s">
        <v>1703</v>
      </c>
      <c r="J1553" s="50" t="str">
        <f>IF(I1553="","",_xlfn.XLOOKUP(TRIM(I1553),'SkillMasterSkill ID'!$C:$C,'SkillMasterSkill ID'!$F:$F,"NOT FOUND",0))</f>
        <v>NOT FOUND</v>
      </c>
      <c r="K1553" s="50"/>
      <c r="L1553" s="50"/>
    </row>
    <row r="1554" spans="1:12" ht="16.5" thickBot="1" x14ac:dyDescent="0.3">
      <c r="A1554" s="48" t="str">
        <f>IF(I1554="","",_xlfn.XLOOKUP(TRIM(I1554),'SkillMasterSkill ID'!$C:$C,'SkillMasterSkill ID'!$B:$B,"NOT FOUND",0))</f>
        <v>NOT FOUND</v>
      </c>
      <c r="B1554" s="62">
        <v>10802</v>
      </c>
      <c r="C1554" s="62" t="s">
        <v>1677</v>
      </c>
      <c r="D1554" s="50"/>
      <c r="E1554" t="s">
        <v>1655</v>
      </c>
      <c r="F1554" s="46" t="str">
        <f>IF(I1554="","",IF(_xlfn.XLOOKUP(TRIM(I1554),'SkillMasterSkill ID'!$C:$C,'SkillMasterSkill ID'!$E:$E,"")=0,"",_xlfn.XLOOKUP(TRIM(I1554),'SkillMasterSkill ID'!$C:$C,'SkillMasterSkill ID'!$E:$E,"")))</f>
        <v/>
      </c>
      <c r="G1554" t="s">
        <v>1498</v>
      </c>
      <c r="H1554" t="s">
        <v>1679</v>
      </c>
      <c r="I1554" t="s">
        <v>1680</v>
      </c>
      <c r="J1554" s="50" t="str">
        <f>IF(I1554="","",_xlfn.XLOOKUP(TRIM(I1554),'SkillMasterSkill ID'!$C:$C,'SkillMasterSkill ID'!$F:$F,"NOT FOUND",0))</f>
        <v>NOT FOUND</v>
      </c>
      <c r="K1554" s="50"/>
      <c r="L1554" s="50"/>
    </row>
    <row r="1555" spans="1:12" ht="16.5" thickBot="1" x14ac:dyDescent="0.3">
      <c r="A1555" s="48" t="str">
        <f>IF(I1555="","",_xlfn.XLOOKUP(TRIM(I1555),'SkillMasterSkill ID'!$C:$C,'SkillMasterSkill ID'!$B:$B,"NOT FOUND",0))</f>
        <v>NOT FOUND</v>
      </c>
      <c r="B1555" s="62">
        <v>10802</v>
      </c>
      <c r="C1555" s="62" t="s">
        <v>1677</v>
      </c>
      <c r="D1555" s="50"/>
      <c r="E1555" t="s">
        <v>1598</v>
      </c>
      <c r="F1555" s="46" t="str">
        <f>IF(I1555="","",IF(_xlfn.XLOOKUP(TRIM(I1555),'SkillMasterSkill ID'!$C:$C,'SkillMasterSkill ID'!$E:$E,"")=0,"",_xlfn.XLOOKUP(TRIM(I1555),'SkillMasterSkill ID'!$C:$C,'SkillMasterSkill ID'!$E:$E,"")))</f>
        <v/>
      </c>
      <c r="G1555" t="s">
        <v>1622</v>
      </c>
      <c r="H1555" t="s">
        <v>1600</v>
      </c>
      <c r="I1555" t="s">
        <v>1601</v>
      </c>
      <c r="J1555" s="50" t="str">
        <f>IF(I1555="","",_xlfn.XLOOKUP(TRIM(I1555),'SkillMasterSkill ID'!$C:$C,'SkillMasterSkill ID'!$F:$F,"NOT FOUND",0))</f>
        <v>NOT FOUND</v>
      </c>
      <c r="K1555" s="50"/>
      <c r="L1555" s="50"/>
    </row>
    <row r="1556" spans="1:12" ht="16.5" thickBot="1" x14ac:dyDescent="0.3">
      <c r="A1556" s="48" t="str">
        <f>IF(I1556="","",_xlfn.XLOOKUP(TRIM(I1556),'SkillMasterSkill ID'!$C:$C,'SkillMasterSkill ID'!$B:$B,"NOT FOUND",0))</f>
        <v>NOT FOUND</v>
      </c>
      <c r="B1556" s="62">
        <v>10802</v>
      </c>
      <c r="C1556" s="62" t="s">
        <v>1677</v>
      </c>
      <c r="D1556" s="50"/>
      <c r="E1556" t="s">
        <v>1689</v>
      </c>
      <c r="F1556" s="46" t="str">
        <f>IF(I1556="","",IF(_xlfn.XLOOKUP(TRIM(I1556),'SkillMasterSkill ID'!$C:$C,'SkillMasterSkill ID'!$E:$E,"")=0,"",_xlfn.XLOOKUP(TRIM(I1556),'SkillMasterSkill ID'!$C:$C,'SkillMasterSkill ID'!$E:$E,"")))</f>
        <v/>
      </c>
      <c r="G1556" t="s">
        <v>1501</v>
      </c>
      <c r="H1556" t="s">
        <v>1691</v>
      </c>
      <c r="I1556" t="s">
        <v>1692</v>
      </c>
      <c r="J1556" s="50" t="str">
        <f>IF(I1556="","",_xlfn.XLOOKUP(TRIM(I1556),'SkillMasterSkill ID'!$C:$C,'SkillMasterSkill ID'!$F:$F,"NOT FOUND",0))</f>
        <v>NOT FOUND</v>
      </c>
      <c r="K1556" s="50"/>
      <c r="L1556" s="50"/>
    </row>
    <row r="1557" spans="1:12" ht="16.5" thickBot="1" x14ac:dyDescent="0.3">
      <c r="A1557" s="48" t="str">
        <f>IF(I1557="","",_xlfn.XLOOKUP(TRIM(I1557),'SkillMasterSkill ID'!$C:$C,'SkillMasterSkill ID'!$B:$B,"NOT FOUND",0))</f>
        <v>NOT FOUND</v>
      </c>
      <c r="B1557" s="62">
        <v>10802</v>
      </c>
      <c r="C1557" s="62" t="s">
        <v>1677</v>
      </c>
      <c r="D1557" s="50"/>
      <c r="E1557" t="s">
        <v>1683</v>
      </c>
      <c r="F1557" s="46" t="str">
        <f>IF(I1557="","",IF(_xlfn.XLOOKUP(TRIM(I1557),'SkillMasterSkill ID'!$C:$C,'SkillMasterSkill ID'!$E:$E,"")=0,"",_xlfn.XLOOKUP(TRIM(I1557),'SkillMasterSkill ID'!$C:$C,'SkillMasterSkill ID'!$E:$E,"")))</f>
        <v/>
      </c>
      <c r="G1557" t="s">
        <v>1501</v>
      </c>
      <c r="H1557" t="s">
        <v>1685</v>
      </c>
      <c r="I1557" t="s">
        <v>1686</v>
      </c>
      <c r="J1557" s="50" t="str">
        <f>IF(I1557="","",_xlfn.XLOOKUP(TRIM(I1557),'SkillMasterSkill ID'!$C:$C,'SkillMasterSkill ID'!$F:$F,"NOT FOUND",0))</f>
        <v>NOT FOUND</v>
      </c>
      <c r="K1557" s="50"/>
      <c r="L1557" s="50"/>
    </row>
    <row r="1558" spans="1:12" ht="16.5" thickBot="1" x14ac:dyDescent="0.3">
      <c r="A1558" s="48" t="str">
        <f>IF(I1558="","",_xlfn.XLOOKUP(TRIM(I1558),'SkillMasterSkill ID'!$C:$C,'SkillMasterSkill ID'!$B:$B,"NOT FOUND",0))</f>
        <v>NOT FOUND</v>
      </c>
      <c r="B1558" s="62">
        <v>10802</v>
      </c>
      <c r="C1558" s="62" t="s">
        <v>1677</v>
      </c>
      <c r="D1558" s="50"/>
      <c r="E1558" t="s">
        <v>1716</v>
      </c>
      <c r="F1558" s="46" t="str">
        <f>IF(I1558="","",IF(_xlfn.XLOOKUP(TRIM(I1558),'SkillMasterSkill ID'!$C:$C,'SkillMasterSkill ID'!$E:$E,"")=0,"",_xlfn.XLOOKUP(TRIM(I1558),'SkillMasterSkill ID'!$C:$C,'SkillMasterSkill ID'!$E:$E,"")))</f>
        <v/>
      </c>
      <c r="G1558" t="s">
        <v>1510</v>
      </c>
      <c r="H1558" t="s">
        <v>1720</v>
      </c>
      <c r="I1558" t="s">
        <v>1721</v>
      </c>
      <c r="J1558" s="50" t="str">
        <f>IF(I1558="","",_xlfn.XLOOKUP(TRIM(I1558),'SkillMasterSkill ID'!$C:$C,'SkillMasterSkill ID'!$F:$F,"NOT FOUND",0))</f>
        <v>NOT FOUND</v>
      </c>
      <c r="K1558" s="50"/>
      <c r="L1558" s="50"/>
    </row>
    <row r="1559" spans="1:12" ht="16.5" thickBot="1" x14ac:dyDescent="0.3">
      <c r="A1559" s="48" t="str">
        <f>IF(I1559="","",_xlfn.XLOOKUP(TRIM(I1559),'SkillMasterSkill ID'!$C:$C,'SkillMasterSkill ID'!$B:$B,"NOT FOUND",0))</f>
        <v>NOT FOUND</v>
      </c>
      <c r="B1559" s="62">
        <v>10802</v>
      </c>
      <c r="C1559" s="62" t="s">
        <v>1677</v>
      </c>
      <c r="D1559" s="50"/>
      <c r="E1559" t="s">
        <v>1606</v>
      </c>
      <c r="F1559" s="46" t="str">
        <f>IF(I1559="","",IF(_xlfn.XLOOKUP(TRIM(I1559),'SkillMasterSkill ID'!$C:$C,'SkillMasterSkill ID'!$E:$E,"")=0,"",_xlfn.XLOOKUP(TRIM(I1559),'SkillMasterSkill ID'!$C:$C,'SkillMasterSkill ID'!$E:$E,"")))</f>
        <v/>
      </c>
      <c r="G1559" t="s">
        <v>1622</v>
      </c>
      <c r="H1559" t="s">
        <v>1608</v>
      </c>
      <c r="I1559" t="s">
        <v>1609</v>
      </c>
      <c r="J1559" s="50" t="str">
        <f>IF(I1559="","",_xlfn.XLOOKUP(TRIM(I1559),'SkillMasterSkill ID'!$C:$C,'SkillMasterSkill ID'!$F:$F,"NOT FOUND",0))</f>
        <v>NOT FOUND</v>
      </c>
      <c r="K1559" s="50"/>
      <c r="L1559" s="50"/>
    </row>
    <row r="1560" spans="1:12" ht="16.5" thickBot="1" x14ac:dyDescent="0.3">
      <c r="A1560" s="48" t="str">
        <f>IF(I1560="","",_xlfn.XLOOKUP(TRIM(I1560),'SkillMasterSkill ID'!$C:$C,'SkillMasterSkill ID'!$B:$B,"NOT FOUND",0))</f>
        <v>NOT FOUND</v>
      </c>
      <c r="B1560" s="62">
        <v>10802</v>
      </c>
      <c r="C1560" s="62" t="s">
        <v>1677</v>
      </c>
      <c r="D1560" s="50"/>
      <c r="E1560" t="s">
        <v>1689</v>
      </c>
      <c r="F1560" s="46" t="str">
        <f>IF(I1560="","",IF(_xlfn.XLOOKUP(TRIM(I1560),'SkillMasterSkill ID'!$C:$C,'SkillMasterSkill ID'!$E:$E,"")=0,"",_xlfn.XLOOKUP(TRIM(I1560),'SkillMasterSkill ID'!$C:$C,'SkillMasterSkill ID'!$E:$E,"")))</f>
        <v/>
      </c>
      <c r="G1560" t="s">
        <v>1501</v>
      </c>
      <c r="H1560" t="s">
        <v>1693</v>
      </c>
      <c r="I1560" t="s">
        <v>1694</v>
      </c>
      <c r="J1560" s="50" t="str">
        <f>IF(I1560="","",_xlfn.XLOOKUP(TRIM(I1560),'SkillMasterSkill ID'!$C:$C,'SkillMasterSkill ID'!$F:$F,"NOT FOUND",0))</f>
        <v>NOT FOUND</v>
      </c>
      <c r="K1560" s="50"/>
      <c r="L1560" s="50"/>
    </row>
    <row r="1561" spans="1:12" ht="16.5" thickBot="1" x14ac:dyDescent="0.3">
      <c r="A1561" s="48" t="str">
        <f>IF(I1561="","",_xlfn.XLOOKUP(TRIM(I1561),'SkillMasterSkill ID'!$C:$C,'SkillMasterSkill ID'!$B:$B,"NOT FOUND",0))</f>
        <v>NOT FOUND</v>
      </c>
      <c r="B1561" s="62">
        <v>10802</v>
      </c>
      <c r="C1561" s="62" t="s">
        <v>1677</v>
      </c>
      <c r="D1561" s="50"/>
      <c r="E1561" t="s">
        <v>1712</v>
      </c>
      <c r="F1561" s="46" t="str">
        <f>IF(I1561="","",IF(_xlfn.XLOOKUP(TRIM(I1561),'SkillMasterSkill ID'!$C:$C,'SkillMasterSkill ID'!$E:$E,"")=0,"",_xlfn.XLOOKUP(TRIM(I1561),'SkillMasterSkill ID'!$C:$C,'SkillMasterSkill ID'!$E:$E,"")))</f>
        <v/>
      </c>
      <c r="G1561" t="s">
        <v>1507</v>
      </c>
      <c r="H1561" t="s">
        <v>1714</v>
      </c>
      <c r="I1561" t="s">
        <v>1715</v>
      </c>
      <c r="J1561" s="50" t="str">
        <f>IF(I1561="","",_xlfn.XLOOKUP(TRIM(I1561),'SkillMasterSkill ID'!$C:$C,'SkillMasterSkill ID'!$F:$F,"NOT FOUND",0))</f>
        <v>NOT FOUND</v>
      </c>
      <c r="K1561" s="50"/>
      <c r="L1561" s="50"/>
    </row>
    <row r="1562" spans="1:12" ht="16.5" thickBot="1" x14ac:dyDescent="0.3">
      <c r="A1562" s="48" t="str">
        <f>IF(I1562="","",_xlfn.XLOOKUP(TRIM(I1562),'SkillMasterSkill ID'!$C:$C,'SkillMasterSkill ID'!$B:$B,"NOT FOUND",0))</f>
        <v>NOT FOUND</v>
      </c>
      <c r="B1562" s="62">
        <v>10802</v>
      </c>
      <c r="C1562" s="62" t="s">
        <v>1677</v>
      </c>
      <c r="D1562" s="50"/>
      <c r="E1562" t="s">
        <v>1623</v>
      </c>
      <c r="F1562" s="46" t="str">
        <f>IF(I1562="","",IF(_xlfn.XLOOKUP(TRIM(I1562),'SkillMasterSkill ID'!$C:$C,'SkillMasterSkill ID'!$E:$E,"")=0,"",_xlfn.XLOOKUP(TRIM(I1562),'SkillMasterSkill ID'!$C:$C,'SkillMasterSkill ID'!$E:$E,"")))</f>
        <v/>
      </c>
      <c r="G1562" t="s">
        <v>1695</v>
      </c>
      <c r="H1562" t="s">
        <v>1704</v>
      </c>
      <c r="I1562" t="s">
        <v>1705</v>
      </c>
      <c r="J1562" s="50" t="str">
        <f>IF(I1562="","",_xlfn.XLOOKUP(TRIM(I1562),'SkillMasterSkill ID'!$C:$C,'SkillMasterSkill ID'!$F:$F,"NOT FOUND",0))</f>
        <v>NOT FOUND</v>
      </c>
      <c r="K1562" s="50"/>
      <c r="L1562" s="50"/>
    </row>
    <row r="1563" spans="1:12" ht="16.5" thickBot="1" x14ac:dyDescent="0.3">
      <c r="A1563" s="48" t="str">
        <f>IF(I1563="","",_xlfn.XLOOKUP(TRIM(I1563),'SkillMasterSkill ID'!$C:$C,'SkillMasterSkill ID'!$B:$B,"NOT FOUND",0))</f>
        <v>NOT FOUND</v>
      </c>
      <c r="B1563" s="62">
        <v>10802</v>
      </c>
      <c r="C1563" s="62" t="s">
        <v>1677</v>
      </c>
      <c r="D1563" s="50"/>
      <c r="E1563" t="s">
        <v>1602</v>
      </c>
      <c r="F1563" s="46" t="str">
        <f>IF(I1563="","",IF(_xlfn.XLOOKUP(TRIM(I1563),'SkillMasterSkill ID'!$C:$C,'SkillMasterSkill ID'!$E:$E,"")=0,"",_xlfn.XLOOKUP(TRIM(I1563),'SkillMasterSkill ID'!$C:$C,'SkillMasterSkill ID'!$E:$E,"")))</f>
        <v/>
      </c>
      <c r="G1563" t="s">
        <v>1622</v>
      </c>
      <c r="H1563" t="s">
        <v>1604</v>
      </c>
      <c r="I1563" t="s">
        <v>1605</v>
      </c>
      <c r="J1563" s="50" t="str">
        <f>IF(I1563="","",_xlfn.XLOOKUP(TRIM(I1563),'SkillMasterSkill ID'!$C:$C,'SkillMasterSkill ID'!$F:$F,"NOT FOUND",0))</f>
        <v>NOT FOUND</v>
      </c>
      <c r="K1563" s="50"/>
      <c r="L1563" s="50"/>
    </row>
    <row r="1564" spans="1:12" ht="16.5" thickBot="1" x14ac:dyDescent="0.3">
      <c r="A1564" t="s">
        <v>969</v>
      </c>
      <c r="B1564" s="63">
        <v>10302</v>
      </c>
      <c r="C1564" s="63" t="s">
        <v>797</v>
      </c>
      <c r="D1564" s="50">
        <v>5</v>
      </c>
      <c r="E1564" s="50" t="str">
        <f>IF(I1564="","",_xlfn.XLOOKUP(TRIM(I1564),'SkillMasterSkill ID'!$C:$C,'SkillMasterSkill ID'!$D:$D,"NOT FOUND",0))</f>
        <v>PLAN</v>
      </c>
      <c r="F1564" s="46" t="str">
        <f>IF(I1564="","",IF(_xlfn.XLOOKUP(TRIM(I1564),'SkillMasterSkill ID'!$C:$C,'SkillMasterSkill ID'!$E:$E,"")=0,"",_xlfn.XLOOKUP(TRIM(I1564),'SkillMasterSkill ID'!$C:$C,'SkillMasterSkill ID'!$E:$E,"")))</f>
        <v/>
      </c>
      <c r="G1564" s="11" t="s">
        <v>921</v>
      </c>
      <c r="H1564" s="42" t="s">
        <v>1188</v>
      </c>
      <c r="I1564" t="s">
        <v>820</v>
      </c>
      <c r="J1564" s="50" t="str">
        <f>IF(I1564="","",_xlfn.XLOOKUP(TRIM(I1564),'SkillMasterSkill ID'!$C:$C,'SkillMasterSkill ID'!$F:$F,"NOT FOUND",0))</f>
        <v>Ability to plan and sequence work effectively, using schedules, constraints, and lookahead thinking to meet targets.</v>
      </c>
      <c r="K1564" s="50" t="s">
        <v>792</v>
      </c>
      <c r="L1564" s="50">
        <v>2</v>
      </c>
    </row>
    <row r="1565" spans="1:12" ht="16.5" thickBot="1" x14ac:dyDescent="0.3">
      <c r="A1565" t="s">
        <v>971</v>
      </c>
      <c r="B1565" s="63">
        <v>10302</v>
      </c>
      <c r="C1565" s="63" t="s">
        <v>797</v>
      </c>
      <c r="D1565" s="50">
        <v>5</v>
      </c>
      <c r="E1565" s="46" t="str">
        <f>IF(I1565="","",_xlfn.XLOOKUP(TRIM(I1565),'SkillMasterSkill ID'!$C:$C,'SkillMasterSkill ID'!$D:$D,"",0))</f>
        <v>ACCT</v>
      </c>
      <c r="F1565" s="46" t="str">
        <f>IF(I1565="","",IF(_xlfn.XLOOKUP(TRIM(I1565),'SkillMasterSkill ID'!$C:$C,'SkillMasterSkill ID'!$E:$E,"")=0,"",_xlfn.XLOOKUP(TRIM(I1565),'SkillMasterSkill ID'!$C:$C,'SkillMasterSkill ID'!$E:$E,"")))</f>
        <v>OVST</v>
      </c>
      <c r="G1565" s="50" t="s">
        <v>1181</v>
      </c>
      <c r="H1565" s="42" t="s">
        <v>925</v>
      </c>
      <c r="I1565" t="s">
        <v>885</v>
      </c>
      <c r="J1565" s="50" t="str">
        <f>IF(I1565="","",_xlfn.XLOOKUP(TRIM(I1565),'SkillMasterSkill ID'!$C:$C,'SkillMasterSkill ID'!$F:$F,"NOT FOUND",0))</f>
        <v>Ability to set expectations, enforce accountability, and initiate timely corrective action when performance deviates.</v>
      </c>
      <c r="K1565" s="50"/>
      <c r="L1565" s="50"/>
    </row>
    <row r="1566" spans="1:12" ht="16.5" thickBot="1" x14ac:dyDescent="0.3">
      <c r="A1566" t="s">
        <v>971</v>
      </c>
      <c r="B1566" s="63">
        <v>10302</v>
      </c>
      <c r="C1566" s="63" t="s">
        <v>797</v>
      </c>
      <c r="D1566" s="50">
        <v>5</v>
      </c>
      <c r="E1566" s="46" t="str">
        <f>IF(I1566="","",_xlfn.XLOOKUP(TRIM(I1566),'SkillMasterSkill ID'!$C:$C,'SkillMasterSkill ID'!$D:$D,"",0))</f>
        <v>ACCT</v>
      </c>
      <c r="F1566" s="46" t="str">
        <f>IF(I1566="","",IF(_xlfn.XLOOKUP(TRIM(I1566),'SkillMasterSkill ID'!$C:$C,'SkillMasterSkill ID'!$E:$E,"")=0,"",_xlfn.XLOOKUP(TRIM(I1566),'SkillMasterSkill ID'!$C:$C,'SkillMasterSkill ID'!$E:$E,"")))</f>
        <v>OVST</v>
      </c>
      <c r="G1566" s="50" t="s">
        <v>1181</v>
      </c>
      <c r="H1566" s="42" t="s">
        <v>935</v>
      </c>
      <c r="I1566" t="s">
        <v>885</v>
      </c>
      <c r="J1566" s="50" t="str">
        <f>IF(I1566="","",_xlfn.XLOOKUP(TRIM(I1566),'SkillMasterSkill ID'!$C:$C,'SkillMasterSkill ID'!$F:$F,"NOT FOUND",0))</f>
        <v>Ability to set expectations, enforce accountability, and initiate timely corrective action when performance deviates.</v>
      </c>
      <c r="K1566" s="50"/>
      <c r="L1566" s="50"/>
    </row>
    <row r="1567" spans="1:12" ht="16.5" thickBot="1" x14ac:dyDescent="0.3">
      <c r="A1567" t="s">
        <v>971</v>
      </c>
      <c r="B1567" s="63">
        <v>10302</v>
      </c>
      <c r="C1567" s="63" t="s">
        <v>797</v>
      </c>
      <c r="D1567" s="50">
        <v>5</v>
      </c>
      <c r="E1567" s="46" t="str">
        <f>IF(I1567="","",_xlfn.XLOOKUP(TRIM(I1567),'SkillMasterSkill ID'!$C:$C,'SkillMasterSkill ID'!$D:$D,"",0))</f>
        <v>ACCT</v>
      </c>
      <c r="F1567" s="46" t="str">
        <f>IF(I1567="","",IF(_xlfn.XLOOKUP(TRIM(I1567),'SkillMasterSkill ID'!$C:$C,'SkillMasterSkill ID'!$E:$E,"")=0,"",_xlfn.XLOOKUP(TRIM(I1567),'SkillMasterSkill ID'!$C:$C,'SkillMasterSkill ID'!$E:$E,"")))</f>
        <v>OVST</v>
      </c>
      <c r="G1567" s="50" t="s">
        <v>1181</v>
      </c>
      <c r="H1567" s="42" t="s">
        <v>935</v>
      </c>
      <c r="I1567" t="s">
        <v>885</v>
      </c>
      <c r="J1567" s="50" t="str">
        <f>IF(I1567="","",_xlfn.XLOOKUP(TRIM(I1567),'SkillMasterSkill ID'!$C:$C,'SkillMasterSkill ID'!$F:$F,"NOT FOUND",0))</f>
        <v>Ability to set expectations, enforce accountability, and initiate timely corrective action when performance deviates.</v>
      </c>
      <c r="K1567" s="27"/>
      <c r="L1567" s="27"/>
    </row>
    <row r="1568" spans="1:12" ht="16.5" thickBot="1" x14ac:dyDescent="0.3">
      <c r="A1568" t="s">
        <v>971</v>
      </c>
      <c r="B1568" s="63">
        <v>10302</v>
      </c>
      <c r="C1568" s="63" t="s">
        <v>797</v>
      </c>
      <c r="D1568" s="31">
        <v>5</v>
      </c>
      <c r="E1568" s="31" t="str">
        <f>IF(I1568="","",_xlfn.XLOOKUP(TRIM(I1568),'SkillMasterSkill ID'!$C:$C,'SkillMasterSkill ID'!$D:$D,"NOT FOUND",0))</f>
        <v>ACCT</v>
      </c>
      <c r="F1568" s="46" t="str">
        <f>IF(I1568="","",IF(_xlfn.XLOOKUP(TRIM(I1568),'SkillMasterSkill ID'!$C:$C,'SkillMasterSkill ID'!$E:$E,"")=0,"",_xlfn.XLOOKUP(TRIM(I1568),'SkillMasterSkill ID'!$C:$C,'SkillMasterSkill ID'!$E:$E,"")))</f>
        <v>OVST</v>
      </c>
      <c r="G1568" t="s">
        <v>925</v>
      </c>
      <c r="H1568" s="42" t="s">
        <v>1201</v>
      </c>
      <c r="I1568" t="s">
        <v>885</v>
      </c>
      <c r="J1568" s="31" t="str">
        <f>IF(I1568="","",_xlfn.XLOOKUP(TRIM(I1568),'SkillMasterSkill ID'!$C:$C,'SkillMasterSkill ID'!$F:$F,"NOT FOUND",0))</f>
        <v>Ability to set expectations, enforce accountability, and initiate timely corrective action when performance deviates.</v>
      </c>
      <c r="K1568" s="31" t="s">
        <v>792</v>
      </c>
      <c r="L1568" s="31">
        <v>2</v>
      </c>
    </row>
    <row r="1569" spans="1:12" ht="16.5" thickBot="1" x14ac:dyDescent="0.3">
      <c r="A1569" t="s">
        <v>975</v>
      </c>
      <c r="B1569" s="63">
        <v>10302</v>
      </c>
      <c r="C1569" s="63" t="s">
        <v>797</v>
      </c>
      <c r="D1569" s="31">
        <v>5</v>
      </c>
      <c r="E1569" s="31" t="str">
        <f>IF(I1569="","",_xlfn.XLOOKUP(TRIM(I1569),'SkillMasterSkill ID'!$C:$C,'SkillMasterSkill ID'!$D:$D,"NOT FOUND",0))</f>
        <v>COMM</v>
      </c>
      <c r="F1569" s="46" t="str">
        <f>IF(I1569="","",IF(_xlfn.XLOOKUP(TRIM(I1569),'SkillMasterSkill ID'!$C:$C,'SkillMasterSkill ID'!$E:$E,"")=0,"",_xlfn.XLOOKUP(TRIM(I1569),'SkillMasterSkill ID'!$C:$C,'SkillMasterSkill ID'!$E:$E,"")))</f>
        <v/>
      </c>
      <c r="G1569" t="s">
        <v>925</v>
      </c>
      <c r="H1569" s="42" t="s">
        <v>1196</v>
      </c>
      <c r="I1569" t="s">
        <v>862</v>
      </c>
      <c r="J1569" s="31" t="str">
        <f>IF(I1569="","",_xlfn.XLOOKUP(TRIM(I1569),'SkillMasterSkill ID'!$C:$C,'SkillMasterSkill ID'!$F:$F,"NOT FOUND",0))</f>
        <v>Ability to communicate clearly and consistently about active listening.</v>
      </c>
      <c r="K1569" s="31" t="s">
        <v>792</v>
      </c>
      <c r="L1569" s="31">
        <v>2</v>
      </c>
    </row>
    <row r="1570" spans="1:12" ht="16.5" thickBot="1" x14ac:dyDescent="0.3">
      <c r="A1570" t="s">
        <v>975</v>
      </c>
      <c r="B1570" s="63">
        <v>10302</v>
      </c>
      <c r="C1570" s="63" t="s">
        <v>797</v>
      </c>
      <c r="D1570" s="31">
        <v>5</v>
      </c>
      <c r="E1570" s="31" t="str">
        <f>IF(I1570="","",_xlfn.XLOOKUP(TRIM(I1570),'SkillMasterSkill ID'!$C:$C,'SkillMasterSkill ID'!$D:$D,"NOT FOUND",0))</f>
        <v>COMM</v>
      </c>
      <c r="F1570" s="46" t="str">
        <f>IF(I1570="","",IF(_xlfn.XLOOKUP(TRIM(I1570),'SkillMasterSkill ID'!$C:$C,'SkillMasterSkill ID'!$E:$E,"")=0,"",_xlfn.XLOOKUP(TRIM(I1570),'SkillMasterSkill ID'!$C:$C,'SkillMasterSkill ID'!$E:$E,"")))</f>
        <v/>
      </c>
      <c r="G1570" t="s">
        <v>925</v>
      </c>
      <c r="H1570" s="42" t="s">
        <v>1204</v>
      </c>
      <c r="I1570" t="s">
        <v>862</v>
      </c>
      <c r="J1570" s="31" t="str">
        <f>IF(I1570="","",_xlfn.XLOOKUP(TRIM(I1570),'SkillMasterSkill ID'!$C:$C,'SkillMasterSkill ID'!$F:$F,"NOT FOUND",0))</f>
        <v>Ability to communicate clearly and consistently about active listening.</v>
      </c>
      <c r="K1570" s="31" t="s">
        <v>792</v>
      </c>
      <c r="L1570" s="31">
        <v>2</v>
      </c>
    </row>
    <row r="1571" spans="1:12" ht="16.5" thickBot="1" x14ac:dyDescent="0.3">
      <c r="A1571" t="s">
        <v>975</v>
      </c>
      <c r="B1571" s="63">
        <v>10302</v>
      </c>
      <c r="C1571" s="63" t="s">
        <v>797</v>
      </c>
      <c r="D1571" s="31">
        <v>5</v>
      </c>
      <c r="E1571" s="31" t="str">
        <f>IF(I1571="","",_xlfn.XLOOKUP(TRIM(I1571),'SkillMasterSkill ID'!$C:$C,'SkillMasterSkill ID'!$D:$D,"NOT FOUND",0))</f>
        <v>COMM</v>
      </c>
      <c r="F1571" s="46" t="str">
        <f>IF(I1571="","",IF(_xlfn.XLOOKUP(TRIM(I1571),'SkillMasterSkill ID'!$C:$C,'SkillMasterSkill ID'!$E:$E,"")=0,"",_xlfn.XLOOKUP(TRIM(I1571),'SkillMasterSkill ID'!$C:$C,'SkillMasterSkill ID'!$E:$E,"")))</f>
        <v/>
      </c>
      <c r="G1571" t="s">
        <v>925</v>
      </c>
      <c r="H1571" s="42" t="s">
        <v>1208</v>
      </c>
      <c r="I1571" t="s">
        <v>862</v>
      </c>
      <c r="J1571" s="31" t="str">
        <f>IF(I1571="","",_xlfn.XLOOKUP(TRIM(I1571),'SkillMasterSkill ID'!$C:$C,'SkillMasterSkill ID'!$F:$F,"NOT FOUND",0))</f>
        <v>Ability to communicate clearly and consistently about active listening.</v>
      </c>
      <c r="K1571" s="31" t="s">
        <v>792</v>
      </c>
      <c r="L1571" s="31">
        <v>2</v>
      </c>
    </row>
    <row r="1572" spans="1:12" ht="16.5" thickBot="1" x14ac:dyDescent="0.3">
      <c r="A1572" t="s">
        <v>981</v>
      </c>
      <c r="B1572" s="63">
        <v>10302</v>
      </c>
      <c r="C1572" s="63" t="s">
        <v>797</v>
      </c>
      <c r="D1572" s="31">
        <v>5</v>
      </c>
      <c r="E1572" s="31" t="str">
        <f>IF(I1572="","",_xlfn.XLOOKUP(TRIM(I1572),'SkillMasterSkill ID'!$C:$C,'SkillMasterSkill ID'!$D:$D,"NOT FOUND",0))</f>
        <v>LEAD</v>
      </c>
      <c r="F1572" s="46" t="str">
        <f>IF(I1572="","",IF(_xlfn.XLOOKUP(TRIM(I1572),'SkillMasterSkill ID'!$C:$C,'SkillMasterSkill ID'!$E:$E,"")=0,"",_xlfn.XLOOKUP(TRIM(I1572),'SkillMasterSkill ID'!$C:$C,'SkillMasterSkill ID'!$E:$E,"")))</f>
        <v/>
      </c>
      <c r="G1572" t="s">
        <v>925</v>
      </c>
      <c r="H1572" s="42" t="s">
        <v>1208</v>
      </c>
      <c r="I1572" t="s">
        <v>853</v>
      </c>
      <c r="J1572" s="31" t="str">
        <f>IF(I1572="","",_xlfn.XLOOKUP(TRIM(I1572),'SkillMasterSkill ID'!$C:$C,'SkillMasterSkill ID'!$F:$F,"NOT FOUND",0))</f>
        <v>Ability to lead effectively through presence, standards, and influenceâ€”aligning teams without micromanaging.</v>
      </c>
      <c r="K1572" s="31" t="s">
        <v>792</v>
      </c>
      <c r="L1572" s="31">
        <v>2</v>
      </c>
    </row>
    <row r="1573" spans="1:12" ht="16.5" thickBot="1" x14ac:dyDescent="0.3">
      <c r="A1573" t="s">
        <v>982</v>
      </c>
      <c r="B1573" s="63">
        <v>10302</v>
      </c>
      <c r="C1573" s="63" t="s">
        <v>797</v>
      </c>
      <c r="D1573" s="50">
        <v>5</v>
      </c>
      <c r="E1573" s="46" t="str">
        <f>IF(I1573="","",_xlfn.XLOOKUP(TRIM(I1573),'SkillMasterSkill ID'!$C:$C,'SkillMasterSkill ID'!$D:$D,"",0))</f>
        <v>COACH</v>
      </c>
      <c r="F1573" s="46" t="str">
        <f>IF(I1573="","",IF(_xlfn.XLOOKUP(TRIM(I1573),'SkillMasterSkill ID'!$C:$C,'SkillMasterSkill ID'!$E:$E,"")=0,"",_xlfn.XLOOKUP(TRIM(I1573),'SkillMasterSkill ID'!$C:$C,'SkillMasterSkill ID'!$E:$E,"")))</f>
        <v/>
      </c>
      <c r="G1573" s="50" t="s">
        <v>1181</v>
      </c>
      <c r="H1573" s="42" t="s">
        <v>1173</v>
      </c>
      <c r="I1573" t="s">
        <v>869</v>
      </c>
      <c r="J1573" s="50" t="str">
        <f>IF(I1573="","",_xlfn.XLOOKUP(TRIM(I1573),'SkillMasterSkill ID'!$C:$C,'SkillMasterSkill ID'!$F:$F,"NOT FOUND",0))</f>
        <v>Competency related to behavior correction that supports effective field/project leadership and execution.</v>
      </c>
      <c r="K1573" s="50"/>
      <c r="L1573" s="50"/>
    </row>
    <row r="1574" spans="1:12" ht="16.5" thickBot="1" x14ac:dyDescent="0.3">
      <c r="A1574" t="s">
        <v>982</v>
      </c>
      <c r="B1574" s="63">
        <v>10302</v>
      </c>
      <c r="C1574" s="63" t="s">
        <v>797</v>
      </c>
      <c r="D1574" s="50">
        <v>5</v>
      </c>
      <c r="E1574" s="46" t="str">
        <f>IF(I1574="","",_xlfn.XLOOKUP(TRIM(I1574),'SkillMasterSkill ID'!$C:$C,'SkillMasterSkill ID'!$D:$D,"",0))</f>
        <v>COACH</v>
      </c>
      <c r="F1574" s="46" t="str">
        <f>IF(I1574="","",IF(_xlfn.XLOOKUP(TRIM(I1574),'SkillMasterSkill ID'!$C:$C,'SkillMasterSkill ID'!$E:$E,"")=0,"",_xlfn.XLOOKUP(TRIM(I1574),'SkillMasterSkill ID'!$C:$C,'SkillMasterSkill ID'!$E:$E,"")))</f>
        <v/>
      </c>
      <c r="G1574" s="50" t="s">
        <v>1181</v>
      </c>
      <c r="H1574" s="42" t="s">
        <v>1173</v>
      </c>
      <c r="I1574" t="s">
        <v>869</v>
      </c>
      <c r="J1574" s="50" t="str">
        <f>IF(I1574="","",_xlfn.XLOOKUP(TRIM(I1574),'SkillMasterSkill ID'!$C:$C,'SkillMasterSkill ID'!$F:$F,"NOT FOUND",0))</f>
        <v>Competency related to behavior correction that supports effective field/project leadership and execution.</v>
      </c>
      <c r="K1574" s="27"/>
      <c r="L1574" s="27"/>
    </row>
    <row r="1575" spans="1:12" ht="16.5" thickBot="1" x14ac:dyDescent="0.3">
      <c r="A1575" t="s">
        <v>982</v>
      </c>
      <c r="B1575" s="63">
        <v>10302</v>
      </c>
      <c r="C1575" s="63" t="s">
        <v>797</v>
      </c>
      <c r="D1575" s="31">
        <v>5</v>
      </c>
      <c r="E1575" s="31" t="str">
        <f>IF(I1575="","",_xlfn.XLOOKUP(TRIM(I1575),'SkillMasterSkill ID'!$C:$C,'SkillMasterSkill ID'!$D:$D,"NOT FOUND",0))</f>
        <v>COACH</v>
      </c>
      <c r="F1575" s="46" t="str">
        <f>IF(I1575="","",IF(_xlfn.XLOOKUP(TRIM(I1575),'SkillMasterSkill ID'!$C:$C,'SkillMasterSkill ID'!$E:$E,"")=0,"",_xlfn.XLOOKUP(TRIM(I1575),'SkillMasterSkill ID'!$C:$C,'SkillMasterSkill ID'!$E:$E,"")))</f>
        <v/>
      </c>
      <c r="G1575" t="s">
        <v>925</v>
      </c>
      <c r="H1575" s="42" t="s">
        <v>1201</v>
      </c>
      <c r="I1575" t="s">
        <v>869</v>
      </c>
      <c r="J1575" s="31" t="str">
        <f>IF(I1575="","",_xlfn.XLOOKUP(TRIM(I1575),'SkillMasterSkill ID'!$C:$C,'SkillMasterSkill ID'!$F:$F,"NOT FOUND",0))</f>
        <v>Competency related to behavior correction that supports effective field/project leadership and execution.</v>
      </c>
      <c r="K1575" s="31" t="s">
        <v>792</v>
      </c>
      <c r="L1575" s="31">
        <v>2</v>
      </c>
    </row>
    <row r="1576" spans="1:12" ht="16.5" thickBot="1" x14ac:dyDescent="0.3">
      <c r="A1576" t="s">
        <v>984</v>
      </c>
      <c r="B1576" s="63">
        <v>10302</v>
      </c>
      <c r="C1576" s="63" t="s">
        <v>797</v>
      </c>
      <c r="D1576" s="50">
        <v>5</v>
      </c>
      <c r="E1576" s="46" t="str">
        <f>IF(I1576="","",_xlfn.XLOOKUP(TRIM(I1576),'SkillMasterSkill ID'!$C:$C,'SkillMasterSkill ID'!$D:$D,"NOT FOUND",0))</f>
        <v>PERF</v>
      </c>
      <c r="F1576" s="46" t="str">
        <f>IF(I1576="","",IF(_xlfn.XLOOKUP(TRIM(I1576),'SkillMasterSkill ID'!$C:$C,'SkillMasterSkill ID'!$E:$E,"")=0,"",_xlfn.XLOOKUP(TRIM(I1576),'SkillMasterSkill ID'!$C:$C,'SkillMasterSkill ID'!$E:$E,"")))</f>
        <v/>
      </c>
      <c r="G1576" s="11" t="s">
        <v>921</v>
      </c>
      <c r="H1576" s="42" t="s">
        <v>1182</v>
      </c>
      <c r="I1576" t="s">
        <v>843</v>
      </c>
      <c r="J1576" s="50" t="str">
        <f>IF(I1576="","",_xlfn.XLOOKUP(TRIM(I1576),'SkillMasterSkill ID'!$C:$C,'SkillMasterSkill ID'!$F:$F,"NOT FOUND",0))</f>
        <v>Ability to understand and manage cost, budget, and productivity drivers to control project financial performance.</v>
      </c>
      <c r="K1576" s="27"/>
      <c r="L1576" s="27"/>
    </row>
    <row r="1577" spans="1:12" ht="16.5" thickBot="1" x14ac:dyDescent="0.3">
      <c r="A1577" t="s">
        <v>986</v>
      </c>
      <c r="B1577" s="63">
        <v>10302</v>
      </c>
      <c r="C1577" s="63" t="s">
        <v>797</v>
      </c>
      <c r="D1577" s="50">
        <v>5</v>
      </c>
      <c r="E1577" s="46" t="str">
        <f>IF(I1577="","",_xlfn.XLOOKUP(TRIM(I1577),'SkillMasterSkill ID'!$C:$C,'SkillMasterSkill ID'!$D:$D,"NOT FOUND",0))</f>
        <v>BUDG</v>
      </c>
      <c r="F1577" s="46" t="str">
        <f>IF(I1577="","",IF(_xlfn.XLOOKUP(TRIM(I1577),'SkillMasterSkill ID'!$C:$C,'SkillMasterSkill ID'!$E:$E,"")=0,"",_xlfn.XLOOKUP(TRIM(I1577),'SkillMasterSkill ID'!$C:$C,'SkillMasterSkill ID'!$E:$E,"")))</f>
        <v/>
      </c>
      <c r="G1577" s="11" t="s">
        <v>921</v>
      </c>
      <c r="H1577" s="42" t="s">
        <v>1183</v>
      </c>
      <c r="I1577" t="s">
        <v>890</v>
      </c>
      <c r="J1577" s="50" t="str">
        <f>IF(I1577="","",_xlfn.XLOOKUP(TRIM(I1577),'SkillMasterSkill ID'!$C:$C,'SkillMasterSkill ID'!$F:$F,"NOT FOUND",0))</f>
        <v>Ability to understand and manage cost, budget, and productivity drivers to control project financial performance.</v>
      </c>
      <c r="K1577" s="27"/>
      <c r="L1577" s="27"/>
    </row>
    <row r="1578" spans="1:12" ht="16.5" thickBot="1" x14ac:dyDescent="0.3">
      <c r="A1578" t="s">
        <v>988</v>
      </c>
      <c r="B1578" s="63">
        <v>10302</v>
      </c>
      <c r="C1578" s="63" t="s">
        <v>797</v>
      </c>
      <c r="D1578" s="50">
        <v>5</v>
      </c>
      <c r="E1578" s="50" t="str">
        <f>IF(I1578="","",_xlfn.XLOOKUP(TRIM(I1578),'SkillMasterSkill ID'!$C:$C,'SkillMasterSkill ID'!$D:$D,"NOT FOUND",0))</f>
        <v>ADAPT</v>
      </c>
      <c r="F1578" s="46" t="str">
        <f>IF(I1578="","",IF(_xlfn.XLOOKUP(TRIM(I1578),'SkillMasterSkill ID'!$C:$C,'SkillMasterSkill ID'!$E:$E,"")=0,"",_xlfn.XLOOKUP(TRIM(I1578),'SkillMasterSkill ID'!$C:$C,'SkillMasterSkill ID'!$E:$E,"")))</f>
        <v/>
      </c>
      <c r="G1578" s="11" t="s">
        <v>921</v>
      </c>
      <c r="H1578" s="42" t="s">
        <v>1185</v>
      </c>
      <c r="I1578" t="s">
        <v>812</v>
      </c>
      <c r="J1578" s="50" t="str">
        <f>IF(I1578="","",_xlfn.XLOOKUP(TRIM(I1578),'SkillMasterSkill ID'!$C:$C,'SkillMasterSkill ID'!$F:$F,"NOT FOUND",0))</f>
        <v>Competency related to change management that supports effective field/project leadership and execution.</v>
      </c>
      <c r="K1578" s="50" t="s">
        <v>792</v>
      </c>
      <c r="L1578" s="50">
        <v>2</v>
      </c>
    </row>
    <row r="1579" spans="1:12" ht="16.5" thickBot="1" x14ac:dyDescent="0.3">
      <c r="A1579" t="s">
        <v>992</v>
      </c>
      <c r="B1579" s="63">
        <v>10302</v>
      </c>
      <c r="C1579" s="63" t="s">
        <v>797</v>
      </c>
      <c r="D1579" s="31">
        <v>5</v>
      </c>
      <c r="E1579" s="31" t="str">
        <f>IF(I1579="","",_xlfn.XLOOKUP(TRIM(I1579),'SkillMasterSkill ID'!$C:$C,'SkillMasterSkill ID'!$D:$D,"NOT FOUND",0))</f>
        <v>COMM</v>
      </c>
      <c r="F1579" s="46" t="str">
        <f>IF(I1579="","",IF(_xlfn.XLOOKUP(TRIM(I1579),'SkillMasterSkill ID'!$C:$C,'SkillMasterSkill ID'!$E:$E,"")=0,"",_xlfn.XLOOKUP(TRIM(I1579),'SkillMasterSkill ID'!$C:$C,'SkillMasterSkill ID'!$E:$E,"")))</f>
        <v/>
      </c>
      <c r="G1579" s="11" t="s">
        <v>921</v>
      </c>
      <c r="H1579" s="42" t="s">
        <v>1193</v>
      </c>
      <c r="I1579" t="s">
        <v>860</v>
      </c>
      <c r="J1579" s="31" t="str">
        <f>IF(I1579="","",_xlfn.XLOOKUP(TRIM(I1579),'SkillMasterSkill ID'!$C:$C,'SkillMasterSkill ID'!$F:$F,"NOT FOUND",0))</f>
        <v>Ability to communicate clearly and consistently about clear verbal.</v>
      </c>
      <c r="K1579" s="31" t="s">
        <v>792</v>
      </c>
      <c r="L1579" s="31">
        <v>2</v>
      </c>
    </row>
    <row r="1580" spans="1:12" ht="16.5" thickBot="1" x14ac:dyDescent="0.3">
      <c r="A1580" t="s">
        <v>992</v>
      </c>
      <c r="B1580" s="63">
        <v>10302</v>
      </c>
      <c r="C1580" s="63" t="s">
        <v>797</v>
      </c>
      <c r="D1580" s="31">
        <v>5</v>
      </c>
      <c r="E1580" s="31" t="str">
        <f>IF(I1580="","",_xlfn.XLOOKUP(TRIM(I1580),'SkillMasterSkill ID'!$C:$C,'SkillMasterSkill ID'!$D:$D,"NOT FOUND",0))</f>
        <v>COMM</v>
      </c>
      <c r="F1580" s="46" t="str">
        <f>IF(I1580="","",IF(_xlfn.XLOOKUP(TRIM(I1580),'SkillMasterSkill ID'!$C:$C,'SkillMasterSkill ID'!$E:$E,"")=0,"",_xlfn.XLOOKUP(TRIM(I1580),'SkillMasterSkill ID'!$C:$C,'SkillMasterSkill ID'!$E:$E,"")))</f>
        <v/>
      </c>
      <c r="G1580" t="s">
        <v>925</v>
      </c>
      <c r="H1580" s="42" t="s">
        <v>1196</v>
      </c>
      <c r="I1580" t="s">
        <v>860</v>
      </c>
      <c r="J1580" s="31" t="str">
        <f>IF(I1580="","",_xlfn.XLOOKUP(TRIM(I1580),'SkillMasterSkill ID'!$C:$C,'SkillMasterSkill ID'!$F:$F,"NOT FOUND",0))</f>
        <v>Ability to communicate clearly and consistently about clear verbal.</v>
      </c>
      <c r="K1580" s="31" t="s">
        <v>792</v>
      </c>
      <c r="L1580" s="31">
        <v>2</v>
      </c>
    </row>
    <row r="1581" spans="1:12" ht="16.5" thickBot="1" x14ac:dyDescent="0.3">
      <c r="A1581" t="s">
        <v>996</v>
      </c>
      <c r="B1581" s="63">
        <v>10302</v>
      </c>
      <c r="C1581" s="63" t="s">
        <v>797</v>
      </c>
      <c r="D1581" s="50">
        <v>5</v>
      </c>
      <c r="E1581" s="46" t="str">
        <f>IF(I1581="","",_xlfn.XLOOKUP(TRIM(I1581),'SkillMasterSkill ID'!$C:$C,'SkillMasterSkill ID'!$D:$D,"",0))</f>
        <v>COACH</v>
      </c>
      <c r="F1581" s="46" t="str">
        <f>IF(I1581="","",IF(_xlfn.XLOOKUP(TRIM(I1581),'SkillMasterSkill ID'!$C:$C,'SkillMasterSkill ID'!$E:$E,"")=0,"",_xlfn.XLOOKUP(TRIM(I1581),'SkillMasterSkill ID'!$C:$C,'SkillMasterSkill ID'!$E:$E,"")))</f>
        <v/>
      </c>
      <c r="G1581" s="50" t="s">
        <v>1181</v>
      </c>
      <c r="H1581" s="42" t="s">
        <v>1173</v>
      </c>
      <c r="I1581" t="s">
        <v>867</v>
      </c>
      <c r="J1581" s="50" t="str">
        <f>IF(I1581="","",_xlfn.XLOOKUP(TRIM(I1581),'SkillMasterSkill ID'!$C:$C,'SkillMasterSkill ID'!$F:$F,"NOT FOUND",0))</f>
        <v>Ability to coach and develop people through feedback, diagnosis, and follow-through to improve performance.</v>
      </c>
      <c r="K1581" s="50"/>
      <c r="L1581" s="50"/>
    </row>
    <row r="1582" spans="1:12" ht="16.5" thickBot="1" x14ac:dyDescent="0.3">
      <c r="A1582" t="s">
        <v>996</v>
      </c>
      <c r="B1582" s="63">
        <v>10302</v>
      </c>
      <c r="C1582" s="63" t="s">
        <v>797</v>
      </c>
      <c r="D1582" s="50">
        <v>5</v>
      </c>
      <c r="E1582" s="46" t="str">
        <f>IF(I1582="","",_xlfn.XLOOKUP(TRIM(I1582),'SkillMasterSkill ID'!$C:$C,'SkillMasterSkill ID'!$D:$D,"",0))</f>
        <v>COACH</v>
      </c>
      <c r="F1582" s="46" t="str">
        <f>IF(I1582="","",IF(_xlfn.XLOOKUP(TRIM(I1582),'SkillMasterSkill ID'!$C:$C,'SkillMasterSkill ID'!$E:$E,"")=0,"",_xlfn.XLOOKUP(TRIM(I1582),'SkillMasterSkill ID'!$C:$C,'SkillMasterSkill ID'!$E:$E,"")))</f>
        <v/>
      </c>
      <c r="G1582" s="50" t="s">
        <v>1181</v>
      </c>
      <c r="H1582" s="42" t="s">
        <v>944</v>
      </c>
      <c r="I1582" t="s">
        <v>867</v>
      </c>
      <c r="J1582" s="50" t="str">
        <f>IF(I1582="","",_xlfn.XLOOKUP(TRIM(I1582),'SkillMasterSkill ID'!$C:$C,'SkillMasterSkill ID'!$F:$F,"NOT FOUND",0))</f>
        <v>Ability to coach and develop people through feedback, diagnosis, and follow-through to improve performance.</v>
      </c>
      <c r="K1582" s="50" t="s">
        <v>796</v>
      </c>
      <c r="L1582" s="50">
        <v>1</v>
      </c>
    </row>
    <row r="1583" spans="1:12" ht="16.5" thickBot="1" x14ac:dyDescent="0.3">
      <c r="A1583" t="s">
        <v>996</v>
      </c>
      <c r="B1583" s="63">
        <v>10302</v>
      </c>
      <c r="C1583" s="63" t="s">
        <v>797</v>
      </c>
      <c r="D1583" s="50">
        <v>5</v>
      </c>
      <c r="E1583" s="46" t="str">
        <f>IF(I1583="","",_xlfn.XLOOKUP(TRIM(I1583),'SkillMasterSkill ID'!$C:$C,'SkillMasterSkill ID'!$D:$D,"",0))</f>
        <v>COACH</v>
      </c>
      <c r="F1583" s="46" t="str">
        <f>IF(I1583="","",IF(_xlfn.XLOOKUP(TRIM(I1583),'SkillMasterSkill ID'!$C:$C,'SkillMasterSkill ID'!$E:$E,"")=0,"",_xlfn.XLOOKUP(TRIM(I1583),'SkillMasterSkill ID'!$C:$C,'SkillMasterSkill ID'!$E:$E,"")))</f>
        <v/>
      </c>
      <c r="G1583" s="50" t="s">
        <v>1181</v>
      </c>
      <c r="H1583" s="42" t="s">
        <v>1173</v>
      </c>
      <c r="I1583" t="s">
        <v>867</v>
      </c>
      <c r="J1583" s="50" t="str">
        <f>IF(I1583="","",_xlfn.XLOOKUP(TRIM(I1583),'SkillMasterSkill ID'!$C:$C,'SkillMasterSkill ID'!$F:$F,"NOT FOUND",0))</f>
        <v>Ability to coach and develop people through feedback, diagnosis, and follow-through to improve performance.</v>
      </c>
      <c r="K1583" s="27"/>
      <c r="L1583" s="27"/>
    </row>
    <row r="1584" spans="1:12" ht="16.5" thickBot="1" x14ac:dyDescent="0.3">
      <c r="A1584" t="s">
        <v>996</v>
      </c>
      <c r="B1584" s="63">
        <v>10302</v>
      </c>
      <c r="C1584" s="63" t="s">
        <v>797</v>
      </c>
      <c r="D1584" s="50">
        <v>5</v>
      </c>
      <c r="E1584" s="46" t="str">
        <f>IF(I1584="","",_xlfn.XLOOKUP(TRIM(I1584),'SkillMasterSkill ID'!$C:$C,'SkillMasterSkill ID'!$D:$D,"",0))</f>
        <v>COACH</v>
      </c>
      <c r="F1584" s="46" t="str">
        <f>IF(I1584="","",IF(_xlfn.XLOOKUP(TRIM(I1584),'SkillMasterSkill ID'!$C:$C,'SkillMasterSkill ID'!$E:$E,"")=0,"",_xlfn.XLOOKUP(TRIM(I1584),'SkillMasterSkill ID'!$C:$C,'SkillMasterSkill ID'!$E:$E,"")))</f>
        <v/>
      </c>
      <c r="G1584" s="50" t="s">
        <v>1181</v>
      </c>
      <c r="H1584" s="42" t="s">
        <v>944</v>
      </c>
      <c r="I1584" t="s">
        <v>867</v>
      </c>
      <c r="J1584" s="50" t="str">
        <f>IF(I1584="","",_xlfn.XLOOKUP(TRIM(I1584),'SkillMasterSkill ID'!$C:$C,'SkillMasterSkill ID'!$F:$F,"NOT FOUND",0))</f>
        <v>Ability to coach and develop people through feedback, diagnosis, and follow-through to improve performance.</v>
      </c>
      <c r="K1584" s="27"/>
      <c r="L1584" s="27"/>
    </row>
    <row r="1585" spans="1:12" ht="16.5" thickBot="1" x14ac:dyDescent="0.3">
      <c r="A1585" t="s">
        <v>996</v>
      </c>
      <c r="B1585" s="63">
        <v>10302</v>
      </c>
      <c r="C1585" s="63" t="s">
        <v>797</v>
      </c>
      <c r="D1585" s="31">
        <v>5</v>
      </c>
      <c r="E1585" s="31" t="str">
        <f>IF(I1585="","",_xlfn.XLOOKUP(TRIM(I1585),'SkillMasterSkill ID'!$C:$C,'SkillMasterSkill ID'!$D:$D,"NOT FOUND",0))</f>
        <v>COACH</v>
      </c>
      <c r="F1585" s="46" t="str">
        <f>IF(I1585="","",IF(_xlfn.XLOOKUP(TRIM(I1585),'SkillMasterSkill ID'!$C:$C,'SkillMasterSkill ID'!$E:$E,"")=0,"",_xlfn.XLOOKUP(TRIM(I1585),'SkillMasterSkill ID'!$C:$C,'SkillMasterSkill ID'!$E:$E,"")))</f>
        <v/>
      </c>
      <c r="G1585" t="s">
        <v>925</v>
      </c>
      <c r="H1585" s="42" t="s">
        <v>1200</v>
      </c>
      <c r="I1585" t="s">
        <v>867</v>
      </c>
      <c r="J1585" s="31" t="str">
        <f>IF(I1585="","",_xlfn.XLOOKUP(TRIM(I1585),'SkillMasterSkill ID'!$C:$C,'SkillMasterSkill ID'!$F:$F,"NOT FOUND",0))</f>
        <v>Ability to coach and develop people through feedback, diagnosis, and follow-through to improve performance.</v>
      </c>
      <c r="K1585" s="31" t="s">
        <v>792</v>
      </c>
      <c r="L1585" s="31">
        <v>2</v>
      </c>
    </row>
    <row r="1586" spans="1:12" ht="16.5" thickBot="1" x14ac:dyDescent="0.3">
      <c r="A1586" t="s">
        <v>996</v>
      </c>
      <c r="B1586" s="63">
        <v>10302</v>
      </c>
      <c r="C1586" s="63" t="s">
        <v>797</v>
      </c>
      <c r="D1586" s="31">
        <v>5</v>
      </c>
      <c r="E1586" s="31" t="str">
        <f>IF(I1586="","",_xlfn.XLOOKUP(TRIM(I1586),'SkillMasterSkill ID'!$C:$C,'SkillMasterSkill ID'!$D:$D,"NOT FOUND",0))</f>
        <v>COACH</v>
      </c>
      <c r="F1586" s="46" t="str">
        <f>IF(I1586="","",IF(_xlfn.XLOOKUP(TRIM(I1586),'SkillMasterSkill ID'!$C:$C,'SkillMasterSkill ID'!$E:$E,"")=0,"",_xlfn.XLOOKUP(TRIM(I1586),'SkillMasterSkill ID'!$C:$C,'SkillMasterSkill ID'!$E:$E,"")))</f>
        <v/>
      </c>
      <c r="G1586" t="s">
        <v>925</v>
      </c>
      <c r="H1586" s="42" t="s">
        <v>1206</v>
      </c>
      <c r="I1586" t="s">
        <v>867</v>
      </c>
      <c r="J1586" s="31" t="str">
        <f>IF(I1586="","",_xlfn.XLOOKUP(TRIM(I1586),'SkillMasterSkill ID'!$C:$C,'SkillMasterSkill ID'!$F:$F,"NOT FOUND",0))</f>
        <v>Ability to coach and develop people through feedback, diagnosis, and follow-through to improve performance.</v>
      </c>
      <c r="K1586" s="31" t="s">
        <v>792</v>
      </c>
      <c r="L1586" s="31">
        <v>2</v>
      </c>
    </row>
    <row r="1587" spans="1:12" ht="16.5" thickBot="1" x14ac:dyDescent="0.3">
      <c r="A1587" t="s">
        <v>998</v>
      </c>
      <c r="B1587" s="63">
        <v>10302</v>
      </c>
      <c r="C1587" s="63" t="s">
        <v>797</v>
      </c>
      <c r="D1587" s="50">
        <v>5</v>
      </c>
      <c r="E1587" s="46" t="str">
        <f>IF(I1587="","",_xlfn.XLOOKUP(TRIM(I1587),'SkillMasterSkill ID'!$C:$C,'SkillMasterSkill ID'!$D:$D,"",0))</f>
        <v>ADAPT</v>
      </c>
      <c r="F1587" s="46" t="str">
        <f>IF(I1587="","",IF(_xlfn.XLOOKUP(TRIM(I1587),'SkillMasterSkill ID'!$C:$C,'SkillMasterSkill ID'!$E:$E,"")=0,"",_xlfn.XLOOKUP(TRIM(I1587),'SkillMasterSkill ID'!$C:$C,'SkillMasterSkill ID'!$E:$E,"")))</f>
        <v/>
      </c>
      <c r="G1587" s="50" t="s">
        <v>1181</v>
      </c>
      <c r="H1587" s="42" t="s">
        <v>1173</v>
      </c>
      <c r="I1587" t="s">
        <v>808</v>
      </c>
      <c r="J1587" s="50" t="str">
        <f>IF(I1587="","",_xlfn.XLOOKUP(TRIM(I1587),'SkillMasterSkill ID'!$C:$C,'SkillMasterSkill ID'!$F:$F,"NOT FOUND",0))</f>
        <v>Ability to communicate clearly and consistently about style adjustment.</v>
      </c>
      <c r="K1587" s="50" t="s">
        <v>795</v>
      </c>
      <c r="L1587" s="50">
        <v>2</v>
      </c>
    </row>
    <row r="1588" spans="1:12" ht="16.5" thickBot="1" x14ac:dyDescent="0.3">
      <c r="A1588" t="s">
        <v>998</v>
      </c>
      <c r="B1588" s="63">
        <v>10302</v>
      </c>
      <c r="C1588" s="63" t="s">
        <v>797</v>
      </c>
      <c r="D1588" s="50">
        <v>5</v>
      </c>
      <c r="E1588" s="46" t="str">
        <f>IF(I1588="","",_xlfn.XLOOKUP(TRIM(I1588),'SkillMasterSkill ID'!$C:$C,'SkillMasterSkill ID'!$D:$D,"",0))</f>
        <v>ADAPT</v>
      </c>
      <c r="F1588" s="46" t="str">
        <f>IF(I1588="","",IF(_xlfn.XLOOKUP(TRIM(I1588),'SkillMasterSkill ID'!$C:$C,'SkillMasterSkill ID'!$E:$E,"")=0,"",_xlfn.XLOOKUP(TRIM(I1588),'SkillMasterSkill ID'!$C:$C,'SkillMasterSkill ID'!$E:$E,"")))</f>
        <v/>
      </c>
      <c r="G1588" s="50" t="s">
        <v>1181</v>
      </c>
      <c r="H1588" s="42" t="s">
        <v>1173</v>
      </c>
      <c r="I1588" t="s">
        <v>808</v>
      </c>
      <c r="J1588" s="50" t="str">
        <f>IF(I1588="","",_xlfn.XLOOKUP(TRIM(I1588),'SkillMasterSkill ID'!$C:$C,'SkillMasterSkill ID'!$F:$F,"NOT FOUND",0))</f>
        <v>Ability to communicate clearly and consistently about style adjustment.</v>
      </c>
      <c r="K1588" s="27"/>
      <c r="L1588" s="27"/>
    </row>
    <row r="1589" spans="1:12" ht="16.5" thickBot="1" x14ac:dyDescent="0.3">
      <c r="A1589" t="s">
        <v>998</v>
      </c>
      <c r="B1589" s="63">
        <v>10302</v>
      </c>
      <c r="C1589" s="63" t="s">
        <v>797</v>
      </c>
      <c r="D1589" s="31">
        <v>5</v>
      </c>
      <c r="E1589" s="31" t="str">
        <f>IF(I1589="","",_xlfn.XLOOKUP(TRIM(I1589),'SkillMasterSkill ID'!$C:$C,'SkillMasterSkill ID'!$D:$D,"NOT FOUND",0))</f>
        <v>ADAPT</v>
      </c>
      <c r="F1589" s="46" t="str">
        <f>IF(I1589="","",IF(_xlfn.XLOOKUP(TRIM(I1589),'SkillMasterSkill ID'!$C:$C,'SkillMasterSkill ID'!$E:$E,"")=0,"",_xlfn.XLOOKUP(TRIM(I1589),'SkillMasterSkill ID'!$C:$C,'SkillMasterSkill ID'!$E:$E,"")))</f>
        <v/>
      </c>
      <c r="G1589" t="s">
        <v>925</v>
      </c>
      <c r="H1589" s="42" t="s">
        <v>1200</v>
      </c>
      <c r="I1589" t="s">
        <v>808</v>
      </c>
      <c r="J1589" s="31" t="str">
        <f>IF(I1589="","",_xlfn.XLOOKUP(TRIM(I1589),'SkillMasterSkill ID'!$C:$C,'SkillMasterSkill ID'!$F:$F,"NOT FOUND",0))</f>
        <v>Ability to communicate clearly and consistently about style adjustment.</v>
      </c>
      <c r="K1589" s="31" t="s">
        <v>792</v>
      </c>
      <c r="L1589" s="31">
        <v>2</v>
      </c>
    </row>
    <row r="1590" spans="1:12" ht="16.5" thickBot="1" x14ac:dyDescent="0.3">
      <c r="A1590" t="s">
        <v>998</v>
      </c>
      <c r="B1590" s="63">
        <v>10302</v>
      </c>
      <c r="C1590" s="63" t="s">
        <v>797</v>
      </c>
      <c r="D1590" s="31">
        <v>5</v>
      </c>
      <c r="E1590" s="31" t="str">
        <f>IF(I1590="","",_xlfn.XLOOKUP(TRIM(I1590),'SkillMasterSkill ID'!$C:$C,'SkillMasterSkill ID'!$D:$D,"NOT FOUND",0))</f>
        <v>ADAPT</v>
      </c>
      <c r="F1590" s="46" t="str">
        <f>IF(I1590="","",IF(_xlfn.XLOOKUP(TRIM(I1590),'SkillMasterSkill ID'!$C:$C,'SkillMasterSkill ID'!$E:$E,"")=0,"",_xlfn.XLOOKUP(TRIM(I1590),'SkillMasterSkill ID'!$C:$C,'SkillMasterSkill ID'!$E:$E,"")))</f>
        <v/>
      </c>
      <c r="G1590" t="s">
        <v>925</v>
      </c>
      <c r="H1590" s="42" t="s">
        <v>1204</v>
      </c>
      <c r="I1590" t="s">
        <v>808</v>
      </c>
      <c r="J1590" s="31" t="str">
        <f>IF(I1590="","",_xlfn.XLOOKUP(TRIM(I1590),'SkillMasterSkill ID'!$C:$C,'SkillMasterSkill ID'!$F:$F,"NOT FOUND",0))</f>
        <v>Ability to communicate clearly and consistently about style adjustment.</v>
      </c>
      <c r="K1590" s="31" t="s">
        <v>792</v>
      </c>
      <c r="L1590" s="31">
        <v>2</v>
      </c>
    </row>
    <row r="1591" spans="1:12" ht="16.5" thickBot="1" x14ac:dyDescent="0.3">
      <c r="A1591" t="s">
        <v>998</v>
      </c>
      <c r="B1591" s="63">
        <v>10302</v>
      </c>
      <c r="C1591" s="63" t="s">
        <v>797</v>
      </c>
      <c r="D1591" s="31">
        <v>5</v>
      </c>
      <c r="E1591" s="31" t="str">
        <f>IF(I1591="","",_xlfn.XLOOKUP(TRIM(I1591),'SkillMasterSkill ID'!$C:$C,'SkillMasterSkill ID'!$D:$D,"NOT FOUND",0))</f>
        <v>ADAPT</v>
      </c>
      <c r="F1591" s="46" t="str">
        <f>IF(I1591="","",IF(_xlfn.XLOOKUP(TRIM(I1591),'SkillMasterSkill ID'!$C:$C,'SkillMasterSkill ID'!$E:$E,"")=0,"",_xlfn.XLOOKUP(TRIM(I1591),'SkillMasterSkill ID'!$C:$C,'SkillMasterSkill ID'!$E:$E,"")))</f>
        <v/>
      </c>
      <c r="G1591" t="s">
        <v>925</v>
      </c>
      <c r="H1591" s="42" t="s">
        <v>1208</v>
      </c>
      <c r="I1591" t="s">
        <v>808</v>
      </c>
      <c r="J1591" s="31" t="str">
        <f>IF(I1591="","",_xlfn.XLOOKUP(TRIM(I1591),'SkillMasterSkill ID'!$C:$C,'SkillMasterSkill ID'!$F:$F,"NOT FOUND",0))</f>
        <v>Ability to communicate clearly and consistently about style adjustment.</v>
      </c>
      <c r="K1591" s="31" t="s">
        <v>792</v>
      </c>
      <c r="L1591" s="31">
        <v>2</v>
      </c>
    </row>
    <row r="1592" spans="1:12" ht="16.5" thickBot="1" x14ac:dyDescent="0.3">
      <c r="A1592" t="s">
        <v>1000</v>
      </c>
      <c r="B1592" s="63">
        <v>10302</v>
      </c>
      <c r="C1592" s="63" t="s">
        <v>797</v>
      </c>
      <c r="D1592" s="50">
        <v>5</v>
      </c>
      <c r="E1592" s="46" t="str">
        <f>IF(I1592="","",_xlfn.XLOOKUP(TRIM(I1592),'SkillMasterSkill ID'!$C:$C,'SkillMasterSkill ID'!$D:$D,"",0))</f>
        <v>OVST</v>
      </c>
      <c r="F1592" s="46" t="str">
        <f>IF(I1592="","",IF(_xlfn.XLOOKUP(TRIM(I1592),'SkillMasterSkill ID'!$C:$C,'SkillMasterSkill ID'!$E:$E,"")=0,"",_xlfn.XLOOKUP(TRIM(I1592),'SkillMasterSkill ID'!$C:$C,'SkillMasterSkill ID'!$E:$E,"")))</f>
        <v/>
      </c>
      <c r="G1592" s="50" t="s">
        <v>1181</v>
      </c>
      <c r="H1592" s="42" t="s">
        <v>930</v>
      </c>
      <c r="I1592" t="s">
        <v>933</v>
      </c>
      <c r="J1592" s="50" t="str">
        <f>IF(I1592="","",_xlfn.XLOOKUP(TRIM(I1592),'SkillMasterSkill ID'!$C:$C,'SkillMasterSkill ID'!$F:$F,"NOT FOUND",0))</f>
        <v>Ability to maintain accurate, timely documentation and verify compliance to support accountability and project controls.</v>
      </c>
      <c r="K1592" s="50"/>
      <c r="L1592" s="50"/>
    </row>
    <row r="1593" spans="1:12" ht="16.5" thickBot="1" x14ac:dyDescent="0.3">
      <c r="A1593" t="s">
        <v>1000</v>
      </c>
      <c r="B1593" s="63">
        <v>10302</v>
      </c>
      <c r="C1593" s="63" t="s">
        <v>797</v>
      </c>
      <c r="D1593" s="50">
        <v>5</v>
      </c>
      <c r="E1593" s="46" t="str">
        <f>IF(I1593="","",_xlfn.XLOOKUP(TRIM(I1593),'SkillMasterSkill ID'!$C:$C,'SkillMasterSkill ID'!$D:$D,"",0))</f>
        <v>OVST</v>
      </c>
      <c r="F1593" s="46" t="str">
        <f>IF(I1593="","",IF(_xlfn.XLOOKUP(TRIM(I1593),'SkillMasterSkill ID'!$C:$C,'SkillMasterSkill ID'!$E:$E,"")=0,"",_xlfn.XLOOKUP(TRIM(I1593),'SkillMasterSkill ID'!$C:$C,'SkillMasterSkill ID'!$E:$E,"")))</f>
        <v/>
      </c>
      <c r="G1593" s="50" t="s">
        <v>1181</v>
      </c>
      <c r="H1593" s="42" t="s">
        <v>948</v>
      </c>
      <c r="I1593" t="s">
        <v>933</v>
      </c>
      <c r="J1593" s="50" t="str">
        <f>IF(I1593="","",_xlfn.XLOOKUP(TRIM(I1593),'SkillMasterSkill ID'!$C:$C,'SkillMasterSkill ID'!$F:$F,"NOT FOUND",0))</f>
        <v>Ability to maintain accurate, timely documentation and verify compliance to support accountability and project controls.</v>
      </c>
      <c r="K1593" s="27"/>
      <c r="L1593" s="27"/>
    </row>
    <row r="1594" spans="1:12" ht="16.5" thickBot="1" x14ac:dyDescent="0.3">
      <c r="A1594" t="s">
        <v>1000</v>
      </c>
      <c r="B1594" s="63">
        <v>10302</v>
      </c>
      <c r="C1594" s="63" t="s">
        <v>797</v>
      </c>
      <c r="D1594" s="50">
        <v>5</v>
      </c>
      <c r="E1594" s="46" t="str">
        <f>IF(I1594="","",_xlfn.XLOOKUP(TRIM(I1594),'SkillMasterSkill ID'!$C:$C,'SkillMasterSkill ID'!$D:$D,"",0))</f>
        <v>OVST</v>
      </c>
      <c r="F1594" s="46" t="str">
        <f>IF(I1594="","",IF(_xlfn.XLOOKUP(TRIM(I1594),'SkillMasterSkill ID'!$C:$C,'SkillMasterSkill ID'!$E:$E,"")=0,"",_xlfn.XLOOKUP(TRIM(I1594),'SkillMasterSkill ID'!$C:$C,'SkillMasterSkill ID'!$E:$E,"")))</f>
        <v/>
      </c>
      <c r="G1594" s="50" t="s">
        <v>1181</v>
      </c>
      <c r="H1594" s="42" t="s">
        <v>930</v>
      </c>
      <c r="I1594" t="s">
        <v>933</v>
      </c>
      <c r="J1594" s="50" t="str">
        <f>IF(I1594="","",_xlfn.XLOOKUP(TRIM(I1594),'SkillMasterSkill ID'!$C:$C,'SkillMasterSkill ID'!$F:$F,"NOT FOUND",0))</f>
        <v>Ability to maintain accurate, timely documentation and verify compliance to support accountability and project controls.</v>
      </c>
      <c r="K1594" s="27"/>
      <c r="L1594" s="27"/>
    </row>
    <row r="1595" spans="1:12" ht="16.5" thickBot="1" x14ac:dyDescent="0.3">
      <c r="A1595" t="s">
        <v>1000</v>
      </c>
      <c r="B1595" s="63">
        <v>10302</v>
      </c>
      <c r="C1595" s="63" t="s">
        <v>797</v>
      </c>
      <c r="D1595" s="50">
        <v>5</v>
      </c>
      <c r="E1595" s="46" t="str">
        <f>IF(I1595="","",_xlfn.XLOOKUP(TRIM(I1595),'SkillMasterSkill ID'!$C:$C,'SkillMasterSkill ID'!$D:$D,"",0))</f>
        <v>OVST</v>
      </c>
      <c r="F1595" s="46" t="str">
        <f>IF(I1595="","",IF(_xlfn.XLOOKUP(TRIM(I1595),'SkillMasterSkill ID'!$C:$C,'SkillMasterSkill ID'!$E:$E,"")=0,"",_xlfn.XLOOKUP(TRIM(I1595),'SkillMasterSkill ID'!$C:$C,'SkillMasterSkill ID'!$E:$E,"")))</f>
        <v/>
      </c>
      <c r="G1595" s="50" t="s">
        <v>1181</v>
      </c>
      <c r="H1595" s="42" t="s">
        <v>948</v>
      </c>
      <c r="I1595" t="s">
        <v>933</v>
      </c>
      <c r="J1595" s="50" t="str">
        <f>IF(I1595="","",_xlfn.XLOOKUP(TRIM(I1595),'SkillMasterSkill ID'!$C:$C,'SkillMasterSkill ID'!$F:$F,"NOT FOUND",0))</f>
        <v>Ability to maintain accurate, timely documentation and verify compliance to support accountability and project controls.</v>
      </c>
      <c r="K1595" s="27"/>
      <c r="L1595" s="27"/>
    </row>
    <row r="1596" spans="1:12" ht="16.5" thickBot="1" x14ac:dyDescent="0.3">
      <c r="A1596" t="s">
        <v>1000</v>
      </c>
      <c r="B1596" s="63">
        <v>10302</v>
      </c>
      <c r="C1596" s="63" t="s">
        <v>797</v>
      </c>
      <c r="D1596" s="31">
        <v>5</v>
      </c>
      <c r="E1596" s="31" t="str">
        <f>IF(I1596="","",_xlfn.XLOOKUP(TRIM(I1596),'SkillMasterSkill ID'!$C:$C,'SkillMasterSkill ID'!$D:$D,"NOT FOUND",0))</f>
        <v>OVST</v>
      </c>
      <c r="F1596" s="46" t="str">
        <f>IF(I1596="","",IF(_xlfn.XLOOKUP(TRIM(I1596),'SkillMasterSkill ID'!$C:$C,'SkillMasterSkill ID'!$E:$E,"")=0,"",_xlfn.XLOOKUP(TRIM(I1596),'SkillMasterSkill ID'!$C:$C,'SkillMasterSkill ID'!$E:$E,"")))</f>
        <v/>
      </c>
      <c r="G1596" t="s">
        <v>925</v>
      </c>
      <c r="H1596" s="42" t="s">
        <v>1198</v>
      </c>
      <c r="I1596" t="s">
        <v>933</v>
      </c>
      <c r="J1596" s="31" t="str">
        <f>IF(I1596="","",_xlfn.XLOOKUP(TRIM(I1596),'SkillMasterSkill ID'!$C:$C,'SkillMasterSkill ID'!$F:$F,"NOT FOUND",0))</f>
        <v>Ability to maintain accurate, timely documentation and verify compliance to support accountability and project controls.</v>
      </c>
      <c r="K1596" s="31" t="s">
        <v>792</v>
      </c>
      <c r="L1596" s="31">
        <v>2</v>
      </c>
    </row>
    <row r="1597" spans="1:12" ht="16.5" thickBot="1" x14ac:dyDescent="0.3">
      <c r="A1597" t="s">
        <v>1001</v>
      </c>
      <c r="B1597" s="63">
        <v>10302</v>
      </c>
      <c r="C1597" s="63" t="s">
        <v>797</v>
      </c>
      <c r="D1597" s="50">
        <v>5</v>
      </c>
      <c r="E1597" s="46" t="str">
        <f>IF(I1597="","",_xlfn.XLOOKUP(TRIM(I1597),'SkillMasterSkill ID'!$C:$C,'SkillMasterSkill ID'!$D:$D,"",0))</f>
        <v>ADAPT</v>
      </c>
      <c r="F1597" s="46" t="str">
        <f>IF(I1597="","",IF(_xlfn.XLOOKUP(TRIM(I1597),'SkillMasterSkill ID'!$C:$C,'SkillMasterSkill ID'!$E:$E,"")=0,"",_xlfn.XLOOKUP(TRIM(I1597),'SkillMasterSkill ID'!$C:$C,'SkillMasterSkill ID'!$E:$E,"")))</f>
        <v/>
      </c>
      <c r="G1597" s="50" t="s">
        <v>1181</v>
      </c>
      <c r="H1597" s="42" t="s">
        <v>925</v>
      </c>
      <c r="I1597" t="s">
        <v>811</v>
      </c>
      <c r="J1597" s="50" t="str">
        <f>IF(I1597="","",_xlfn.XLOOKUP(TRIM(I1597),'SkillMasterSkill ID'!$C:$C,'SkillMasterSkill ID'!$F:$F,"NOT FOUND",0))</f>
        <v>Competency related to conflict management that supports effective field/project leadership and execution.</v>
      </c>
      <c r="K1597" s="50"/>
      <c r="L1597" s="50"/>
    </row>
    <row r="1598" spans="1:12" ht="16.5" thickBot="1" x14ac:dyDescent="0.3">
      <c r="A1598" t="s">
        <v>1001</v>
      </c>
      <c r="B1598" s="63">
        <v>10302</v>
      </c>
      <c r="C1598" s="63" t="s">
        <v>797</v>
      </c>
      <c r="D1598" s="31">
        <v>5</v>
      </c>
      <c r="E1598" s="31" t="str">
        <f>IF(I1598="","",_xlfn.XLOOKUP(TRIM(I1598),'SkillMasterSkill ID'!$C:$C,'SkillMasterSkill ID'!$D:$D,"NOT FOUND",0))</f>
        <v>ADAPT</v>
      </c>
      <c r="F1598" s="46" t="str">
        <f>IF(I1598="","",IF(_xlfn.XLOOKUP(TRIM(I1598),'SkillMasterSkill ID'!$C:$C,'SkillMasterSkill ID'!$E:$E,"")=0,"",_xlfn.XLOOKUP(TRIM(I1598),'SkillMasterSkill ID'!$C:$C,'SkillMasterSkill ID'!$E:$E,"")))</f>
        <v/>
      </c>
      <c r="G1598" t="s">
        <v>925</v>
      </c>
      <c r="H1598" s="42" t="s">
        <v>1204</v>
      </c>
      <c r="I1598" t="s">
        <v>811</v>
      </c>
      <c r="J1598" s="31" t="str">
        <f>IF(I1598="","",_xlfn.XLOOKUP(TRIM(I1598),'SkillMasterSkill ID'!$C:$C,'SkillMasterSkill ID'!$F:$F,"NOT FOUND",0))</f>
        <v>Competency related to conflict management that supports effective field/project leadership and execution.</v>
      </c>
      <c r="K1598" s="31" t="s">
        <v>792</v>
      </c>
      <c r="L1598" s="31">
        <v>2</v>
      </c>
    </row>
    <row r="1599" spans="1:12" ht="16.5" thickBot="1" x14ac:dyDescent="0.3">
      <c r="A1599" t="s">
        <v>1003</v>
      </c>
      <c r="B1599" s="63">
        <v>10302</v>
      </c>
      <c r="C1599" s="63" t="s">
        <v>797</v>
      </c>
      <c r="D1599" s="31">
        <v>5</v>
      </c>
      <c r="E1599" s="31" t="str">
        <f>IF(I1599="","",_xlfn.XLOOKUP(TRIM(I1599),'SkillMasterSkill ID'!$C:$C,'SkillMasterSkill ID'!$D:$D,"NOT FOUND",0))</f>
        <v>COLLAB</v>
      </c>
      <c r="F1599" s="46" t="str">
        <f>IF(I1599="","",IF(_xlfn.XLOOKUP(TRIM(I1599),'SkillMasterSkill ID'!$C:$C,'SkillMasterSkill ID'!$E:$E,"")=0,"",_xlfn.XLOOKUP(TRIM(I1599),'SkillMasterSkill ID'!$C:$C,'SkillMasterSkill ID'!$E:$E,"")))</f>
        <v/>
      </c>
      <c r="G1599" t="s">
        <v>925</v>
      </c>
      <c r="H1599" s="42" t="s">
        <v>1204</v>
      </c>
      <c r="I1599" t="s">
        <v>910</v>
      </c>
      <c r="J1599" s="31" t="str">
        <f>IF(I1599="","",_xlfn.XLOOKUP(TRIM(I1599),'SkillMasterSkill ID'!$C:$C,'SkillMasterSkill ID'!$F:$F,"NOT FOUND",0))</f>
        <v>Competency related to conflict resolution that supports effective field/project leadership and execution.</v>
      </c>
      <c r="K1599" s="31" t="s">
        <v>792</v>
      </c>
      <c r="L1599" s="31">
        <v>2</v>
      </c>
    </row>
    <row r="1600" spans="1:12" ht="16.5" thickBot="1" x14ac:dyDescent="0.3">
      <c r="A1600" t="s">
        <v>1005</v>
      </c>
      <c r="B1600" s="63">
        <v>10302</v>
      </c>
      <c r="C1600" s="63" t="s">
        <v>797</v>
      </c>
      <c r="D1600" s="50">
        <v>5</v>
      </c>
      <c r="E1600" s="46" t="str">
        <f>IF(I1600="","",_xlfn.XLOOKUP(TRIM(I1600),'SkillMasterSkill ID'!$C:$C,'SkillMasterSkill ID'!$D:$D,"",0))</f>
        <v>LEAD</v>
      </c>
      <c r="F1600" s="46" t="str">
        <f>IF(I1600="","",IF(_xlfn.XLOOKUP(TRIM(I1600),'SkillMasterSkill ID'!$C:$C,'SkillMasterSkill ID'!$E:$E,"")=0,"",_xlfn.XLOOKUP(TRIM(I1600),'SkillMasterSkill ID'!$C:$C,'SkillMasterSkill ID'!$E:$E,"")))</f>
        <v/>
      </c>
      <c r="G1600" s="50" t="s">
        <v>1181</v>
      </c>
      <c r="H1600" s="42" t="s">
        <v>925</v>
      </c>
      <c r="I1600" t="s">
        <v>877</v>
      </c>
      <c r="J1600" s="50" t="str">
        <f>IF(I1600="","",_xlfn.XLOOKUP(TRIM(I1600),'SkillMasterSkill ID'!$C:$C,'SkillMasterSkill ID'!$F:$F,"NOT FOUND",0))</f>
        <v>Competency related to consistency of expectations that supports effective field/project leadership and execution.</v>
      </c>
      <c r="K1600" s="50"/>
      <c r="L1600" s="50"/>
    </row>
    <row r="1601" spans="1:12" ht="16.5" thickBot="1" x14ac:dyDescent="0.3">
      <c r="A1601" t="s">
        <v>1005</v>
      </c>
      <c r="B1601" s="63">
        <v>10302</v>
      </c>
      <c r="C1601" s="63" t="s">
        <v>797</v>
      </c>
      <c r="D1601" s="31">
        <v>5</v>
      </c>
      <c r="E1601" s="31" t="str">
        <f>IF(I1601="","",_xlfn.XLOOKUP(TRIM(I1601),'SkillMasterSkill ID'!$C:$C,'SkillMasterSkill ID'!$D:$D,"NOT FOUND",0))</f>
        <v>LEAD</v>
      </c>
      <c r="F1601" s="46" t="str">
        <f>IF(I1601="","",IF(_xlfn.XLOOKUP(TRIM(I1601),'SkillMasterSkill ID'!$C:$C,'SkillMasterSkill ID'!$E:$E,"")=0,"",_xlfn.XLOOKUP(TRIM(I1601),'SkillMasterSkill ID'!$C:$C,'SkillMasterSkill ID'!$E:$E,"")))</f>
        <v/>
      </c>
      <c r="G1601" t="s">
        <v>925</v>
      </c>
      <c r="H1601" s="42" t="s">
        <v>1204</v>
      </c>
      <c r="I1601" t="s">
        <v>877</v>
      </c>
      <c r="J1601" s="31" t="str">
        <f>IF(I1601="","",_xlfn.XLOOKUP(TRIM(I1601),'SkillMasterSkill ID'!$C:$C,'SkillMasterSkill ID'!$F:$F,"NOT FOUND",0))</f>
        <v>Competency related to consistency of expectations that supports effective field/project leadership and execution.</v>
      </c>
      <c r="K1601" s="31" t="s">
        <v>792</v>
      </c>
      <c r="L1601" s="31">
        <v>2</v>
      </c>
    </row>
    <row r="1602" spans="1:12" ht="16.5" thickBot="1" x14ac:dyDescent="0.3">
      <c r="A1602" t="s">
        <v>1007</v>
      </c>
      <c r="B1602" s="63">
        <v>10302</v>
      </c>
      <c r="C1602" s="63" t="s">
        <v>797</v>
      </c>
      <c r="D1602" s="31">
        <v>5</v>
      </c>
      <c r="E1602" s="31" t="str">
        <f>IF(I1602="","",_xlfn.XLOOKUP(TRIM(I1602),'SkillMasterSkill ID'!$C:$C,'SkillMasterSkill ID'!$D:$D,"NOT FOUND",0))</f>
        <v>LEAD</v>
      </c>
      <c r="F1602" s="46" t="str">
        <f>IF(I1602="","",IF(_xlfn.XLOOKUP(TRIM(I1602),'SkillMasterSkill ID'!$C:$C,'SkillMasterSkill ID'!$E:$E,"")=0,"",_xlfn.XLOOKUP(TRIM(I1602),'SkillMasterSkill ID'!$C:$C,'SkillMasterSkill ID'!$E:$E,"")))</f>
        <v/>
      </c>
      <c r="G1602" t="s">
        <v>925</v>
      </c>
      <c r="H1602" s="42" t="s">
        <v>1207</v>
      </c>
      <c r="I1602" t="s">
        <v>854</v>
      </c>
      <c r="J1602" s="31" t="str">
        <f>IF(I1602="","",_xlfn.XLOOKUP(TRIM(I1602),'SkillMasterSkill ID'!$C:$C,'SkillMasterSkill ID'!$F:$F,"NOT FOUND",0))</f>
        <v>Ability to lead effectively through presence, standards, and influenceâ€”aligning teams without micromanaging.</v>
      </c>
      <c r="K1602" s="31" t="s">
        <v>792</v>
      </c>
      <c r="L1602" s="31">
        <v>2</v>
      </c>
    </row>
    <row r="1603" spans="1:12" ht="16.5" thickBot="1" x14ac:dyDescent="0.3">
      <c r="A1603" t="s">
        <v>1008</v>
      </c>
      <c r="B1603" s="63">
        <v>10302</v>
      </c>
      <c r="C1603" s="63" t="s">
        <v>797</v>
      </c>
      <c r="D1603" s="50">
        <v>5</v>
      </c>
      <c r="E1603" s="50" t="str">
        <f>IF(I1603="","",_xlfn.XLOOKUP(TRIM(I1603),'SkillMasterSkill ID'!$C:$C,'SkillMasterSkill ID'!$D:$D,"NOT FOUND",0))</f>
        <v>PLAN</v>
      </c>
      <c r="F1603" s="46" t="str">
        <f>IF(I1603="","",IF(_xlfn.XLOOKUP(TRIM(I1603),'SkillMasterSkill ID'!$C:$C,'SkillMasterSkill ID'!$E:$E,"")=0,"",_xlfn.XLOOKUP(TRIM(I1603),'SkillMasterSkill ID'!$C:$C,'SkillMasterSkill ID'!$E:$E,"")))</f>
        <v/>
      </c>
      <c r="G1603" s="11" t="s">
        <v>921</v>
      </c>
      <c r="H1603" s="42" t="s">
        <v>1188</v>
      </c>
      <c r="I1603" t="s">
        <v>822</v>
      </c>
      <c r="J1603" s="50" t="str">
        <f>IF(I1603="","",_xlfn.XLOOKUP(TRIM(I1603),'SkillMasterSkill ID'!$C:$C,'SkillMasterSkill ID'!$F:$F,"NOT FOUND",0))</f>
        <v>Competency related to constraint identification that supports effective field/project leadership and execution.</v>
      </c>
      <c r="K1603" s="50" t="s">
        <v>792</v>
      </c>
      <c r="L1603" s="50">
        <v>2</v>
      </c>
    </row>
    <row r="1604" spans="1:12" ht="16.5" thickBot="1" x14ac:dyDescent="0.3">
      <c r="A1604" t="s">
        <v>1008</v>
      </c>
      <c r="B1604" s="63">
        <v>10302</v>
      </c>
      <c r="C1604" s="63" t="s">
        <v>797</v>
      </c>
      <c r="D1604" s="31">
        <v>5</v>
      </c>
      <c r="E1604" s="31" t="str">
        <f>IF(I1604="","",_xlfn.XLOOKUP(TRIM(I1604),'SkillMasterSkill ID'!$C:$C,'SkillMasterSkill ID'!$D:$D,"NOT FOUND",0))</f>
        <v>PLAN</v>
      </c>
      <c r="F1604" s="46" t="str">
        <f>IF(I1604="","",IF(_xlfn.XLOOKUP(TRIM(I1604),'SkillMasterSkill ID'!$C:$C,'SkillMasterSkill ID'!$E:$E,"")=0,"",_xlfn.XLOOKUP(TRIM(I1604),'SkillMasterSkill ID'!$C:$C,'SkillMasterSkill ID'!$E:$E,"")))</f>
        <v/>
      </c>
      <c r="G1604" s="11" t="s">
        <v>921</v>
      </c>
      <c r="H1604" s="42" t="s">
        <v>1189</v>
      </c>
      <c r="I1604" t="s">
        <v>822</v>
      </c>
      <c r="J1604" s="31" t="str">
        <f>IF(I1604="","",_xlfn.XLOOKUP(TRIM(I1604),'SkillMasterSkill ID'!$C:$C,'SkillMasterSkill ID'!$F:$F,"NOT FOUND",0))</f>
        <v>Competency related to constraint identification that supports effective field/project leadership and execution.</v>
      </c>
      <c r="K1604" s="31" t="s">
        <v>792</v>
      </c>
      <c r="L1604" s="31">
        <v>2</v>
      </c>
    </row>
    <row r="1605" spans="1:12" ht="16.5" thickBot="1" x14ac:dyDescent="0.3">
      <c r="A1605" t="s">
        <v>1008</v>
      </c>
      <c r="B1605" s="63">
        <v>10302</v>
      </c>
      <c r="C1605" s="63" t="s">
        <v>797</v>
      </c>
      <c r="D1605" s="31">
        <v>5</v>
      </c>
      <c r="E1605" s="31" t="str">
        <f>IF(I1605="","",_xlfn.XLOOKUP(TRIM(I1605),'SkillMasterSkill ID'!$C:$C,'SkillMasterSkill ID'!$D:$D,"NOT FOUND",0))</f>
        <v>PLAN</v>
      </c>
      <c r="F1605" s="46" t="str">
        <f>IF(I1605="","",IF(_xlfn.XLOOKUP(TRIM(I1605),'SkillMasterSkill ID'!$C:$C,'SkillMasterSkill ID'!$E:$E,"")=0,"",_xlfn.XLOOKUP(TRIM(I1605),'SkillMasterSkill ID'!$C:$C,'SkillMasterSkill ID'!$E:$E,"")))</f>
        <v/>
      </c>
      <c r="G1605" t="s">
        <v>925</v>
      </c>
      <c r="H1605" s="42" t="s">
        <v>1205</v>
      </c>
      <c r="I1605" t="s">
        <v>822</v>
      </c>
      <c r="J1605" s="31" t="str">
        <f>IF(I1605="","",_xlfn.XLOOKUP(TRIM(I1605),'SkillMasterSkill ID'!$C:$C,'SkillMasterSkill ID'!$F:$F,"NOT FOUND",0))</f>
        <v>Competency related to constraint identification that supports effective field/project leadership and execution.</v>
      </c>
      <c r="K1605" s="31" t="s">
        <v>792</v>
      </c>
      <c r="L1605" s="31">
        <v>2</v>
      </c>
    </row>
    <row r="1606" spans="1:12" ht="16.5" thickBot="1" x14ac:dyDescent="0.3">
      <c r="A1606" t="s">
        <v>1010</v>
      </c>
      <c r="B1606" s="63">
        <v>10302</v>
      </c>
      <c r="C1606" s="63" t="s">
        <v>797</v>
      </c>
      <c r="D1606" s="31">
        <v>5</v>
      </c>
      <c r="E1606" s="31" t="str">
        <f>IF(I1606="","",_xlfn.XLOOKUP(TRIM(I1606),'SkillMasterSkill ID'!$C:$C,'SkillMasterSkill ID'!$D:$D,"NOT FOUND",0))</f>
        <v>PERF</v>
      </c>
      <c r="F1606" s="46" t="str">
        <f>IF(I1606="","",IF(_xlfn.XLOOKUP(TRIM(I1606),'SkillMasterSkill ID'!$C:$C,'SkillMasterSkill ID'!$E:$E,"")=0,"",_xlfn.XLOOKUP(TRIM(I1606),'SkillMasterSkill ID'!$C:$C,'SkillMasterSkill ID'!$E:$E,"")))</f>
        <v/>
      </c>
      <c r="G1606" s="11" t="s">
        <v>921</v>
      </c>
      <c r="H1606" s="42" t="s">
        <v>1189</v>
      </c>
      <c r="I1606" t="s">
        <v>851</v>
      </c>
      <c r="J1606" s="31" t="str">
        <f>IF(I1606="","",_xlfn.XLOOKUP(TRIM(I1606),'SkillMasterSkill ID'!$C:$C,'SkillMasterSkill ID'!$F:$F,"NOT FOUND",0))</f>
        <v>Competency related to constraint removal that supports effective field/project leadership and execution.</v>
      </c>
      <c r="K1606" s="31" t="s">
        <v>792</v>
      </c>
      <c r="L1606" s="31">
        <v>2</v>
      </c>
    </row>
    <row r="1607" spans="1:12" ht="16.5" thickBot="1" x14ac:dyDescent="0.3">
      <c r="A1607" t="s">
        <v>1010</v>
      </c>
      <c r="B1607" s="63">
        <v>10302</v>
      </c>
      <c r="C1607" s="63" t="s">
        <v>797</v>
      </c>
      <c r="D1607" s="31">
        <v>5</v>
      </c>
      <c r="E1607" s="31" t="str">
        <f>IF(I1607="","",_xlfn.XLOOKUP(TRIM(I1607),'SkillMasterSkill ID'!$C:$C,'SkillMasterSkill ID'!$D:$D,"NOT FOUND",0))</f>
        <v>PERF</v>
      </c>
      <c r="F1607" s="46" t="str">
        <f>IF(I1607="","",IF(_xlfn.XLOOKUP(TRIM(I1607),'SkillMasterSkill ID'!$C:$C,'SkillMasterSkill ID'!$E:$E,"")=0,"",_xlfn.XLOOKUP(TRIM(I1607),'SkillMasterSkill ID'!$C:$C,'SkillMasterSkill ID'!$E:$E,"")))</f>
        <v/>
      </c>
      <c r="G1607" t="s">
        <v>925</v>
      </c>
      <c r="H1607" s="42" t="s">
        <v>1205</v>
      </c>
      <c r="I1607" t="s">
        <v>851</v>
      </c>
      <c r="J1607" s="31" t="str">
        <f>IF(I1607="","",_xlfn.XLOOKUP(TRIM(I1607),'SkillMasterSkill ID'!$C:$C,'SkillMasterSkill ID'!$F:$F,"NOT FOUND",0))</f>
        <v>Competency related to constraint removal that supports effective field/project leadership and execution.</v>
      </c>
      <c r="K1607" s="31" t="s">
        <v>792</v>
      </c>
      <c r="L1607" s="31">
        <v>2</v>
      </c>
    </row>
    <row r="1608" spans="1:12" ht="16.5" thickBot="1" x14ac:dyDescent="0.3">
      <c r="A1608" t="s">
        <v>1012</v>
      </c>
      <c r="B1608" s="63">
        <v>10302</v>
      </c>
      <c r="C1608" s="63" t="s">
        <v>797</v>
      </c>
      <c r="D1608" s="50">
        <v>5</v>
      </c>
      <c r="E1608" s="46" t="str">
        <f>IF(I1608="","",_xlfn.XLOOKUP(TRIM(I1608),'SkillMasterSkill ID'!$C:$C,'SkillMasterSkill ID'!$D:$D,"",0))</f>
        <v>COACH</v>
      </c>
      <c r="F1608" s="46" t="str">
        <f>IF(I1608="","",IF(_xlfn.XLOOKUP(TRIM(I1608),'SkillMasterSkill ID'!$C:$C,'SkillMasterSkill ID'!$E:$E,"")=0,"",_xlfn.XLOOKUP(TRIM(I1608),'SkillMasterSkill ID'!$C:$C,'SkillMasterSkill ID'!$E:$E,"")))</f>
        <v/>
      </c>
      <c r="G1608" s="50" t="s">
        <v>1181</v>
      </c>
      <c r="H1608" s="42" t="s">
        <v>935</v>
      </c>
      <c r="I1608" t="s">
        <v>868</v>
      </c>
      <c r="J1608" s="50" t="str">
        <f>IF(I1608="","",_xlfn.XLOOKUP(TRIM(I1608),'SkillMasterSkill ID'!$C:$C,'SkillMasterSkill ID'!$F:$F,"NOT FOUND",0))</f>
        <v>Ability to coach and develop people through feedback, diagnosis, and follow-through to improve performance.</v>
      </c>
      <c r="K1608" s="50"/>
      <c r="L1608" s="50"/>
    </row>
    <row r="1609" spans="1:12" ht="16.5" thickBot="1" x14ac:dyDescent="0.3">
      <c r="A1609" t="s">
        <v>1012</v>
      </c>
      <c r="B1609" s="63">
        <v>10302</v>
      </c>
      <c r="C1609" s="63" t="s">
        <v>797</v>
      </c>
      <c r="D1609" s="50">
        <v>5</v>
      </c>
      <c r="E1609" s="46" t="str">
        <f>IF(I1609="","",_xlfn.XLOOKUP(TRIM(I1609),'SkillMasterSkill ID'!$C:$C,'SkillMasterSkill ID'!$D:$D,"",0))</f>
        <v>COACH</v>
      </c>
      <c r="F1609" s="46" t="str">
        <f>IF(I1609="","",IF(_xlfn.XLOOKUP(TRIM(I1609),'SkillMasterSkill ID'!$C:$C,'SkillMasterSkill ID'!$E:$E,"")=0,"",_xlfn.XLOOKUP(TRIM(I1609),'SkillMasterSkill ID'!$C:$C,'SkillMasterSkill ID'!$E:$E,"")))</f>
        <v/>
      </c>
      <c r="G1609" s="50" t="s">
        <v>1181</v>
      </c>
      <c r="H1609" s="42" t="s">
        <v>1173</v>
      </c>
      <c r="I1609" t="s">
        <v>868</v>
      </c>
      <c r="J1609" s="50" t="str">
        <f>IF(I1609="","",_xlfn.XLOOKUP(TRIM(I1609),'SkillMasterSkill ID'!$C:$C,'SkillMasterSkill ID'!$F:$F,"NOT FOUND",0))</f>
        <v>Ability to coach and develop people through feedback, diagnosis, and follow-through to improve performance.</v>
      </c>
      <c r="K1609" s="50"/>
      <c r="L1609" s="50"/>
    </row>
    <row r="1610" spans="1:12" ht="16.5" thickBot="1" x14ac:dyDescent="0.3">
      <c r="A1610" t="s">
        <v>1012</v>
      </c>
      <c r="B1610" s="63">
        <v>10302</v>
      </c>
      <c r="C1610" s="63" t="s">
        <v>797</v>
      </c>
      <c r="D1610" s="50">
        <v>5</v>
      </c>
      <c r="E1610" s="46" t="str">
        <f>IF(I1610="","",_xlfn.XLOOKUP(TRIM(I1610),'SkillMasterSkill ID'!$C:$C,'SkillMasterSkill ID'!$D:$D,"",0))</f>
        <v>COACH</v>
      </c>
      <c r="F1610" s="46" t="str">
        <f>IF(I1610="","",IF(_xlfn.XLOOKUP(TRIM(I1610),'SkillMasterSkill ID'!$C:$C,'SkillMasterSkill ID'!$E:$E,"")=0,"",_xlfn.XLOOKUP(TRIM(I1610),'SkillMasterSkill ID'!$C:$C,'SkillMasterSkill ID'!$E:$E,"")))</f>
        <v/>
      </c>
      <c r="G1610" s="50" t="s">
        <v>1181</v>
      </c>
      <c r="H1610" s="42" t="s">
        <v>935</v>
      </c>
      <c r="I1610" t="s">
        <v>868</v>
      </c>
      <c r="J1610" s="50" t="str">
        <f>IF(I1610="","",_xlfn.XLOOKUP(TRIM(I1610),'SkillMasterSkill ID'!$C:$C,'SkillMasterSkill ID'!$F:$F,"NOT FOUND",0))</f>
        <v>Ability to coach and develop people through feedback, diagnosis, and follow-through to improve performance.</v>
      </c>
      <c r="K1610" s="27"/>
      <c r="L1610" s="27"/>
    </row>
    <row r="1611" spans="1:12" ht="16.5" thickBot="1" x14ac:dyDescent="0.3">
      <c r="A1611" t="s">
        <v>1012</v>
      </c>
      <c r="B1611" s="63">
        <v>10302</v>
      </c>
      <c r="C1611" s="63" t="s">
        <v>797</v>
      </c>
      <c r="D1611" s="50">
        <v>5</v>
      </c>
      <c r="E1611" s="46" t="str">
        <f>IF(I1611="","",_xlfn.XLOOKUP(TRIM(I1611),'SkillMasterSkill ID'!$C:$C,'SkillMasterSkill ID'!$D:$D,"",0))</f>
        <v>COACH</v>
      </c>
      <c r="F1611" s="46" t="str">
        <f>IF(I1611="","",IF(_xlfn.XLOOKUP(TRIM(I1611),'SkillMasterSkill ID'!$C:$C,'SkillMasterSkill ID'!$E:$E,"")=0,"",_xlfn.XLOOKUP(TRIM(I1611),'SkillMasterSkill ID'!$C:$C,'SkillMasterSkill ID'!$E:$E,"")))</f>
        <v/>
      </c>
      <c r="G1611" s="50" t="s">
        <v>1181</v>
      </c>
      <c r="H1611" s="42" t="s">
        <v>1173</v>
      </c>
      <c r="I1611" t="s">
        <v>868</v>
      </c>
      <c r="J1611" s="50" t="str">
        <f>IF(I1611="","",_xlfn.XLOOKUP(TRIM(I1611),'SkillMasterSkill ID'!$C:$C,'SkillMasterSkill ID'!$F:$F,"NOT FOUND",0))</f>
        <v>Ability to coach and develop people through feedback, diagnosis, and follow-through to improve performance.</v>
      </c>
      <c r="K1611" s="27"/>
      <c r="L1611" s="27"/>
    </row>
    <row r="1612" spans="1:12" ht="16.5" thickBot="1" x14ac:dyDescent="0.3">
      <c r="A1612" t="s">
        <v>1012</v>
      </c>
      <c r="B1612" s="63">
        <v>10302</v>
      </c>
      <c r="C1612" s="63" t="s">
        <v>797</v>
      </c>
      <c r="D1612" s="31">
        <v>5</v>
      </c>
      <c r="E1612" s="31" t="str">
        <f>IF(I1612="","",_xlfn.XLOOKUP(TRIM(I1612),'SkillMasterSkill ID'!$C:$C,'SkillMasterSkill ID'!$D:$D,"NOT FOUND",0))</f>
        <v>COACH</v>
      </c>
      <c r="F1612" s="46" t="str">
        <f>IF(I1612="","",IF(_xlfn.XLOOKUP(TRIM(I1612),'SkillMasterSkill ID'!$C:$C,'SkillMasterSkill ID'!$E:$E,"")=0,"",_xlfn.XLOOKUP(TRIM(I1612),'SkillMasterSkill ID'!$C:$C,'SkillMasterSkill ID'!$E:$E,"")))</f>
        <v/>
      </c>
      <c r="G1612" t="s">
        <v>925</v>
      </c>
      <c r="H1612" s="42" t="s">
        <v>1200</v>
      </c>
      <c r="I1612" t="s">
        <v>868</v>
      </c>
      <c r="J1612" s="31" t="str">
        <f>IF(I1612="","",_xlfn.XLOOKUP(TRIM(I1612),'SkillMasterSkill ID'!$C:$C,'SkillMasterSkill ID'!$F:$F,"NOT FOUND",0))</f>
        <v>Ability to coach and develop people through feedback, diagnosis, and follow-through to improve performance.</v>
      </c>
      <c r="K1612" s="31" t="s">
        <v>792</v>
      </c>
      <c r="L1612" s="31">
        <v>2</v>
      </c>
    </row>
    <row r="1613" spans="1:12" ht="16.5" thickBot="1" x14ac:dyDescent="0.3">
      <c r="A1613" t="s">
        <v>1012</v>
      </c>
      <c r="B1613" s="63">
        <v>10302</v>
      </c>
      <c r="C1613" s="63" t="s">
        <v>797</v>
      </c>
      <c r="D1613" s="31">
        <v>5</v>
      </c>
      <c r="E1613" s="31" t="str">
        <f>IF(I1613="","",_xlfn.XLOOKUP(TRIM(I1613),'SkillMasterSkill ID'!$C:$C,'SkillMasterSkill ID'!$D:$D,"NOT FOUND",0))</f>
        <v>COACH</v>
      </c>
      <c r="F1613" s="46" t="str">
        <f>IF(I1613="","",IF(_xlfn.XLOOKUP(TRIM(I1613),'SkillMasterSkill ID'!$C:$C,'SkillMasterSkill ID'!$E:$E,"")=0,"",_xlfn.XLOOKUP(TRIM(I1613),'SkillMasterSkill ID'!$C:$C,'SkillMasterSkill ID'!$E:$E,"")))</f>
        <v/>
      </c>
      <c r="G1613" t="s">
        <v>925</v>
      </c>
      <c r="H1613" s="42" t="s">
        <v>1201</v>
      </c>
      <c r="I1613" t="s">
        <v>868</v>
      </c>
      <c r="J1613" s="31" t="str">
        <f>IF(I1613="","",_xlfn.XLOOKUP(TRIM(I1613),'SkillMasterSkill ID'!$C:$C,'SkillMasterSkill ID'!$F:$F,"NOT FOUND",0))</f>
        <v>Ability to coach and develop people through feedback, diagnosis, and follow-through to improve performance.</v>
      </c>
      <c r="K1613" s="31" t="s">
        <v>792</v>
      </c>
      <c r="L1613" s="31">
        <v>2</v>
      </c>
    </row>
    <row r="1614" spans="1:12" ht="16.5" thickBot="1" x14ac:dyDescent="0.3">
      <c r="A1614" t="s">
        <v>1012</v>
      </c>
      <c r="B1614" s="63">
        <v>10302</v>
      </c>
      <c r="C1614" s="63" t="s">
        <v>797</v>
      </c>
      <c r="D1614" s="31">
        <v>5</v>
      </c>
      <c r="E1614" s="31" t="str">
        <f>IF(I1614="","",_xlfn.XLOOKUP(TRIM(I1614),'SkillMasterSkill ID'!$C:$C,'SkillMasterSkill ID'!$D:$D,"NOT FOUND",0))</f>
        <v>COACH</v>
      </c>
      <c r="F1614" s="46" t="str">
        <f>IF(I1614="","",IF(_xlfn.XLOOKUP(TRIM(I1614),'SkillMasterSkill ID'!$C:$C,'SkillMasterSkill ID'!$E:$E,"")=0,"",_xlfn.XLOOKUP(TRIM(I1614),'SkillMasterSkill ID'!$C:$C,'SkillMasterSkill ID'!$E:$E,"")))</f>
        <v/>
      </c>
      <c r="G1614" t="s">
        <v>925</v>
      </c>
      <c r="H1614" s="42" t="s">
        <v>1208</v>
      </c>
      <c r="I1614" t="s">
        <v>868</v>
      </c>
      <c r="J1614" s="31" t="str">
        <f>IF(I1614="","",_xlfn.XLOOKUP(TRIM(I1614),'SkillMasterSkill ID'!$C:$C,'SkillMasterSkill ID'!$F:$F,"NOT FOUND",0))</f>
        <v>Ability to coach and develop people through feedback, diagnosis, and follow-through to improve performance.</v>
      </c>
      <c r="K1614" s="31" t="s">
        <v>792</v>
      </c>
      <c r="L1614" s="31">
        <v>2</v>
      </c>
    </row>
    <row r="1615" spans="1:12" ht="16.5" thickBot="1" x14ac:dyDescent="0.3">
      <c r="A1615" t="s">
        <v>1017</v>
      </c>
      <c r="B1615" s="63">
        <v>10302</v>
      </c>
      <c r="C1615" s="63" t="s">
        <v>797</v>
      </c>
      <c r="D1615" s="50">
        <v>5</v>
      </c>
      <c r="E1615" s="46" t="str">
        <f>IF(I1615="","",_xlfn.XLOOKUP(TRIM(I1615),'SkillMasterSkill ID'!$C:$C,'SkillMasterSkill ID'!$D:$D,"",0))</f>
        <v>ACCT</v>
      </c>
      <c r="F1615" s="46" t="str">
        <f>IF(I1615="","",IF(_xlfn.XLOOKUP(TRIM(I1615),'SkillMasterSkill ID'!$C:$C,'SkillMasterSkill ID'!$E:$E,"")=0,"",_xlfn.XLOOKUP(TRIM(I1615),'SkillMasterSkill ID'!$C:$C,'SkillMasterSkill ID'!$E:$E,"")))</f>
        <v/>
      </c>
      <c r="G1615" s="50" t="s">
        <v>1181</v>
      </c>
      <c r="H1615" s="42" t="s">
        <v>935</v>
      </c>
      <c r="I1615" t="s">
        <v>936</v>
      </c>
      <c r="J1615" s="50" t="str">
        <f>IF(I1615="","",_xlfn.XLOOKUP(TRIM(I1615),'SkillMasterSkill ID'!$C:$C,'SkillMasterSkill ID'!$F:$F,"NOT FOUND",0))</f>
        <v>Ability to set expectations, enforce accountability, and initiate timely corrective action when performance deviates.</v>
      </c>
      <c r="K1615" s="50"/>
      <c r="L1615" s="50"/>
    </row>
    <row r="1616" spans="1:12" ht="16.5" thickBot="1" x14ac:dyDescent="0.3">
      <c r="A1616" t="s">
        <v>1017</v>
      </c>
      <c r="B1616" s="63">
        <v>10302</v>
      </c>
      <c r="C1616" s="63" t="s">
        <v>797</v>
      </c>
      <c r="D1616" s="50">
        <v>5</v>
      </c>
      <c r="E1616" s="46" t="str">
        <f>IF(I1616="","",_xlfn.XLOOKUP(TRIM(I1616),'SkillMasterSkill ID'!$C:$C,'SkillMasterSkill ID'!$D:$D,"",0))</f>
        <v>ACCT</v>
      </c>
      <c r="F1616" s="46" t="str">
        <f>IF(I1616="","",IF(_xlfn.XLOOKUP(TRIM(I1616),'SkillMasterSkill ID'!$C:$C,'SkillMasterSkill ID'!$E:$E,"")=0,"",_xlfn.XLOOKUP(TRIM(I1616),'SkillMasterSkill ID'!$C:$C,'SkillMasterSkill ID'!$E:$E,"")))</f>
        <v/>
      </c>
      <c r="G1616" s="50" t="s">
        <v>1181</v>
      </c>
      <c r="H1616" s="42" t="s">
        <v>935</v>
      </c>
      <c r="I1616" t="s">
        <v>936</v>
      </c>
      <c r="J1616" s="50" t="str">
        <f>IF(I1616="","",_xlfn.XLOOKUP(TRIM(I1616),'SkillMasterSkill ID'!$C:$C,'SkillMasterSkill ID'!$F:$F,"NOT FOUND",0))</f>
        <v>Ability to set expectations, enforce accountability, and initiate timely corrective action when performance deviates.</v>
      </c>
      <c r="K1616" s="27"/>
      <c r="L1616" s="27"/>
    </row>
    <row r="1617" spans="1:12" ht="16.5" thickBot="1" x14ac:dyDescent="0.3">
      <c r="A1617" t="s">
        <v>1017</v>
      </c>
      <c r="B1617" s="63">
        <v>10302</v>
      </c>
      <c r="C1617" s="63" t="s">
        <v>797</v>
      </c>
      <c r="D1617" s="31">
        <v>5</v>
      </c>
      <c r="E1617" s="31" t="str">
        <f>IF(I1617="","",_xlfn.XLOOKUP(TRIM(I1617),'SkillMasterSkill ID'!$C:$C,'SkillMasterSkill ID'!$D:$D,"NOT FOUND",0))</f>
        <v>ACCT</v>
      </c>
      <c r="F1617" s="46" t="str">
        <f>IF(I1617="","",IF(_xlfn.XLOOKUP(TRIM(I1617),'SkillMasterSkill ID'!$C:$C,'SkillMasterSkill ID'!$E:$E,"")=0,"",_xlfn.XLOOKUP(TRIM(I1617),'SkillMasterSkill ID'!$C:$C,'SkillMasterSkill ID'!$E:$E,"")))</f>
        <v/>
      </c>
      <c r="G1617" t="s">
        <v>925</v>
      </c>
      <c r="H1617" s="42" t="s">
        <v>1199</v>
      </c>
      <c r="I1617" t="s">
        <v>936</v>
      </c>
      <c r="J1617" s="31" t="str">
        <f>IF(I1617="","",_xlfn.XLOOKUP(TRIM(I1617),'SkillMasterSkill ID'!$C:$C,'SkillMasterSkill ID'!$F:$F,"NOT FOUND",0))</f>
        <v>Ability to set expectations, enforce accountability, and initiate timely corrective action when performance deviates.</v>
      </c>
      <c r="K1617" s="31" t="s">
        <v>792</v>
      </c>
      <c r="L1617" s="31">
        <v>2</v>
      </c>
    </row>
    <row r="1618" spans="1:12" ht="16.5" thickBot="1" x14ac:dyDescent="0.3">
      <c r="A1618" t="s">
        <v>1018</v>
      </c>
      <c r="B1618" s="63">
        <v>10302</v>
      </c>
      <c r="C1618" s="63" t="s">
        <v>797</v>
      </c>
      <c r="D1618" s="31">
        <v>5</v>
      </c>
      <c r="E1618" s="31" t="str">
        <f>IF(I1618="","",_xlfn.XLOOKUP(TRIM(I1618),'SkillMasterSkill ID'!$C:$C,'SkillMasterSkill ID'!$D:$D,"NOT FOUND",0))</f>
        <v>PERF</v>
      </c>
      <c r="F1618" s="46" t="str">
        <f>IF(I1618="","",IF(_xlfn.XLOOKUP(TRIM(I1618),'SkillMasterSkill ID'!$C:$C,'SkillMasterSkill ID'!$E:$E,"")=0,"",_xlfn.XLOOKUP(TRIM(I1618),'SkillMasterSkill ID'!$C:$C,'SkillMasterSkill ID'!$E:$E,"")))</f>
        <v/>
      </c>
      <c r="G1618" s="11" t="s">
        <v>921</v>
      </c>
      <c r="H1618" s="42" t="s">
        <v>1192</v>
      </c>
      <c r="I1618" t="s">
        <v>847</v>
      </c>
      <c r="J1618" s="31" t="str">
        <f>IF(I1618="","",_xlfn.XLOOKUP(TRIM(I1618),'SkillMasterSkill ID'!$C:$C,'SkillMasterSkill ID'!$F:$F,"NOT FOUND",0))</f>
        <v>Ability to plan and sequence work effectively, using schedules, constraints, and lookahead thinking to meet targets.</v>
      </c>
      <c r="K1618" s="31" t="s">
        <v>792</v>
      </c>
      <c r="L1618" s="31">
        <v>2</v>
      </c>
    </row>
    <row r="1619" spans="1:12" ht="16.5" thickBot="1" x14ac:dyDescent="0.3">
      <c r="A1619" t="s">
        <v>1019</v>
      </c>
      <c r="B1619" s="63">
        <v>10302</v>
      </c>
      <c r="C1619" s="63" t="s">
        <v>797</v>
      </c>
      <c r="D1619" s="31">
        <v>5</v>
      </c>
      <c r="E1619" s="31" t="str">
        <f>IF(I1619="","",_xlfn.XLOOKUP(TRIM(I1619),'SkillMasterSkill ID'!$C:$C,'SkillMasterSkill ID'!$D:$D,"NOT FOUND",0))</f>
        <v>BUDG</v>
      </c>
      <c r="F1619" s="46" t="str">
        <f>IF(I1619="","",IF(_xlfn.XLOOKUP(TRIM(I1619),'SkillMasterSkill ID'!$C:$C,'SkillMasterSkill ID'!$E:$E,"")=0,"",_xlfn.XLOOKUP(TRIM(I1619),'SkillMasterSkill ID'!$C:$C,'SkillMasterSkill ID'!$E:$E,"")))</f>
        <v/>
      </c>
      <c r="G1619" s="11" t="s">
        <v>921</v>
      </c>
      <c r="H1619" s="42" t="s">
        <v>1192</v>
      </c>
      <c r="I1619" t="s">
        <v>893</v>
      </c>
      <c r="J1619" s="31" t="str">
        <f>IF(I1619="","",_xlfn.XLOOKUP(TRIM(I1619),'SkillMasterSkill ID'!$C:$C,'SkillMasterSkill ID'!$F:$F,"NOT FOUND",0))</f>
        <v>Ability to plan and sequence work effectively, using schedules, constraints, and lookahead thinking to meet targets.</v>
      </c>
      <c r="K1619" s="31" t="s">
        <v>792</v>
      </c>
      <c r="L1619" s="31">
        <v>2</v>
      </c>
    </row>
    <row r="1620" spans="1:12" ht="16.5" thickBot="1" x14ac:dyDescent="0.3">
      <c r="A1620" t="s">
        <v>1020</v>
      </c>
      <c r="B1620" s="63">
        <v>10302</v>
      </c>
      <c r="C1620" s="63" t="s">
        <v>797</v>
      </c>
      <c r="D1620" s="50">
        <v>5</v>
      </c>
      <c r="E1620" s="46" t="str">
        <f>IF(I1620="","",_xlfn.XLOOKUP(TRIM(I1620),'SkillMasterSkill ID'!$C:$C,'SkillMasterSkill ID'!$D:$D,"NOT FOUND",0))</f>
        <v>BUDG</v>
      </c>
      <c r="F1620" s="46" t="str">
        <f>IF(I1620="","",IF(_xlfn.XLOOKUP(TRIM(I1620),'SkillMasterSkill ID'!$C:$C,'SkillMasterSkill ID'!$E:$E,"")=0,"",_xlfn.XLOOKUP(TRIM(I1620),'SkillMasterSkill ID'!$C:$C,'SkillMasterSkill ID'!$E:$E,"")))</f>
        <v/>
      </c>
      <c r="G1620" s="11" t="s">
        <v>921</v>
      </c>
      <c r="H1620" s="42" t="s">
        <v>1182</v>
      </c>
      <c r="I1620" t="s">
        <v>888</v>
      </c>
      <c r="J1620" s="50" t="str">
        <f>IF(I1620="","",_xlfn.XLOOKUP(TRIM(I1620),'SkillMasterSkill ID'!$C:$C,'SkillMasterSkill ID'!$F:$F,"NOT FOUND",0))</f>
        <v>Ability to understand and manage cost, budget, and productivity drivers to control project financial performance.</v>
      </c>
      <c r="K1620" s="27"/>
      <c r="L1620" s="27"/>
    </row>
    <row r="1621" spans="1:12" ht="16.5" thickBot="1" x14ac:dyDescent="0.3">
      <c r="A1621" t="s">
        <v>1022</v>
      </c>
      <c r="B1621" s="63">
        <v>10302</v>
      </c>
      <c r="C1621" s="63" t="s">
        <v>797</v>
      </c>
      <c r="D1621" s="50">
        <v>5</v>
      </c>
      <c r="E1621" s="46" t="str">
        <f>IF(I1621="","",_xlfn.XLOOKUP(TRIM(I1621),'SkillMasterSkill ID'!$C:$C,'SkillMasterSkill ID'!$D:$D,"",0))</f>
        <v>PERF</v>
      </c>
      <c r="F1621" s="46" t="str">
        <f>IF(I1621="","",IF(_xlfn.XLOOKUP(TRIM(I1621),'SkillMasterSkill ID'!$C:$C,'SkillMasterSkill ID'!$E:$E,"")=0,"",_xlfn.XLOOKUP(TRIM(I1621),'SkillMasterSkill ID'!$C:$C,'SkillMasterSkill ID'!$E:$E,"")))</f>
        <v/>
      </c>
      <c r="G1621" s="50" t="s">
        <v>798</v>
      </c>
      <c r="H1621" s="51" t="s">
        <v>800</v>
      </c>
      <c r="I1621" t="s">
        <v>844</v>
      </c>
      <c r="J1621" s="50" t="str">
        <f>IF(I1621="","",_xlfn.XLOOKUP(TRIM(I1621),'SkillMasterSkill ID'!$C:$C,'SkillMasterSkill ID'!$F:$F,"NOT FOUND",0))</f>
        <v>Ability to understand and manage cost, budget, and productivity drivers to control project financial performance.</v>
      </c>
      <c r="K1621" s="50" t="s">
        <v>795</v>
      </c>
      <c r="L1621" s="50">
        <v>2</v>
      </c>
    </row>
    <row r="1622" spans="1:12" ht="16.5" thickBot="1" x14ac:dyDescent="0.3">
      <c r="A1622" t="s">
        <v>1022</v>
      </c>
      <c r="B1622" s="63">
        <v>10302</v>
      </c>
      <c r="C1622" s="63" t="s">
        <v>797</v>
      </c>
      <c r="D1622" s="50">
        <v>5</v>
      </c>
      <c r="E1622" s="50" t="str">
        <f>IF(I1622="","",_xlfn.XLOOKUP(TRIM(I1622),'SkillMasterSkill ID'!$C:$C,'SkillMasterSkill ID'!$D:$D,"NOT FOUND",0))</f>
        <v>PERF</v>
      </c>
      <c r="F1622" s="46" t="str">
        <f>IF(I1622="","",IF(_xlfn.XLOOKUP(TRIM(I1622),'SkillMasterSkill ID'!$C:$C,'SkillMasterSkill ID'!$E:$E,"")=0,"",_xlfn.XLOOKUP(TRIM(I1622),'SkillMasterSkill ID'!$C:$C,'SkillMasterSkill ID'!$E:$E,"")))</f>
        <v/>
      </c>
      <c r="G1622" s="11" t="s">
        <v>921</v>
      </c>
      <c r="H1622" s="42" t="s">
        <v>1184</v>
      </c>
      <c r="I1622" t="s">
        <v>844</v>
      </c>
      <c r="J1622" s="50" t="str">
        <f>IF(I1622="","",_xlfn.XLOOKUP(TRIM(I1622),'SkillMasterSkill ID'!$C:$C,'SkillMasterSkill ID'!$F:$F,"NOT FOUND",0))</f>
        <v>Ability to understand and manage cost, budget, and productivity drivers to control project financial performance.</v>
      </c>
      <c r="K1622" s="50" t="s">
        <v>792</v>
      </c>
      <c r="L1622" s="50">
        <v>2</v>
      </c>
    </row>
    <row r="1623" spans="1:12" ht="16.5" thickBot="1" x14ac:dyDescent="0.3">
      <c r="A1623" t="s">
        <v>1023</v>
      </c>
      <c r="B1623" s="63">
        <v>10302</v>
      </c>
      <c r="C1623" s="63" t="s">
        <v>797</v>
      </c>
      <c r="D1623" s="31">
        <v>5</v>
      </c>
      <c r="E1623" s="31" t="str">
        <f>IF(I1623="","",_xlfn.XLOOKUP(TRIM(I1623),'SkillMasterSkill ID'!$C:$C,'SkillMasterSkill ID'!$D:$D,"NOT FOUND",0))</f>
        <v>PLAN</v>
      </c>
      <c r="F1623" s="46" t="str">
        <f>IF(I1623="","",IF(_xlfn.XLOOKUP(TRIM(I1623),'SkillMasterSkill ID'!$C:$C,'SkillMasterSkill ID'!$E:$E,"")=0,"",_xlfn.XLOOKUP(TRIM(I1623),'SkillMasterSkill ID'!$C:$C,'SkillMasterSkill ID'!$E:$E,"")))</f>
        <v/>
      </c>
      <c r="G1623" s="11" t="s">
        <v>921</v>
      </c>
      <c r="H1623" s="42" t="s">
        <v>1190</v>
      </c>
      <c r="I1623" t="s">
        <v>824</v>
      </c>
      <c r="J1623" s="31" t="str">
        <f>IF(I1623="","",_xlfn.XLOOKUP(TRIM(I1623),'SkillMasterSkill ID'!$C:$C,'SkillMasterSkill ID'!$F:$F,"NOT FOUND",0))</f>
        <v>Ability to coordinate resources and people (manpower, priorities, and workload) to keep work flowing efficiently.</v>
      </c>
      <c r="K1623" s="31" t="s">
        <v>792</v>
      </c>
      <c r="L1623" s="31">
        <v>2</v>
      </c>
    </row>
    <row r="1624" spans="1:12" ht="16.5" thickBot="1" x14ac:dyDescent="0.3">
      <c r="A1624" t="s">
        <v>1023</v>
      </c>
      <c r="B1624" s="63">
        <v>10302</v>
      </c>
      <c r="C1624" s="63" t="s">
        <v>797</v>
      </c>
      <c r="D1624" s="31">
        <v>5</v>
      </c>
      <c r="E1624" s="31" t="str">
        <f>IF(I1624="","",_xlfn.XLOOKUP(TRIM(I1624),'SkillMasterSkill ID'!$C:$C,'SkillMasterSkill ID'!$D:$D,"NOT FOUND",0))</f>
        <v>PLAN</v>
      </c>
      <c r="F1624" s="46" t="str">
        <f>IF(I1624="","",IF(_xlfn.XLOOKUP(TRIM(I1624),'SkillMasterSkill ID'!$C:$C,'SkillMasterSkill ID'!$E:$E,"")=0,"",_xlfn.XLOOKUP(TRIM(I1624),'SkillMasterSkill ID'!$C:$C,'SkillMasterSkill ID'!$E:$E,"")))</f>
        <v/>
      </c>
      <c r="G1624" t="s">
        <v>925</v>
      </c>
      <c r="H1624" s="42" t="s">
        <v>1202</v>
      </c>
      <c r="I1624" t="s">
        <v>824</v>
      </c>
      <c r="J1624" s="31" t="str">
        <f>IF(I1624="","",_xlfn.XLOOKUP(TRIM(I1624),'SkillMasterSkill ID'!$C:$C,'SkillMasterSkill ID'!$F:$F,"NOT FOUND",0))</f>
        <v>Ability to coordinate resources and people (manpower, priorities, and workload) to keep work flowing efficiently.</v>
      </c>
      <c r="K1624" s="31" t="s">
        <v>792</v>
      </c>
      <c r="L1624" s="31">
        <v>2</v>
      </c>
    </row>
    <row r="1625" spans="1:12" ht="16.5" thickBot="1" x14ac:dyDescent="0.3">
      <c r="A1625" t="s">
        <v>1025</v>
      </c>
      <c r="B1625" s="63">
        <v>10302</v>
      </c>
      <c r="C1625" s="63" t="s">
        <v>797</v>
      </c>
      <c r="D1625" s="31">
        <v>5</v>
      </c>
      <c r="E1625" s="31" t="str">
        <f>IF(I1625="","",_xlfn.XLOOKUP(TRIM(I1625),'SkillMasterSkill ID'!$C:$C,'SkillMasterSkill ID'!$D:$D,"NOT FOUND",0))</f>
        <v>COORD</v>
      </c>
      <c r="F1625" s="46" t="str">
        <f>IF(I1625="","",IF(_xlfn.XLOOKUP(TRIM(I1625),'SkillMasterSkill ID'!$C:$C,'SkillMasterSkill ID'!$E:$E,"")=0,"",_xlfn.XLOOKUP(TRIM(I1625),'SkillMasterSkill ID'!$C:$C,'SkillMasterSkill ID'!$E:$E,"")))</f>
        <v/>
      </c>
      <c r="G1625" t="s">
        <v>925</v>
      </c>
      <c r="H1625" s="42" t="s">
        <v>1202</v>
      </c>
      <c r="I1625" t="s">
        <v>881</v>
      </c>
      <c r="J1625" s="31" t="str">
        <f>IF(I1625="","",_xlfn.XLOOKUP(TRIM(I1625),'SkillMasterSkill ID'!$C:$C,'SkillMasterSkill ID'!$F:$F,"NOT FOUND",0))</f>
        <v>Ability to coordinate resources and people (manpower, priorities, and workload) to keep work flowing efficiently.</v>
      </c>
      <c r="K1625" s="31" t="s">
        <v>792</v>
      </c>
      <c r="L1625" s="31">
        <v>2</v>
      </c>
    </row>
    <row r="1626" spans="1:12" ht="16.5" thickBot="1" x14ac:dyDescent="0.3">
      <c r="A1626" t="s">
        <v>1026</v>
      </c>
      <c r="B1626" s="63">
        <v>10302</v>
      </c>
      <c r="C1626" s="63" t="s">
        <v>797</v>
      </c>
      <c r="D1626" s="50">
        <v>5</v>
      </c>
      <c r="E1626" s="46" t="str">
        <f>IF(I1626="","",_xlfn.XLOOKUP(TRIM(I1626),'SkillMasterSkill ID'!$C:$C,'SkillMasterSkill ID'!$D:$D,"",0))</f>
        <v>PLAN</v>
      </c>
      <c r="F1626" s="46" t="str">
        <f>IF(I1626="","",IF(_xlfn.XLOOKUP(TRIM(I1626),'SkillMasterSkill ID'!$C:$C,'SkillMasterSkill ID'!$E:$E,"")=0,"",_xlfn.XLOOKUP(TRIM(I1626),'SkillMasterSkill ID'!$C:$C,'SkillMasterSkill ID'!$E:$E,"")))</f>
        <v/>
      </c>
      <c r="G1626" s="50" t="s">
        <v>798</v>
      </c>
      <c r="H1626" s="51" t="s">
        <v>800</v>
      </c>
      <c r="I1626" t="s">
        <v>827</v>
      </c>
      <c r="J1626" s="50" t="str">
        <f>IF(I1626="","",_xlfn.XLOOKUP(TRIM(I1626),'SkillMasterSkill ID'!$C:$C,'SkillMasterSkill ID'!$F:$F,"NOT FOUND",0))</f>
        <v>Competency related to critical path awareness that supports effective field/project leadership and execution.</v>
      </c>
      <c r="K1626" s="50" t="s">
        <v>795</v>
      </c>
      <c r="L1626" s="50">
        <v>2</v>
      </c>
    </row>
    <row r="1627" spans="1:12" ht="16.5" thickBot="1" x14ac:dyDescent="0.3">
      <c r="A1627" t="s">
        <v>1026</v>
      </c>
      <c r="B1627" s="63">
        <v>10302</v>
      </c>
      <c r="C1627" s="63" t="s">
        <v>797</v>
      </c>
      <c r="D1627" s="50">
        <v>5</v>
      </c>
      <c r="E1627" s="50" t="str">
        <f>IF(I1627="","",_xlfn.XLOOKUP(TRIM(I1627),'SkillMasterSkill ID'!$C:$C,'SkillMasterSkill ID'!$D:$D,"NOT FOUND",0))</f>
        <v>PLAN</v>
      </c>
      <c r="F1627" s="46" t="str">
        <f>IF(I1627="","",IF(_xlfn.XLOOKUP(TRIM(I1627),'SkillMasterSkill ID'!$C:$C,'SkillMasterSkill ID'!$E:$E,"")=0,"",_xlfn.XLOOKUP(TRIM(I1627),'SkillMasterSkill ID'!$C:$C,'SkillMasterSkill ID'!$E:$E,"")))</f>
        <v/>
      </c>
      <c r="G1627" s="11" t="s">
        <v>921</v>
      </c>
      <c r="H1627" s="42" t="s">
        <v>1187</v>
      </c>
      <c r="I1627" t="s">
        <v>827</v>
      </c>
      <c r="J1627" s="50" t="str">
        <f>IF(I1627="","",_xlfn.XLOOKUP(TRIM(I1627),'SkillMasterSkill ID'!$C:$C,'SkillMasterSkill ID'!$F:$F,"NOT FOUND",0))</f>
        <v>Competency related to critical path awareness that supports effective field/project leadership and execution.</v>
      </c>
      <c r="K1627" s="50" t="s">
        <v>792</v>
      </c>
      <c r="L1627" s="50">
        <v>2</v>
      </c>
    </row>
    <row r="1628" spans="1:12" ht="16.5" thickBot="1" x14ac:dyDescent="0.3">
      <c r="A1628" t="s">
        <v>1028</v>
      </c>
      <c r="B1628" s="63">
        <v>10302</v>
      </c>
      <c r="C1628" s="63" t="s">
        <v>797</v>
      </c>
      <c r="D1628" s="50">
        <v>5</v>
      </c>
      <c r="E1628" s="46" t="str">
        <f>IF(I1628="","",_xlfn.XLOOKUP(TRIM(I1628),'SkillMasterSkill ID'!$C:$C,'SkillMasterSkill ID'!$D:$D,"",0))</f>
        <v>PERF</v>
      </c>
      <c r="F1628" s="46" t="str">
        <f>IF(I1628="","",IF(_xlfn.XLOOKUP(TRIM(I1628),'SkillMasterSkill ID'!$C:$C,'SkillMasterSkill ID'!$E:$E,"")=0,"",_xlfn.XLOOKUP(TRIM(I1628),'SkillMasterSkill ID'!$C:$C,'SkillMasterSkill ID'!$E:$E,"")))</f>
        <v/>
      </c>
      <c r="G1628" s="50" t="s">
        <v>798</v>
      </c>
      <c r="H1628" s="51" t="s">
        <v>799</v>
      </c>
      <c r="I1628" t="s">
        <v>919</v>
      </c>
      <c r="J1628" s="50" t="str">
        <f>IF(I1628="","",_xlfn.XLOOKUP(TRIM(I1628),'SkillMasterSkill ID'!$C:$C,'SkillMasterSkill ID'!$F:$F,"NOT FOUND",0))</f>
        <v>Competency related to cross-project prioritization that supports effective field/project leadership and execution.</v>
      </c>
      <c r="K1628" s="50" t="s">
        <v>795</v>
      </c>
      <c r="L1628" s="50">
        <v>2</v>
      </c>
    </row>
    <row r="1629" spans="1:12" ht="16.5" thickBot="1" x14ac:dyDescent="0.3">
      <c r="A1629" t="s">
        <v>1034</v>
      </c>
      <c r="B1629" s="63">
        <v>10302</v>
      </c>
      <c r="C1629" s="63" t="s">
        <v>797</v>
      </c>
      <c r="D1629" s="31">
        <v>5</v>
      </c>
      <c r="E1629" s="31" t="str">
        <f>IF(I1629="","",_xlfn.XLOOKUP(TRIM(I1629),'SkillMasterSkill ID'!$C:$C,'SkillMasterSkill ID'!$D:$D,"NOT FOUND",0))</f>
        <v>ADAPT</v>
      </c>
      <c r="F1629" s="46" t="str">
        <f>IF(I1629="","",IF(_xlfn.XLOOKUP(TRIM(I1629),'SkillMasterSkill ID'!$C:$C,'SkillMasterSkill ID'!$E:$E,"")=0,"",_xlfn.XLOOKUP(TRIM(I1629),'SkillMasterSkill ID'!$C:$C,'SkillMasterSkill ID'!$E:$E,"")))</f>
        <v/>
      </c>
      <c r="G1629" t="s">
        <v>925</v>
      </c>
      <c r="H1629" s="42" t="s">
        <v>1200</v>
      </c>
      <c r="I1629" t="s">
        <v>814</v>
      </c>
      <c r="J1629" s="31" t="str">
        <f>IF(I1629="","",_xlfn.XLOOKUP(TRIM(I1629),'SkillMasterSkill ID'!$C:$C,'SkillMasterSkill ID'!$F:$F,"NOT FOUND",0))</f>
        <v>Competency related to delegation based on conditions that supports effective field/project leadership and execution.</v>
      </c>
      <c r="K1629" s="31" t="s">
        <v>792</v>
      </c>
      <c r="L1629" s="31">
        <v>2</v>
      </c>
    </row>
    <row r="1630" spans="1:12" ht="16.5" thickBot="1" x14ac:dyDescent="0.3">
      <c r="A1630" t="s">
        <v>1036</v>
      </c>
      <c r="B1630" s="63">
        <v>10302</v>
      </c>
      <c r="C1630" s="63" t="s">
        <v>797</v>
      </c>
      <c r="D1630" s="31">
        <v>5</v>
      </c>
      <c r="E1630" s="31" t="str">
        <f>IF(I1630="","",_xlfn.XLOOKUP(TRIM(I1630),'SkillMasterSkill ID'!$C:$C,'SkillMasterSkill ID'!$D:$D,"NOT FOUND",0))</f>
        <v>COMM</v>
      </c>
      <c r="F1630" s="46" t="str">
        <f>IF(I1630="","",IF(_xlfn.XLOOKUP(TRIM(I1630),'SkillMasterSkill ID'!$C:$C,'SkillMasterSkill ID'!$E:$E,"")=0,"",_xlfn.XLOOKUP(TRIM(I1630),'SkillMasterSkill ID'!$C:$C,'SkillMasterSkill ID'!$E:$E,"")))</f>
        <v/>
      </c>
      <c r="G1630" s="11" t="s">
        <v>921</v>
      </c>
      <c r="H1630" s="42" t="s">
        <v>1189</v>
      </c>
      <c r="I1630" t="s">
        <v>909</v>
      </c>
      <c r="J1630" s="31" t="str">
        <f>IF(I1630="","",_xlfn.XLOOKUP(TRIM(I1630),'SkillMasterSkill ID'!$C:$C,'SkillMasterSkill ID'!$F:$F,"NOT FOUND",0))</f>
        <v>Ability to plan and sequence work effectively, using schedules, constraints, and lookahead thinking to meet targets.</v>
      </c>
      <c r="K1630" s="31" t="s">
        <v>792</v>
      </c>
      <c r="L1630" s="31">
        <v>2</v>
      </c>
    </row>
    <row r="1631" spans="1:12" ht="16.5" thickBot="1" x14ac:dyDescent="0.3">
      <c r="A1631" t="s">
        <v>1036</v>
      </c>
      <c r="B1631" s="63">
        <v>10302</v>
      </c>
      <c r="C1631" s="63" t="s">
        <v>797</v>
      </c>
      <c r="D1631" s="31">
        <v>5</v>
      </c>
      <c r="E1631" s="31" t="str">
        <f>IF(I1631="","",_xlfn.XLOOKUP(TRIM(I1631),'SkillMasterSkill ID'!$C:$C,'SkillMasterSkill ID'!$D:$D,"NOT FOUND",0))</f>
        <v>COMM</v>
      </c>
      <c r="F1631" s="46" t="str">
        <f>IF(I1631="","",IF(_xlfn.XLOOKUP(TRIM(I1631),'SkillMasterSkill ID'!$C:$C,'SkillMasterSkill ID'!$E:$E,"")=0,"",_xlfn.XLOOKUP(TRIM(I1631),'SkillMasterSkill ID'!$C:$C,'SkillMasterSkill ID'!$E:$E,"")))</f>
        <v/>
      </c>
      <c r="G1631" s="11" t="s">
        <v>921</v>
      </c>
      <c r="H1631" s="42" t="s">
        <v>1191</v>
      </c>
      <c r="I1631" t="s">
        <v>909</v>
      </c>
      <c r="J1631" s="31" t="str">
        <f>IF(I1631="","",_xlfn.XLOOKUP(TRIM(I1631),'SkillMasterSkill ID'!$C:$C,'SkillMasterSkill ID'!$F:$F,"NOT FOUND",0))</f>
        <v>Ability to plan and sequence work effectively, using schedules, constraints, and lookahead thinking to meet targets.</v>
      </c>
      <c r="K1631" s="31" t="s">
        <v>792</v>
      </c>
      <c r="L1631" s="31">
        <v>2</v>
      </c>
    </row>
    <row r="1632" spans="1:12" ht="16.5" thickBot="1" x14ac:dyDescent="0.3">
      <c r="A1632" t="s">
        <v>1037</v>
      </c>
      <c r="B1632" s="63">
        <v>10302</v>
      </c>
      <c r="C1632" s="63" t="s">
        <v>797</v>
      </c>
      <c r="D1632" s="50">
        <v>5</v>
      </c>
      <c r="E1632" s="46" t="str">
        <f>IF(I1632="","",_xlfn.XLOOKUP(TRIM(I1632),'SkillMasterSkill ID'!$C:$C,'SkillMasterSkill ID'!$D:$D,"",0))</f>
        <v>COACH</v>
      </c>
      <c r="F1632" s="46" t="str">
        <f>IF(I1632="","",IF(_xlfn.XLOOKUP(TRIM(I1632),'SkillMasterSkill ID'!$C:$C,'SkillMasterSkill ID'!$E:$E,"")=0,"",_xlfn.XLOOKUP(TRIM(I1632),'SkillMasterSkill ID'!$C:$C,'SkillMasterSkill ID'!$E:$E,"")))</f>
        <v/>
      </c>
      <c r="G1632" s="50" t="s">
        <v>1181</v>
      </c>
      <c r="H1632" s="42" t="s">
        <v>1173</v>
      </c>
      <c r="I1632" t="s">
        <v>945</v>
      </c>
      <c r="J1632" s="50" t="str">
        <f>IF(I1632="","",_xlfn.XLOOKUP(TRIM(I1632),'SkillMasterSkill ID'!$C:$C,'SkillMasterSkill ID'!$F:$F,"NOT FOUND",0))</f>
        <v>Ability to plan and sequence work effectively, using schedules, constraints, and lookahead thinking to meet targets.</v>
      </c>
      <c r="K1632" s="50" t="s">
        <v>795</v>
      </c>
      <c r="L1632" s="50">
        <v>2</v>
      </c>
    </row>
    <row r="1633" spans="1:12" ht="16.5" thickBot="1" x14ac:dyDescent="0.3">
      <c r="A1633" t="s">
        <v>1037</v>
      </c>
      <c r="B1633" s="63">
        <v>10302</v>
      </c>
      <c r="C1633" s="63" t="s">
        <v>797</v>
      </c>
      <c r="D1633" s="50">
        <v>5</v>
      </c>
      <c r="E1633" s="46" t="str">
        <f>IF(I1633="","",_xlfn.XLOOKUP(TRIM(I1633),'SkillMasterSkill ID'!$C:$C,'SkillMasterSkill ID'!$D:$D,"",0))</f>
        <v>COACH</v>
      </c>
      <c r="F1633" s="46" t="str">
        <f>IF(I1633="","",IF(_xlfn.XLOOKUP(TRIM(I1633),'SkillMasterSkill ID'!$C:$C,'SkillMasterSkill ID'!$E:$E,"")=0,"",_xlfn.XLOOKUP(TRIM(I1633),'SkillMasterSkill ID'!$C:$C,'SkillMasterSkill ID'!$E:$E,"")))</f>
        <v/>
      </c>
      <c r="G1633" s="50" t="s">
        <v>1181</v>
      </c>
      <c r="H1633" s="42" t="s">
        <v>944</v>
      </c>
      <c r="I1633" t="s">
        <v>945</v>
      </c>
      <c r="J1633" s="50" t="str">
        <f>IF(I1633="","",_xlfn.XLOOKUP(TRIM(I1633),'SkillMasterSkill ID'!$C:$C,'SkillMasterSkill ID'!$F:$F,"NOT FOUND",0))</f>
        <v>Ability to plan and sequence work effectively, using schedules, constraints, and lookahead thinking to meet targets.</v>
      </c>
      <c r="K1633" s="50" t="s">
        <v>795</v>
      </c>
      <c r="L1633" s="50">
        <v>2</v>
      </c>
    </row>
    <row r="1634" spans="1:12" ht="16.5" thickBot="1" x14ac:dyDescent="0.3">
      <c r="A1634" t="s">
        <v>1037</v>
      </c>
      <c r="B1634" s="63">
        <v>10302</v>
      </c>
      <c r="C1634" s="63" t="s">
        <v>797</v>
      </c>
      <c r="D1634" s="50">
        <v>5</v>
      </c>
      <c r="E1634" s="46" t="str">
        <f>IF(I1634="","",_xlfn.XLOOKUP(TRIM(I1634),'SkillMasterSkill ID'!$C:$C,'SkillMasterSkill ID'!$D:$D,"",0))</f>
        <v>COACH</v>
      </c>
      <c r="F1634" s="46" t="str">
        <f>IF(I1634="","",IF(_xlfn.XLOOKUP(TRIM(I1634),'SkillMasterSkill ID'!$C:$C,'SkillMasterSkill ID'!$E:$E,"")=0,"",_xlfn.XLOOKUP(TRIM(I1634),'SkillMasterSkill ID'!$C:$C,'SkillMasterSkill ID'!$E:$E,"")))</f>
        <v/>
      </c>
      <c r="G1634" s="50" t="s">
        <v>1181</v>
      </c>
      <c r="H1634" s="42" t="s">
        <v>1173</v>
      </c>
      <c r="I1634" t="s">
        <v>945</v>
      </c>
      <c r="J1634" s="50" t="str">
        <f>IF(I1634="","",_xlfn.XLOOKUP(TRIM(I1634),'SkillMasterSkill ID'!$C:$C,'SkillMasterSkill ID'!$F:$F,"NOT FOUND",0))</f>
        <v>Ability to plan and sequence work effectively, using schedules, constraints, and lookahead thinking to meet targets.</v>
      </c>
      <c r="K1634" s="27"/>
      <c r="L1634" s="27"/>
    </row>
    <row r="1635" spans="1:12" ht="16.5" thickBot="1" x14ac:dyDescent="0.3">
      <c r="A1635" t="s">
        <v>1037</v>
      </c>
      <c r="B1635" s="63">
        <v>10302</v>
      </c>
      <c r="C1635" s="63" t="s">
        <v>797</v>
      </c>
      <c r="D1635" s="50">
        <v>5</v>
      </c>
      <c r="E1635" s="46" t="str">
        <f>IF(I1635="","",_xlfn.XLOOKUP(TRIM(I1635),'SkillMasterSkill ID'!$C:$C,'SkillMasterSkill ID'!$D:$D,"",0))</f>
        <v>COACH</v>
      </c>
      <c r="F1635" s="46" t="str">
        <f>IF(I1635="","",IF(_xlfn.XLOOKUP(TRIM(I1635),'SkillMasterSkill ID'!$C:$C,'SkillMasterSkill ID'!$E:$E,"")=0,"",_xlfn.XLOOKUP(TRIM(I1635),'SkillMasterSkill ID'!$C:$C,'SkillMasterSkill ID'!$E:$E,"")))</f>
        <v/>
      </c>
      <c r="G1635" s="50" t="s">
        <v>1181</v>
      </c>
      <c r="H1635" s="42" t="s">
        <v>944</v>
      </c>
      <c r="I1635" t="s">
        <v>945</v>
      </c>
      <c r="J1635" s="50" t="str">
        <f>IF(I1635="","",_xlfn.XLOOKUP(TRIM(I1635),'SkillMasterSkill ID'!$C:$C,'SkillMasterSkill ID'!$F:$F,"NOT FOUND",0))</f>
        <v>Ability to plan and sequence work effectively, using schedules, constraints, and lookahead thinking to meet targets.</v>
      </c>
      <c r="K1635" s="27"/>
      <c r="L1635" s="27"/>
    </row>
    <row r="1636" spans="1:12" ht="16.5" thickBot="1" x14ac:dyDescent="0.3">
      <c r="A1636" t="s">
        <v>1037</v>
      </c>
      <c r="B1636" s="63">
        <v>10302</v>
      </c>
      <c r="C1636" s="63" t="s">
        <v>797</v>
      </c>
      <c r="D1636" s="31">
        <v>5</v>
      </c>
      <c r="E1636" s="31" t="str">
        <f>IF(I1636="","",_xlfn.XLOOKUP(TRIM(I1636),'SkillMasterSkill ID'!$C:$C,'SkillMasterSkill ID'!$D:$D,"NOT FOUND",0))</f>
        <v>COACH</v>
      </c>
      <c r="F1636" s="46" t="str">
        <f>IF(I1636="","",IF(_xlfn.XLOOKUP(TRIM(I1636),'SkillMasterSkill ID'!$C:$C,'SkillMasterSkill ID'!$E:$E,"")=0,"",_xlfn.XLOOKUP(TRIM(I1636),'SkillMasterSkill ID'!$C:$C,'SkillMasterSkill ID'!$E:$E,"")))</f>
        <v/>
      </c>
      <c r="G1636" t="s">
        <v>925</v>
      </c>
      <c r="H1636" s="42" t="s">
        <v>1200</v>
      </c>
      <c r="I1636" t="s">
        <v>945</v>
      </c>
      <c r="J1636" s="31" t="str">
        <f>IF(I1636="","",_xlfn.XLOOKUP(TRIM(I1636),'SkillMasterSkill ID'!$C:$C,'SkillMasterSkill ID'!$F:$F,"NOT FOUND",0))</f>
        <v>Ability to plan and sequence work effectively, using schedules, constraints, and lookahead thinking to meet targets.</v>
      </c>
      <c r="K1636" s="31" t="s">
        <v>792</v>
      </c>
      <c r="L1636" s="31">
        <v>2</v>
      </c>
    </row>
    <row r="1637" spans="1:12" ht="16.5" thickBot="1" x14ac:dyDescent="0.3">
      <c r="A1637" t="s">
        <v>1037</v>
      </c>
      <c r="B1637" s="63">
        <v>10302</v>
      </c>
      <c r="C1637" s="63" t="s">
        <v>797</v>
      </c>
      <c r="D1637" s="31">
        <v>5</v>
      </c>
      <c r="E1637" s="31" t="str">
        <f>IF(I1637="","",_xlfn.XLOOKUP(TRIM(I1637),'SkillMasterSkill ID'!$C:$C,'SkillMasterSkill ID'!$D:$D,"NOT FOUND",0))</f>
        <v>COACH</v>
      </c>
      <c r="F1637" s="46" t="str">
        <f>IF(I1637="","",IF(_xlfn.XLOOKUP(TRIM(I1637),'SkillMasterSkill ID'!$C:$C,'SkillMasterSkill ID'!$E:$E,"")=0,"",_xlfn.XLOOKUP(TRIM(I1637),'SkillMasterSkill ID'!$C:$C,'SkillMasterSkill ID'!$E:$E,"")))</f>
        <v/>
      </c>
      <c r="G1637" t="s">
        <v>925</v>
      </c>
      <c r="H1637" s="42" t="s">
        <v>1206</v>
      </c>
      <c r="I1637" t="s">
        <v>945</v>
      </c>
      <c r="J1637" s="31" t="str">
        <f>IF(I1637="","",_xlfn.XLOOKUP(TRIM(I1637),'SkillMasterSkill ID'!$C:$C,'SkillMasterSkill ID'!$F:$F,"NOT FOUND",0))</f>
        <v>Ability to plan and sequence work effectively, using schedules, constraints, and lookahead thinking to meet targets.</v>
      </c>
      <c r="K1637" s="31" t="s">
        <v>792</v>
      </c>
      <c r="L1637" s="31">
        <v>2</v>
      </c>
    </row>
    <row r="1638" spans="1:12" ht="16.5" thickBot="1" x14ac:dyDescent="0.3">
      <c r="A1638" t="s">
        <v>1038</v>
      </c>
      <c r="B1638" s="63">
        <v>10302</v>
      </c>
      <c r="C1638" s="63" t="s">
        <v>797</v>
      </c>
      <c r="D1638" s="50">
        <v>5</v>
      </c>
      <c r="E1638" s="46" t="str">
        <f>IF(I1638="","",_xlfn.XLOOKUP(TRIM(I1638),'SkillMasterSkill ID'!$C:$C,'SkillMasterSkill ID'!$D:$D,"",0))</f>
        <v>COACH</v>
      </c>
      <c r="F1638" s="46" t="str">
        <f>IF(I1638="","",IF(_xlfn.XLOOKUP(TRIM(I1638),'SkillMasterSkill ID'!$C:$C,'SkillMasterSkill ID'!$E:$E,"")=0,"",_xlfn.XLOOKUP(TRIM(I1638),'SkillMasterSkill ID'!$C:$C,'SkillMasterSkill ID'!$E:$E,"")))</f>
        <v/>
      </c>
      <c r="G1638" s="50" t="s">
        <v>1181</v>
      </c>
      <c r="H1638" s="42" t="s">
        <v>1173</v>
      </c>
      <c r="I1638" t="s">
        <v>887</v>
      </c>
      <c r="J1638" s="50" t="str">
        <f>IF(I1638="","",_xlfn.XLOOKUP(TRIM(I1638),'SkillMasterSkill ID'!$C:$C,'SkillMasterSkill ID'!$F:$F,"NOT FOUND",0))</f>
        <v>Ability to plan and sequence work effectively, using schedules, constraints, and lookahead thinking to meet targets.</v>
      </c>
      <c r="K1638" s="50" t="s">
        <v>795</v>
      </c>
      <c r="L1638" s="50">
        <v>2</v>
      </c>
    </row>
    <row r="1639" spans="1:12" ht="16.5" thickBot="1" x14ac:dyDescent="0.3">
      <c r="A1639" t="s">
        <v>1038</v>
      </c>
      <c r="B1639" s="63">
        <v>10302</v>
      </c>
      <c r="C1639" s="63" t="s">
        <v>797</v>
      </c>
      <c r="D1639" s="50">
        <v>5</v>
      </c>
      <c r="E1639" s="46" t="str">
        <f>IF(I1639="","",_xlfn.XLOOKUP(TRIM(I1639),'SkillMasterSkill ID'!$C:$C,'SkillMasterSkill ID'!$D:$D,"",0))</f>
        <v>COACH</v>
      </c>
      <c r="F1639" s="46" t="str">
        <f>IF(I1639="","",IF(_xlfn.XLOOKUP(TRIM(I1639),'SkillMasterSkill ID'!$C:$C,'SkillMasterSkill ID'!$E:$E,"")=0,"",_xlfn.XLOOKUP(TRIM(I1639),'SkillMasterSkill ID'!$C:$C,'SkillMasterSkill ID'!$E:$E,"")))</f>
        <v/>
      </c>
      <c r="G1639" s="50" t="s">
        <v>1181</v>
      </c>
      <c r="H1639" s="42" t="s">
        <v>944</v>
      </c>
      <c r="I1639" t="s">
        <v>887</v>
      </c>
      <c r="J1639" s="50" t="str">
        <f>IF(I1639="","",_xlfn.XLOOKUP(TRIM(I1639),'SkillMasterSkill ID'!$C:$C,'SkillMasterSkill ID'!$F:$F,"NOT FOUND",0))</f>
        <v>Ability to plan and sequence work effectively, using schedules, constraints, and lookahead thinking to meet targets.</v>
      </c>
      <c r="K1639" s="50" t="s">
        <v>795</v>
      </c>
      <c r="L1639" s="50">
        <v>2</v>
      </c>
    </row>
    <row r="1640" spans="1:12" ht="16.5" thickBot="1" x14ac:dyDescent="0.3">
      <c r="A1640" t="s">
        <v>1038</v>
      </c>
      <c r="B1640" s="63">
        <v>10302</v>
      </c>
      <c r="C1640" s="63" t="s">
        <v>797</v>
      </c>
      <c r="D1640" s="50">
        <v>5</v>
      </c>
      <c r="E1640" s="46" t="str">
        <f>IF(I1640="","",_xlfn.XLOOKUP(TRIM(I1640),'SkillMasterSkill ID'!$C:$C,'SkillMasterSkill ID'!$D:$D,"",0))</f>
        <v>COACH</v>
      </c>
      <c r="F1640" s="46" t="str">
        <f>IF(I1640="","",IF(_xlfn.XLOOKUP(TRIM(I1640),'SkillMasterSkill ID'!$C:$C,'SkillMasterSkill ID'!$E:$E,"")=0,"",_xlfn.XLOOKUP(TRIM(I1640),'SkillMasterSkill ID'!$C:$C,'SkillMasterSkill ID'!$E:$E,"")))</f>
        <v/>
      </c>
      <c r="G1640" s="50" t="s">
        <v>1181</v>
      </c>
      <c r="H1640" s="42" t="s">
        <v>1173</v>
      </c>
      <c r="I1640" t="s">
        <v>887</v>
      </c>
      <c r="J1640" s="50" t="str">
        <f>IF(I1640="","",_xlfn.XLOOKUP(TRIM(I1640),'SkillMasterSkill ID'!$C:$C,'SkillMasterSkill ID'!$F:$F,"NOT FOUND",0))</f>
        <v>Ability to plan and sequence work effectively, using schedules, constraints, and lookahead thinking to meet targets.</v>
      </c>
      <c r="K1640" s="27"/>
      <c r="L1640" s="27"/>
    </row>
    <row r="1641" spans="1:12" ht="16.5" thickBot="1" x14ac:dyDescent="0.3">
      <c r="A1641" t="s">
        <v>1038</v>
      </c>
      <c r="B1641" s="63">
        <v>10302</v>
      </c>
      <c r="C1641" s="63" t="s">
        <v>797</v>
      </c>
      <c r="D1641" s="50">
        <v>5</v>
      </c>
      <c r="E1641" s="46" t="str">
        <f>IF(I1641="","",_xlfn.XLOOKUP(TRIM(I1641),'SkillMasterSkill ID'!$C:$C,'SkillMasterSkill ID'!$D:$D,"",0))</f>
        <v>COACH</v>
      </c>
      <c r="F1641" s="46" t="str">
        <f>IF(I1641="","",IF(_xlfn.XLOOKUP(TRIM(I1641),'SkillMasterSkill ID'!$C:$C,'SkillMasterSkill ID'!$E:$E,"")=0,"",_xlfn.XLOOKUP(TRIM(I1641),'SkillMasterSkill ID'!$C:$C,'SkillMasterSkill ID'!$E:$E,"")))</f>
        <v/>
      </c>
      <c r="G1641" s="50" t="s">
        <v>1181</v>
      </c>
      <c r="H1641" s="42" t="s">
        <v>944</v>
      </c>
      <c r="I1641" t="s">
        <v>887</v>
      </c>
      <c r="J1641" s="50" t="str">
        <f>IF(I1641="","",_xlfn.XLOOKUP(TRIM(I1641),'SkillMasterSkill ID'!$C:$C,'SkillMasterSkill ID'!$F:$F,"NOT FOUND",0))</f>
        <v>Ability to plan and sequence work effectively, using schedules, constraints, and lookahead thinking to meet targets.</v>
      </c>
      <c r="K1641" s="27"/>
      <c r="L1641" s="27"/>
    </row>
    <row r="1642" spans="1:12" ht="16.5" thickBot="1" x14ac:dyDescent="0.3">
      <c r="A1642" t="s">
        <v>1038</v>
      </c>
      <c r="B1642" s="63">
        <v>10302</v>
      </c>
      <c r="C1642" s="63" t="s">
        <v>797</v>
      </c>
      <c r="D1642" s="31">
        <v>5</v>
      </c>
      <c r="E1642" s="31" t="str">
        <f>IF(I1642="","",_xlfn.XLOOKUP(TRIM(I1642),'SkillMasterSkill ID'!$C:$C,'SkillMasterSkill ID'!$D:$D,"NOT FOUND",0))</f>
        <v>COACH</v>
      </c>
      <c r="F1642" s="46" t="str">
        <f>IF(I1642="","",IF(_xlfn.XLOOKUP(TRIM(I1642),'SkillMasterSkill ID'!$C:$C,'SkillMasterSkill ID'!$E:$E,"")=0,"",_xlfn.XLOOKUP(TRIM(I1642),'SkillMasterSkill ID'!$C:$C,'SkillMasterSkill ID'!$E:$E,"")))</f>
        <v/>
      </c>
      <c r="G1642" t="s">
        <v>925</v>
      </c>
      <c r="H1642" s="42" t="s">
        <v>1200</v>
      </c>
      <c r="I1642" t="s">
        <v>887</v>
      </c>
      <c r="J1642" s="31" t="str">
        <f>IF(I1642="","",_xlfn.XLOOKUP(TRIM(I1642),'SkillMasterSkill ID'!$C:$C,'SkillMasterSkill ID'!$F:$F,"NOT FOUND",0))</f>
        <v>Ability to plan and sequence work effectively, using schedules, constraints, and lookahead thinking to meet targets.</v>
      </c>
      <c r="K1642" s="31" t="s">
        <v>792</v>
      </c>
      <c r="L1642" s="31">
        <v>2</v>
      </c>
    </row>
    <row r="1643" spans="1:12" ht="16.5" thickBot="1" x14ac:dyDescent="0.3">
      <c r="A1643" t="s">
        <v>1038</v>
      </c>
      <c r="B1643" s="63">
        <v>10302</v>
      </c>
      <c r="C1643" s="63" t="s">
        <v>797</v>
      </c>
      <c r="D1643" s="31">
        <v>5</v>
      </c>
      <c r="E1643" s="31" t="str">
        <f>IF(I1643="","",_xlfn.XLOOKUP(TRIM(I1643),'SkillMasterSkill ID'!$C:$C,'SkillMasterSkill ID'!$D:$D,"NOT FOUND",0))</f>
        <v>COACH</v>
      </c>
      <c r="F1643" s="46" t="str">
        <f>IF(I1643="","",IF(_xlfn.XLOOKUP(TRIM(I1643),'SkillMasterSkill ID'!$C:$C,'SkillMasterSkill ID'!$E:$E,"")=0,"",_xlfn.XLOOKUP(TRIM(I1643),'SkillMasterSkill ID'!$C:$C,'SkillMasterSkill ID'!$E:$E,"")))</f>
        <v/>
      </c>
      <c r="G1643" t="s">
        <v>925</v>
      </c>
      <c r="H1643" s="42" t="s">
        <v>1206</v>
      </c>
      <c r="I1643" t="s">
        <v>887</v>
      </c>
      <c r="J1643" s="31" t="str">
        <f>IF(I1643="","",_xlfn.XLOOKUP(TRIM(I1643),'SkillMasterSkill ID'!$C:$C,'SkillMasterSkill ID'!$F:$F,"NOT FOUND",0))</f>
        <v>Ability to plan and sequence work effectively, using schedules, constraints, and lookahead thinking to meet targets.</v>
      </c>
      <c r="K1643" s="31" t="s">
        <v>792</v>
      </c>
      <c r="L1643" s="31">
        <v>2</v>
      </c>
    </row>
    <row r="1644" spans="1:12" ht="16.5" thickBot="1" x14ac:dyDescent="0.3">
      <c r="A1644" t="s">
        <v>1039</v>
      </c>
      <c r="B1644" s="63">
        <v>10302</v>
      </c>
      <c r="C1644" s="63" t="s">
        <v>797</v>
      </c>
      <c r="D1644" s="50">
        <v>5</v>
      </c>
      <c r="E1644" s="46" t="str">
        <f>IF(I1644="","",_xlfn.XLOOKUP(TRIM(I1644),'SkillMasterSkill ID'!$C:$C,'SkillMasterSkill ID'!$D:$D,"",0))</f>
        <v>DOC</v>
      </c>
      <c r="F1644" s="46" t="str">
        <f>IF(I1644="","",IF(_xlfn.XLOOKUP(TRIM(I1644),'SkillMasterSkill ID'!$C:$C,'SkillMasterSkill ID'!$E:$E,"")=0,"",_xlfn.XLOOKUP(TRIM(I1644),'SkillMasterSkill ID'!$C:$C,'SkillMasterSkill ID'!$E:$E,"")))</f>
        <v/>
      </c>
      <c r="G1644" s="50" t="s">
        <v>1181</v>
      </c>
      <c r="H1644" s="42" t="s">
        <v>948</v>
      </c>
      <c r="I1644" t="s">
        <v>949</v>
      </c>
      <c r="J1644" s="50" t="str">
        <f>IF(I1644="","",_xlfn.XLOOKUP(TRIM(I1644),'SkillMasterSkill ID'!$C:$C,'SkillMasterSkill ID'!$F:$F,"NOT FOUND",0))</f>
        <v>Ability to maintain accurate, timely documentation and verify compliance to support accountability and project controls.</v>
      </c>
      <c r="K1644" s="27"/>
      <c r="L1644" s="27"/>
    </row>
    <row r="1645" spans="1:12" ht="16.5" thickBot="1" x14ac:dyDescent="0.3">
      <c r="A1645" t="s">
        <v>1039</v>
      </c>
      <c r="B1645" s="63">
        <v>10302</v>
      </c>
      <c r="C1645" s="63" t="s">
        <v>797</v>
      </c>
      <c r="D1645" s="50">
        <v>5</v>
      </c>
      <c r="E1645" s="46" t="str">
        <f>IF(I1645="","",_xlfn.XLOOKUP(TRIM(I1645),'SkillMasterSkill ID'!$C:$C,'SkillMasterSkill ID'!$D:$D,"",0))</f>
        <v>DOC</v>
      </c>
      <c r="F1645" s="46" t="str">
        <f>IF(I1645="","",IF(_xlfn.XLOOKUP(TRIM(I1645),'SkillMasterSkill ID'!$C:$C,'SkillMasterSkill ID'!$E:$E,"")=0,"",_xlfn.XLOOKUP(TRIM(I1645),'SkillMasterSkill ID'!$C:$C,'SkillMasterSkill ID'!$E:$E,"")))</f>
        <v/>
      </c>
      <c r="G1645" s="50" t="s">
        <v>1181</v>
      </c>
      <c r="H1645" s="42" t="s">
        <v>948</v>
      </c>
      <c r="I1645" t="s">
        <v>949</v>
      </c>
      <c r="J1645" s="50" t="str">
        <f>IF(I1645="","",_xlfn.XLOOKUP(TRIM(I1645),'SkillMasterSkill ID'!$C:$C,'SkillMasterSkill ID'!$F:$F,"NOT FOUND",0))</f>
        <v>Ability to maintain accurate, timely documentation and verify compliance to support accountability and project controls.</v>
      </c>
      <c r="K1645" s="27"/>
      <c r="L1645" s="27"/>
    </row>
    <row r="1646" spans="1:12" ht="16.5" thickBot="1" x14ac:dyDescent="0.3">
      <c r="A1646" t="s">
        <v>1040</v>
      </c>
      <c r="B1646" s="63">
        <v>10302</v>
      </c>
      <c r="C1646" s="63" t="s">
        <v>797</v>
      </c>
      <c r="D1646" s="50">
        <v>5</v>
      </c>
      <c r="E1646" s="46" t="str">
        <f>IF(I1646="","",_xlfn.XLOOKUP(TRIM(I1646),'SkillMasterSkill ID'!$C:$C,'SkillMasterSkill ID'!$D:$D,"",0))</f>
        <v>OVST</v>
      </c>
      <c r="F1646" s="46" t="str">
        <f>IF(I1646="","",IF(_xlfn.XLOOKUP(TRIM(I1646),'SkillMasterSkill ID'!$C:$C,'SkillMasterSkill ID'!$E:$E,"")=0,"",_xlfn.XLOOKUP(TRIM(I1646),'SkillMasterSkill ID'!$C:$C,'SkillMasterSkill ID'!$E:$E,"")))</f>
        <v/>
      </c>
      <c r="G1646" s="50" t="s">
        <v>1181</v>
      </c>
      <c r="H1646" s="42" t="s">
        <v>938</v>
      </c>
      <c r="I1646" t="s">
        <v>884</v>
      </c>
      <c r="J1646" s="50" t="str">
        <f>IF(I1646="","",_xlfn.XLOOKUP(TRIM(I1646),'SkillMasterSkill ID'!$C:$C,'SkillMasterSkill ID'!$F:$F,"NOT FOUND",0))</f>
        <v>Competency related to early issue detection that supports effective field/project leadership and execution.</v>
      </c>
      <c r="K1646" s="50" t="s">
        <v>795</v>
      </c>
      <c r="L1646" s="50">
        <v>2</v>
      </c>
    </row>
    <row r="1647" spans="1:12" ht="16.5" thickBot="1" x14ac:dyDescent="0.3">
      <c r="A1647" t="s">
        <v>1040</v>
      </c>
      <c r="B1647" s="63">
        <v>10302</v>
      </c>
      <c r="C1647" s="63" t="s">
        <v>797</v>
      </c>
      <c r="D1647" s="50">
        <v>5</v>
      </c>
      <c r="E1647" s="46" t="str">
        <f>IF(I1647="","",_xlfn.XLOOKUP(TRIM(I1647),'SkillMasterSkill ID'!$C:$C,'SkillMasterSkill ID'!$D:$D,"",0))</f>
        <v>OVST</v>
      </c>
      <c r="F1647" s="46" t="str">
        <f>IF(I1647="","",IF(_xlfn.XLOOKUP(TRIM(I1647),'SkillMasterSkill ID'!$C:$C,'SkillMasterSkill ID'!$E:$E,"")=0,"",_xlfn.XLOOKUP(TRIM(I1647),'SkillMasterSkill ID'!$C:$C,'SkillMasterSkill ID'!$E:$E,"")))</f>
        <v/>
      </c>
      <c r="G1647" s="50" t="s">
        <v>1181</v>
      </c>
      <c r="H1647" s="42" t="s">
        <v>938</v>
      </c>
      <c r="I1647" t="s">
        <v>884</v>
      </c>
      <c r="J1647" s="50" t="str">
        <f>IF(I1647="","",_xlfn.XLOOKUP(TRIM(I1647),'SkillMasterSkill ID'!$C:$C,'SkillMasterSkill ID'!$F:$F,"NOT FOUND",0))</f>
        <v>Competency related to early issue detection that supports effective field/project leadership and execution.</v>
      </c>
      <c r="K1647" s="27"/>
      <c r="L1647" s="27"/>
    </row>
    <row r="1648" spans="1:12" ht="16.5" thickBot="1" x14ac:dyDescent="0.3">
      <c r="A1648" t="s">
        <v>1040</v>
      </c>
      <c r="B1648" s="63">
        <v>10302</v>
      </c>
      <c r="C1648" s="63" t="s">
        <v>797</v>
      </c>
      <c r="D1648" s="31">
        <v>5</v>
      </c>
      <c r="E1648" s="31" t="str">
        <f>IF(I1648="","",_xlfn.XLOOKUP(TRIM(I1648),'SkillMasterSkill ID'!$C:$C,'SkillMasterSkill ID'!$D:$D,"NOT FOUND",0))</f>
        <v>OVST</v>
      </c>
      <c r="F1648" s="46" t="str">
        <f>IF(I1648="","",IF(_xlfn.XLOOKUP(TRIM(I1648),'SkillMasterSkill ID'!$C:$C,'SkillMasterSkill ID'!$E:$E,"")=0,"",_xlfn.XLOOKUP(TRIM(I1648),'SkillMasterSkill ID'!$C:$C,'SkillMasterSkill ID'!$E:$E,"")))</f>
        <v/>
      </c>
      <c r="G1648" t="s">
        <v>925</v>
      </c>
      <c r="H1648" s="42" t="s">
        <v>1198</v>
      </c>
      <c r="I1648" t="s">
        <v>884</v>
      </c>
      <c r="J1648" s="31" t="str">
        <f>IF(I1648="","",_xlfn.XLOOKUP(TRIM(I1648),'SkillMasterSkill ID'!$C:$C,'SkillMasterSkill ID'!$F:$F,"NOT FOUND",0))</f>
        <v>Competency related to early issue detection that supports effective field/project leadership and execution.</v>
      </c>
      <c r="K1648" s="31" t="s">
        <v>792</v>
      </c>
      <c r="L1648" s="31">
        <v>2</v>
      </c>
    </row>
    <row r="1649" spans="1:12" ht="16.5" thickBot="1" x14ac:dyDescent="0.3">
      <c r="A1649" t="s">
        <v>1040</v>
      </c>
      <c r="B1649" s="63">
        <v>10302</v>
      </c>
      <c r="C1649" s="63" t="s">
        <v>797</v>
      </c>
      <c r="D1649" s="31">
        <v>5</v>
      </c>
      <c r="E1649" s="31" t="str">
        <f>IF(I1649="","",_xlfn.XLOOKUP(TRIM(I1649),'SkillMasterSkill ID'!$C:$C,'SkillMasterSkill ID'!$D:$D,"NOT FOUND",0))</f>
        <v>OVST</v>
      </c>
      <c r="F1649" s="46" t="str">
        <f>IF(I1649="","",IF(_xlfn.XLOOKUP(TRIM(I1649),'SkillMasterSkill ID'!$C:$C,'SkillMasterSkill ID'!$E:$E,"")=0,"",_xlfn.XLOOKUP(TRIM(I1649),'SkillMasterSkill ID'!$C:$C,'SkillMasterSkill ID'!$E:$E,"")))</f>
        <v/>
      </c>
      <c r="G1649" t="s">
        <v>925</v>
      </c>
      <c r="H1649" s="42" t="s">
        <v>1199</v>
      </c>
      <c r="I1649" t="s">
        <v>884</v>
      </c>
      <c r="J1649" s="31" t="str">
        <f>IF(I1649="","",_xlfn.XLOOKUP(TRIM(I1649),'SkillMasterSkill ID'!$C:$C,'SkillMasterSkill ID'!$F:$F,"NOT FOUND",0))</f>
        <v>Competency related to early issue detection that supports effective field/project leadership and execution.</v>
      </c>
      <c r="K1649" s="31" t="s">
        <v>792</v>
      </c>
      <c r="L1649" s="31">
        <v>2</v>
      </c>
    </row>
    <row r="1650" spans="1:12" ht="16.5" thickBot="1" x14ac:dyDescent="0.3">
      <c r="A1650" t="s">
        <v>1043</v>
      </c>
      <c r="B1650" s="63">
        <v>10302</v>
      </c>
      <c r="C1650" s="63" t="s">
        <v>797</v>
      </c>
      <c r="D1650" s="50">
        <v>5</v>
      </c>
      <c r="E1650" s="46" t="str">
        <f>IF(I1650="","",_xlfn.XLOOKUP(TRIM(I1650),'SkillMasterSkill ID'!$C:$C,'SkillMasterSkill ID'!$D:$D,"",0))</f>
        <v>ADAPT</v>
      </c>
      <c r="F1650" s="46" t="str">
        <f>IF(I1650="","",IF(_xlfn.XLOOKUP(TRIM(I1650),'SkillMasterSkill ID'!$C:$C,'SkillMasterSkill ID'!$E:$E,"")=0,"",_xlfn.XLOOKUP(TRIM(I1650),'SkillMasterSkill ID'!$C:$C,'SkillMasterSkill ID'!$E:$E,"")))</f>
        <v/>
      </c>
      <c r="G1650" s="50" t="s">
        <v>1181</v>
      </c>
      <c r="H1650" s="42" t="s">
        <v>925</v>
      </c>
      <c r="I1650" t="s">
        <v>807</v>
      </c>
      <c r="J1650" s="50" t="str">
        <f>IF(I1650="","",_xlfn.XLOOKUP(TRIM(I1650),'SkillMasterSkill ID'!$C:$C,'SkillMasterSkill ID'!$F:$F,"NOT FOUND",0))</f>
        <v>Competency related to emotional intelligence that supports effective field/project leadership and execution.</v>
      </c>
      <c r="K1650" s="50"/>
      <c r="L1650" s="50"/>
    </row>
    <row r="1651" spans="1:12" ht="16.5" thickBot="1" x14ac:dyDescent="0.3">
      <c r="A1651" t="s">
        <v>1043</v>
      </c>
      <c r="B1651" s="63">
        <v>10302</v>
      </c>
      <c r="C1651" s="63" t="s">
        <v>797</v>
      </c>
      <c r="D1651" s="50">
        <v>5</v>
      </c>
      <c r="E1651" s="46" t="str">
        <f>IF(I1651="","",_xlfn.XLOOKUP(TRIM(I1651),'SkillMasterSkill ID'!$C:$C,'SkillMasterSkill ID'!$D:$D,"",0))</f>
        <v>ADAPT</v>
      </c>
      <c r="F1651" s="46" t="str">
        <f>IF(I1651="","",IF(_xlfn.XLOOKUP(TRIM(I1651),'SkillMasterSkill ID'!$C:$C,'SkillMasterSkill ID'!$E:$E,"")=0,"",_xlfn.XLOOKUP(TRIM(I1651),'SkillMasterSkill ID'!$C:$C,'SkillMasterSkill ID'!$E:$E,"")))</f>
        <v/>
      </c>
      <c r="G1651" s="50" t="s">
        <v>1181</v>
      </c>
      <c r="H1651" s="42" t="s">
        <v>1173</v>
      </c>
      <c r="I1651" t="s">
        <v>807</v>
      </c>
      <c r="J1651" s="50" t="str">
        <f>IF(I1651="","",_xlfn.XLOOKUP(TRIM(I1651),'SkillMasterSkill ID'!$C:$C,'SkillMasterSkill ID'!$F:$F,"NOT FOUND",0))</f>
        <v>Competency related to emotional intelligence that supports effective field/project leadership and execution.</v>
      </c>
      <c r="K1651" s="50" t="s">
        <v>795</v>
      </c>
      <c r="L1651" s="50">
        <v>2</v>
      </c>
    </row>
    <row r="1652" spans="1:12" ht="16.5" thickBot="1" x14ac:dyDescent="0.3">
      <c r="A1652" t="s">
        <v>1043</v>
      </c>
      <c r="B1652" s="63">
        <v>10302</v>
      </c>
      <c r="C1652" s="63" t="s">
        <v>797</v>
      </c>
      <c r="D1652" s="50">
        <v>5</v>
      </c>
      <c r="E1652" s="46" t="str">
        <f>IF(I1652="","",_xlfn.XLOOKUP(TRIM(I1652),'SkillMasterSkill ID'!$C:$C,'SkillMasterSkill ID'!$D:$D,"",0))</f>
        <v>ADAPT</v>
      </c>
      <c r="F1652" s="46" t="str">
        <f>IF(I1652="","",IF(_xlfn.XLOOKUP(TRIM(I1652),'SkillMasterSkill ID'!$C:$C,'SkillMasterSkill ID'!$E:$E,"")=0,"",_xlfn.XLOOKUP(TRIM(I1652),'SkillMasterSkill ID'!$C:$C,'SkillMasterSkill ID'!$E:$E,"")))</f>
        <v/>
      </c>
      <c r="G1652" s="50" t="s">
        <v>1181</v>
      </c>
      <c r="H1652" s="42" t="s">
        <v>1173</v>
      </c>
      <c r="I1652" t="s">
        <v>807</v>
      </c>
      <c r="J1652" s="50" t="str">
        <f>IF(I1652="","",_xlfn.XLOOKUP(TRIM(I1652),'SkillMasterSkill ID'!$C:$C,'SkillMasterSkill ID'!$F:$F,"NOT FOUND",0))</f>
        <v>Competency related to emotional intelligence that supports effective field/project leadership and execution.</v>
      </c>
      <c r="K1652" s="27"/>
      <c r="L1652" s="27"/>
    </row>
    <row r="1653" spans="1:12" ht="16.5" thickBot="1" x14ac:dyDescent="0.3">
      <c r="A1653" t="s">
        <v>1043</v>
      </c>
      <c r="B1653" s="63">
        <v>10302</v>
      </c>
      <c r="C1653" s="63" t="s">
        <v>797</v>
      </c>
      <c r="D1653" s="31">
        <v>5</v>
      </c>
      <c r="E1653" s="31" t="str">
        <f>IF(I1653="","",_xlfn.XLOOKUP(TRIM(I1653),'SkillMasterSkill ID'!$C:$C,'SkillMasterSkill ID'!$D:$D,"NOT FOUND",0))</f>
        <v>ADAPT</v>
      </c>
      <c r="F1653" s="46" t="str">
        <f>IF(I1653="","",IF(_xlfn.XLOOKUP(TRIM(I1653),'SkillMasterSkill ID'!$C:$C,'SkillMasterSkill ID'!$E:$E,"")=0,"",_xlfn.XLOOKUP(TRIM(I1653),'SkillMasterSkill ID'!$C:$C,'SkillMasterSkill ID'!$E:$E,"")))</f>
        <v/>
      </c>
      <c r="G1653" t="s">
        <v>925</v>
      </c>
      <c r="H1653" s="42" t="s">
        <v>1200</v>
      </c>
      <c r="I1653" t="s">
        <v>807</v>
      </c>
      <c r="J1653" s="31" t="str">
        <f>IF(I1653="","",_xlfn.XLOOKUP(TRIM(I1653),'SkillMasterSkill ID'!$C:$C,'SkillMasterSkill ID'!$F:$F,"NOT FOUND",0))</f>
        <v>Competency related to emotional intelligence that supports effective field/project leadership and execution.</v>
      </c>
      <c r="K1653" s="31" t="s">
        <v>792</v>
      </c>
      <c r="L1653" s="31">
        <v>2</v>
      </c>
    </row>
    <row r="1654" spans="1:12" ht="16.5" thickBot="1" x14ac:dyDescent="0.3">
      <c r="A1654" t="s">
        <v>1043</v>
      </c>
      <c r="B1654" s="63">
        <v>10302</v>
      </c>
      <c r="C1654" s="63" t="s">
        <v>797</v>
      </c>
      <c r="D1654" s="31">
        <v>5</v>
      </c>
      <c r="E1654" s="31" t="str">
        <f>IF(I1654="","",_xlfn.XLOOKUP(TRIM(I1654),'SkillMasterSkill ID'!$C:$C,'SkillMasterSkill ID'!$D:$D,"NOT FOUND",0))</f>
        <v>ADAPT</v>
      </c>
      <c r="F1654" s="46" t="str">
        <f>IF(I1654="","",IF(_xlfn.XLOOKUP(TRIM(I1654),'SkillMasterSkill ID'!$C:$C,'SkillMasterSkill ID'!$E:$E,"")=0,"",_xlfn.XLOOKUP(TRIM(I1654),'SkillMasterSkill ID'!$C:$C,'SkillMasterSkill ID'!$E:$E,"")))</f>
        <v/>
      </c>
      <c r="G1654" t="s">
        <v>925</v>
      </c>
      <c r="H1654" s="42" t="s">
        <v>1208</v>
      </c>
      <c r="I1654" t="s">
        <v>807</v>
      </c>
      <c r="J1654" s="31" t="str">
        <f>IF(I1654="","",_xlfn.XLOOKUP(TRIM(I1654),'SkillMasterSkill ID'!$C:$C,'SkillMasterSkill ID'!$F:$F,"NOT FOUND",0))</f>
        <v>Competency related to emotional intelligence that supports effective field/project leadership and execution.</v>
      </c>
      <c r="K1654" s="31" t="s">
        <v>792</v>
      </c>
      <c r="L1654" s="31">
        <v>2</v>
      </c>
    </row>
    <row r="1655" spans="1:12" ht="16.5" thickBot="1" x14ac:dyDescent="0.3">
      <c r="A1655" t="s">
        <v>1045</v>
      </c>
      <c r="B1655" s="63">
        <v>10302</v>
      </c>
      <c r="C1655" s="63" t="s">
        <v>797</v>
      </c>
      <c r="D1655" s="50">
        <v>5</v>
      </c>
      <c r="E1655" s="46" t="str">
        <f>IF(I1655="","",_xlfn.XLOOKUP(TRIM(I1655),'SkillMasterSkill ID'!$C:$C,'SkillMasterSkill ID'!$D:$D,"",0))</f>
        <v>PMGT</v>
      </c>
      <c r="F1655" s="46" t="str">
        <f>IF(I1655="","",IF(_xlfn.XLOOKUP(TRIM(I1655),'SkillMasterSkill ID'!$C:$C,'SkillMasterSkill ID'!$E:$E,"")=0,"",_xlfn.XLOOKUP(TRIM(I1655),'SkillMasterSkill ID'!$C:$C,'SkillMasterSkill ID'!$E:$E,"")))</f>
        <v/>
      </c>
      <c r="G1655" s="50" t="s">
        <v>1181</v>
      </c>
      <c r="H1655" s="42" t="s">
        <v>948</v>
      </c>
      <c r="I1655" t="s">
        <v>943</v>
      </c>
      <c r="J1655" s="50" t="str">
        <f>IF(I1655="","",_xlfn.XLOOKUP(TRIM(I1655),'SkillMasterSkill ID'!$C:$C,'SkillMasterSkill ID'!$F:$F,"NOT FOUND",0))</f>
        <v>Ability to set expectations, enforce accountability, and initiate timely corrective action when performance deviates.</v>
      </c>
      <c r="K1655" s="27"/>
      <c r="L1655" s="27"/>
    </row>
    <row r="1656" spans="1:12" ht="16.5" thickBot="1" x14ac:dyDescent="0.3">
      <c r="A1656" t="s">
        <v>1045</v>
      </c>
      <c r="B1656" s="63">
        <v>10302</v>
      </c>
      <c r="C1656" s="63" t="s">
        <v>797</v>
      </c>
      <c r="D1656" s="50">
        <v>5</v>
      </c>
      <c r="E1656" s="46" t="str">
        <f>IF(I1656="","",_xlfn.XLOOKUP(TRIM(I1656),'SkillMasterSkill ID'!$C:$C,'SkillMasterSkill ID'!$D:$D,"",0))</f>
        <v>PMGT</v>
      </c>
      <c r="F1656" s="46" t="str">
        <f>IF(I1656="","",IF(_xlfn.XLOOKUP(TRIM(I1656),'SkillMasterSkill ID'!$C:$C,'SkillMasterSkill ID'!$E:$E,"")=0,"",_xlfn.XLOOKUP(TRIM(I1656),'SkillMasterSkill ID'!$C:$C,'SkillMasterSkill ID'!$E:$E,"")))</f>
        <v/>
      </c>
      <c r="G1656" s="50" t="s">
        <v>1181</v>
      </c>
      <c r="H1656" s="42" t="s">
        <v>948</v>
      </c>
      <c r="I1656" t="s">
        <v>943</v>
      </c>
      <c r="J1656" s="50" t="str">
        <f>IF(I1656="","",_xlfn.XLOOKUP(TRIM(I1656),'SkillMasterSkill ID'!$C:$C,'SkillMasterSkill ID'!$F:$F,"NOT FOUND",0))</f>
        <v>Ability to set expectations, enforce accountability, and initiate timely corrective action when performance deviates.</v>
      </c>
      <c r="K1656" s="27"/>
      <c r="L1656" s="27"/>
    </row>
    <row r="1657" spans="1:12" ht="16.5" thickBot="1" x14ac:dyDescent="0.3">
      <c r="A1657" t="s">
        <v>1046</v>
      </c>
      <c r="B1657" s="63">
        <v>10302</v>
      </c>
      <c r="C1657" s="63" t="s">
        <v>797</v>
      </c>
      <c r="D1657" s="50">
        <v>5</v>
      </c>
      <c r="E1657" s="46" t="str">
        <f>IF(I1657="","",_xlfn.XLOOKUP(TRIM(I1657),'SkillMasterSkill ID'!$C:$C,'SkillMasterSkill ID'!$D:$D,"",0))</f>
        <v>PMGT</v>
      </c>
      <c r="F1657" s="46" t="str">
        <f>IF(I1657="","",IF(_xlfn.XLOOKUP(TRIM(I1657),'SkillMasterSkill ID'!$C:$C,'SkillMasterSkill ID'!$E:$E,"")=0,"",_xlfn.XLOOKUP(TRIM(I1657),'SkillMasterSkill ID'!$C:$C,'SkillMasterSkill ID'!$E:$E,"")))</f>
        <v/>
      </c>
      <c r="G1657" s="50" t="s">
        <v>1181</v>
      </c>
      <c r="H1657" s="42" t="s">
        <v>941</v>
      </c>
      <c r="I1657" t="s">
        <v>942</v>
      </c>
      <c r="J1657" s="50" t="str">
        <f>IF(I1657="","",_xlfn.XLOOKUP(TRIM(I1657),'SkillMasterSkill ID'!$C:$C,'SkillMasterSkill ID'!$F:$F,"NOT FOUND",0))</f>
        <v>Ability to lead effectively through presence, standards, and influenceâ€”aligning teams without micromanaging.</v>
      </c>
      <c r="K1657" s="50" t="s">
        <v>795</v>
      </c>
      <c r="L1657" s="50">
        <v>2</v>
      </c>
    </row>
    <row r="1658" spans="1:12" ht="16.5" thickBot="1" x14ac:dyDescent="0.3">
      <c r="A1658" t="s">
        <v>1046</v>
      </c>
      <c r="B1658" s="63">
        <v>10302</v>
      </c>
      <c r="C1658" s="63" t="s">
        <v>797</v>
      </c>
      <c r="D1658" s="50">
        <v>5</v>
      </c>
      <c r="E1658" s="46" t="str">
        <f>IF(I1658="","",_xlfn.XLOOKUP(TRIM(I1658),'SkillMasterSkill ID'!$C:$C,'SkillMasterSkill ID'!$D:$D,"",0))</f>
        <v>PMGT</v>
      </c>
      <c r="F1658" s="46" t="str">
        <f>IF(I1658="","",IF(_xlfn.XLOOKUP(TRIM(I1658),'SkillMasterSkill ID'!$C:$C,'SkillMasterSkill ID'!$E:$E,"")=0,"",_xlfn.XLOOKUP(TRIM(I1658),'SkillMasterSkill ID'!$C:$C,'SkillMasterSkill ID'!$E:$E,"")))</f>
        <v/>
      </c>
      <c r="G1658" s="50" t="s">
        <v>1181</v>
      </c>
      <c r="H1658" s="42" t="s">
        <v>941</v>
      </c>
      <c r="I1658" t="s">
        <v>942</v>
      </c>
      <c r="J1658" s="50" t="str">
        <f>IF(I1658="","",_xlfn.XLOOKUP(TRIM(I1658),'SkillMasterSkill ID'!$C:$C,'SkillMasterSkill ID'!$F:$F,"NOT FOUND",0))</f>
        <v>Ability to lead effectively through presence, standards, and influenceâ€”aligning teams without micromanaging.</v>
      </c>
      <c r="K1658" s="27"/>
      <c r="L1658" s="27"/>
    </row>
    <row r="1659" spans="1:12" ht="16.5" thickBot="1" x14ac:dyDescent="0.3">
      <c r="A1659" t="s">
        <v>1047</v>
      </c>
      <c r="B1659" s="63">
        <v>10302</v>
      </c>
      <c r="C1659" s="63" t="s">
        <v>797</v>
      </c>
      <c r="D1659" s="50">
        <v>5</v>
      </c>
      <c r="E1659" s="46" t="str">
        <f>IF(I1659="","",_xlfn.XLOOKUP(TRIM(I1659),'SkillMasterSkill ID'!$C:$C,'SkillMasterSkill ID'!$D:$D,"",0))</f>
        <v>OVST</v>
      </c>
      <c r="F1659" s="46" t="str">
        <f>IF(I1659="","",IF(_xlfn.XLOOKUP(TRIM(I1659),'SkillMasterSkill ID'!$C:$C,'SkillMasterSkill ID'!$E:$E,"")=0,"",_xlfn.XLOOKUP(TRIM(I1659),'SkillMasterSkill ID'!$C:$C,'SkillMasterSkill ID'!$E:$E,"")))</f>
        <v/>
      </c>
      <c r="G1659" s="50" t="s">
        <v>1181</v>
      </c>
      <c r="H1659" s="42" t="s">
        <v>930</v>
      </c>
      <c r="I1659" t="s">
        <v>932</v>
      </c>
      <c r="J1659" s="50" t="str">
        <f>IF(I1659="","",_xlfn.XLOOKUP(TRIM(I1659),'SkillMasterSkill ID'!$C:$C,'SkillMasterSkill ID'!$F:$F,"NOT FOUND",0))</f>
        <v>Ability to analyze performance and trends, evaluate execution quality, and identify issues early for action.</v>
      </c>
      <c r="K1659" s="50"/>
      <c r="L1659" s="50"/>
    </row>
    <row r="1660" spans="1:12" ht="16.5" thickBot="1" x14ac:dyDescent="0.3">
      <c r="A1660" t="s">
        <v>1047</v>
      </c>
      <c r="B1660" s="63">
        <v>10302</v>
      </c>
      <c r="C1660" s="63" t="s">
        <v>797</v>
      </c>
      <c r="D1660" s="50">
        <v>5</v>
      </c>
      <c r="E1660" s="46" t="str">
        <f>IF(I1660="","",_xlfn.XLOOKUP(TRIM(I1660),'SkillMasterSkill ID'!$C:$C,'SkillMasterSkill ID'!$D:$D,"",0))</f>
        <v>OVST</v>
      </c>
      <c r="F1660" s="46" t="str">
        <f>IF(I1660="","",IF(_xlfn.XLOOKUP(TRIM(I1660),'SkillMasterSkill ID'!$C:$C,'SkillMasterSkill ID'!$E:$E,"")=0,"",_xlfn.XLOOKUP(TRIM(I1660),'SkillMasterSkill ID'!$C:$C,'SkillMasterSkill ID'!$E:$E,"")))</f>
        <v/>
      </c>
      <c r="G1660" s="50" t="s">
        <v>1181</v>
      </c>
      <c r="H1660" s="42" t="s">
        <v>930</v>
      </c>
      <c r="I1660" t="s">
        <v>932</v>
      </c>
      <c r="J1660" s="50" t="str">
        <f>IF(I1660="","",_xlfn.XLOOKUP(TRIM(I1660),'SkillMasterSkill ID'!$C:$C,'SkillMasterSkill ID'!$F:$F,"NOT FOUND",0))</f>
        <v>Ability to analyze performance and trends, evaluate execution quality, and identify issues early for action.</v>
      </c>
      <c r="K1660" s="27"/>
      <c r="L1660" s="27"/>
    </row>
    <row r="1661" spans="1:12" ht="16.5" thickBot="1" x14ac:dyDescent="0.3">
      <c r="A1661" t="s">
        <v>1047</v>
      </c>
      <c r="B1661" s="63">
        <v>10302</v>
      </c>
      <c r="C1661" s="63" t="s">
        <v>797</v>
      </c>
      <c r="D1661" s="31">
        <v>5</v>
      </c>
      <c r="E1661" s="31" t="str">
        <f>IF(I1661="","",_xlfn.XLOOKUP(TRIM(I1661),'SkillMasterSkill ID'!$C:$C,'SkillMasterSkill ID'!$D:$D,"NOT FOUND",0))</f>
        <v>OVST</v>
      </c>
      <c r="F1661" s="46" t="str">
        <f>IF(I1661="","",IF(_xlfn.XLOOKUP(TRIM(I1661),'SkillMasterSkill ID'!$C:$C,'SkillMasterSkill ID'!$E:$E,"")=0,"",_xlfn.XLOOKUP(TRIM(I1661),'SkillMasterSkill ID'!$C:$C,'SkillMasterSkill ID'!$E:$E,"")))</f>
        <v/>
      </c>
      <c r="G1661" t="s">
        <v>925</v>
      </c>
      <c r="H1661" s="42" t="s">
        <v>1198</v>
      </c>
      <c r="I1661" t="s">
        <v>932</v>
      </c>
      <c r="J1661" s="31" t="str">
        <f>IF(I1661="","",_xlfn.XLOOKUP(TRIM(I1661),'SkillMasterSkill ID'!$C:$C,'SkillMasterSkill ID'!$F:$F,"NOT FOUND",0))</f>
        <v>Ability to analyze performance and trends, evaluate execution quality, and identify issues early for action.</v>
      </c>
      <c r="K1661" s="31" t="s">
        <v>792</v>
      </c>
      <c r="L1661" s="31">
        <v>2</v>
      </c>
    </row>
    <row r="1662" spans="1:12" ht="16.5" thickBot="1" x14ac:dyDescent="0.3">
      <c r="A1662" t="s">
        <v>1049</v>
      </c>
      <c r="B1662" s="63">
        <v>10302</v>
      </c>
      <c r="C1662" s="63" t="s">
        <v>797</v>
      </c>
      <c r="D1662" s="50">
        <v>5</v>
      </c>
      <c r="E1662" s="46" t="str">
        <f>IF(I1662="","",_xlfn.XLOOKUP(TRIM(I1662),'SkillMasterSkill ID'!$C:$C,'SkillMasterSkill ID'!$D:$D,"",0))</f>
        <v>LEAD</v>
      </c>
      <c r="F1662" s="46" t="str">
        <f>IF(I1662="","",IF(_xlfn.XLOOKUP(TRIM(I1662),'SkillMasterSkill ID'!$C:$C,'SkillMasterSkill ID'!$E:$E,"")=0,"",_xlfn.XLOOKUP(TRIM(I1662),'SkillMasterSkill ID'!$C:$C,'SkillMasterSkill ID'!$E:$E,"")))</f>
        <v/>
      </c>
      <c r="G1662" s="50" t="s">
        <v>1181</v>
      </c>
      <c r="H1662" s="42" t="s">
        <v>925</v>
      </c>
      <c r="I1662" t="s">
        <v>927</v>
      </c>
      <c r="J1662" s="50" t="str">
        <f>IF(I1662="","",_xlfn.XLOOKUP(TRIM(I1662),'SkillMasterSkill ID'!$C:$C,'SkillMasterSkill ID'!$F:$F,"NOT FOUND",0))</f>
        <v>Competency related to expectation reinforcement that supports effective field/project leadership and execution.</v>
      </c>
      <c r="K1662" s="50"/>
      <c r="L1662" s="50"/>
    </row>
    <row r="1663" spans="1:12" ht="16.5" thickBot="1" x14ac:dyDescent="0.3">
      <c r="A1663" t="s">
        <v>1049</v>
      </c>
      <c r="B1663" s="63">
        <v>10302</v>
      </c>
      <c r="C1663" s="63" t="s">
        <v>797</v>
      </c>
      <c r="D1663" s="31">
        <v>5</v>
      </c>
      <c r="E1663" s="31" t="str">
        <f>IF(I1663="","",_xlfn.XLOOKUP(TRIM(I1663),'SkillMasterSkill ID'!$C:$C,'SkillMasterSkill ID'!$D:$D,"NOT FOUND",0))</f>
        <v>LEAD</v>
      </c>
      <c r="F1663" s="46" t="str">
        <f>IF(I1663="","",IF(_xlfn.XLOOKUP(TRIM(I1663),'SkillMasterSkill ID'!$C:$C,'SkillMasterSkill ID'!$E:$E,"")=0,"",_xlfn.XLOOKUP(TRIM(I1663),'SkillMasterSkill ID'!$C:$C,'SkillMasterSkill ID'!$E:$E,"")))</f>
        <v/>
      </c>
      <c r="G1663" t="s">
        <v>925</v>
      </c>
      <c r="H1663" s="42" t="s">
        <v>1201</v>
      </c>
      <c r="I1663" t="s">
        <v>927</v>
      </c>
      <c r="J1663" s="31" t="str">
        <f>IF(I1663="","",_xlfn.XLOOKUP(TRIM(I1663),'SkillMasterSkill ID'!$C:$C,'SkillMasterSkill ID'!$F:$F,"NOT FOUND",0))</f>
        <v>Competency related to expectation reinforcement that supports effective field/project leadership and execution.</v>
      </c>
      <c r="K1663" s="31" t="s">
        <v>792</v>
      </c>
      <c r="L1663" s="31">
        <v>2</v>
      </c>
    </row>
    <row r="1664" spans="1:12" ht="16.5" thickBot="1" x14ac:dyDescent="0.3">
      <c r="A1664" t="s">
        <v>1049</v>
      </c>
      <c r="B1664" s="63">
        <v>10302</v>
      </c>
      <c r="C1664" s="63" t="s">
        <v>797</v>
      </c>
      <c r="D1664" s="31">
        <v>5</v>
      </c>
      <c r="E1664" s="31" t="str">
        <f>IF(I1664="","",_xlfn.XLOOKUP(TRIM(I1664),'SkillMasterSkill ID'!$C:$C,'SkillMasterSkill ID'!$D:$D,"NOT FOUND",0))</f>
        <v>LEAD</v>
      </c>
      <c r="F1664" s="46" t="str">
        <f>IF(I1664="","",IF(_xlfn.XLOOKUP(TRIM(I1664),'SkillMasterSkill ID'!$C:$C,'SkillMasterSkill ID'!$E:$E,"")=0,"",_xlfn.XLOOKUP(TRIM(I1664),'SkillMasterSkill ID'!$C:$C,'SkillMasterSkill ID'!$E:$E,"")))</f>
        <v/>
      </c>
      <c r="G1664" t="s">
        <v>925</v>
      </c>
      <c r="H1664" s="42" t="s">
        <v>1204</v>
      </c>
      <c r="I1664" t="s">
        <v>927</v>
      </c>
      <c r="J1664" s="31" t="str">
        <f>IF(I1664="","",_xlfn.XLOOKUP(TRIM(I1664),'SkillMasterSkill ID'!$C:$C,'SkillMasterSkill ID'!$F:$F,"NOT FOUND",0))</f>
        <v>Competency related to expectation reinforcement that supports effective field/project leadership and execution.</v>
      </c>
      <c r="K1664" s="31" t="s">
        <v>792</v>
      </c>
      <c r="L1664" s="31">
        <v>2</v>
      </c>
    </row>
    <row r="1665" spans="1:12" ht="16.5" thickBot="1" x14ac:dyDescent="0.3">
      <c r="A1665" t="s">
        <v>1049</v>
      </c>
      <c r="B1665" s="63">
        <v>10302</v>
      </c>
      <c r="C1665" s="63" t="s">
        <v>797</v>
      </c>
      <c r="D1665" s="31">
        <v>5</v>
      </c>
      <c r="E1665" s="31" t="str">
        <f>IF(I1665="","",_xlfn.XLOOKUP(TRIM(I1665),'SkillMasterSkill ID'!$C:$C,'SkillMasterSkill ID'!$D:$D,"NOT FOUND",0))</f>
        <v>LEAD</v>
      </c>
      <c r="F1665" s="46" t="str">
        <f>IF(I1665="","",IF(_xlfn.XLOOKUP(TRIM(I1665),'SkillMasterSkill ID'!$C:$C,'SkillMasterSkill ID'!$E:$E,"")=0,"",_xlfn.XLOOKUP(TRIM(I1665),'SkillMasterSkill ID'!$C:$C,'SkillMasterSkill ID'!$E:$E,"")))</f>
        <v/>
      </c>
      <c r="G1665" t="s">
        <v>925</v>
      </c>
      <c r="H1665" s="42" t="s">
        <v>1207</v>
      </c>
      <c r="I1665" t="s">
        <v>927</v>
      </c>
      <c r="J1665" s="31" t="str">
        <f>IF(I1665="","",_xlfn.XLOOKUP(TRIM(I1665),'SkillMasterSkill ID'!$C:$C,'SkillMasterSkill ID'!$F:$F,"NOT FOUND",0))</f>
        <v>Competency related to expectation reinforcement that supports effective field/project leadership and execution.</v>
      </c>
      <c r="K1665" s="31" t="s">
        <v>792</v>
      </c>
      <c r="L1665" s="31">
        <v>2</v>
      </c>
    </row>
    <row r="1666" spans="1:12" ht="16.5" thickBot="1" x14ac:dyDescent="0.3">
      <c r="A1666" t="s">
        <v>1051</v>
      </c>
      <c r="B1666" s="63">
        <v>10302</v>
      </c>
      <c r="C1666" s="63" t="s">
        <v>797</v>
      </c>
      <c r="D1666" s="50">
        <v>5</v>
      </c>
      <c r="E1666" s="46" t="str">
        <f>IF(I1666="","",_xlfn.XLOOKUP(TRIM(I1666),'SkillMasterSkill ID'!$C:$C,'SkillMasterSkill ID'!$D:$D,"",0))</f>
        <v>ACCT</v>
      </c>
      <c r="F1666" s="46" t="str">
        <f>IF(I1666="","",IF(_xlfn.XLOOKUP(TRIM(I1666),'SkillMasterSkill ID'!$C:$C,'SkillMasterSkill ID'!$E:$E,"")=0,"",_xlfn.XLOOKUP(TRIM(I1666),'SkillMasterSkill ID'!$C:$C,'SkillMasterSkill ID'!$E:$E,"")))</f>
        <v>LEAD, PLAN</v>
      </c>
      <c r="G1666" s="50" t="s">
        <v>1181</v>
      </c>
      <c r="H1666" s="42" t="s">
        <v>925</v>
      </c>
      <c r="I1666" t="s">
        <v>833</v>
      </c>
      <c r="J1666" s="50" t="str">
        <f>IF(I1666="","",_xlfn.XLOOKUP(TRIM(I1666),'SkillMasterSkill ID'!$C:$C,'SkillMasterSkill ID'!$F:$F,"NOT FOUND",0))</f>
        <v>Competency related to expectation setting that supports effective field/project leadership and execution.</v>
      </c>
      <c r="K1666" s="50"/>
      <c r="L1666" s="50"/>
    </row>
    <row r="1667" spans="1:12" ht="16.5" thickBot="1" x14ac:dyDescent="0.3">
      <c r="A1667" t="s">
        <v>1051</v>
      </c>
      <c r="B1667" s="63">
        <v>10302</v>
      </c>
      <c r="C1667" s="63" t="s">
        <v>797</v>
      </c>
      <c r="D1667" s="50">
        <v>5</v>
      </c>
      <c r="E1667" s="46" t="str">
        <f>IF(I1667="","",_xlfn.XLOOKUP(TRIM(I1667),'SkillMasterSkill ID'!$C:$C,'SkillMasterSkill ID'!$D:$D,"",0))</f>
        <v>ACCT</v>
      </c>
      <c r="F1667" s="46" t="str">
        <f>IF(I1667="","",IF(_xlfn.XLOOKUP(TRIM(I1667),'SkillMasterSkill ID'!$C:$C,'SkillMasterSkill ID'!$E:$E,"")=0,"",_xlfn.XLOOKUP(TRIM(I1667),'SkillMasterSkill ID'!$C:$C,'SkillMasterSkill ID'!$E:$E,"")))</f>
        <v>LEAD, PLAN</v>
      </c>
      <c r="G1667" s="50" t="s">
        <v>1181</v>
      </c>
      <c r="H1667" s="42" t="s">
        <v>935</v>
      </c>
      <c r="I1667" t="s">
        <v>833</v>
      </c>
      <c r="J1667" s="50" t="str">
        <f>IF(I1667="","",_xlfn.XLOOKUP(TRIM(I1667),'SkillMasterSkill ID'!$C:$C,'SkillMasterSkill ID'!$F:$F,"NOT FOUND",0))</f>
        <v>Competency related to expectation setting that supports effective field/project leadership and execution.</v>
      </c>
      <c r="K1667" s="50"/>
      <c r="L1667" s="50"/>
    </row>
    <row r="1668" spans="1:12" ht="16.5" thickBot="1" x14ac:dyDescent="0.3">
      <c r="A1668" t="s">
        <v>1051</v>
      </c>
      <c r="B1668" s="63">
        <v>10302</v>
      </c>
      <c r="C1668" s="63" t="s">
        <v>797</v>
      </c>
      <c r="D1668" s="50">
        <v>5</v>
      </c>
      <c r="E1668" s="46" t="str">
        <f>IF(I1668="","",_xlfn.XLOOKUP(TRIM(I1668),'SkillMasterSkill ID'!$C:$C,'SkillMasterSkill ID'!$D:$D,"",0))</f>
        <v>ACCT</v>
      </c>
      <c r="F1668" s="46" t="str">
        <f>IF(I1668="","",IF(_xlfn.XLOOKUP(TRIM(I1668),'SkillMasterSkill ID'!$C:$C,'SkillMasterSkill ID'!$E:$E,"")=0,"",_xlfn.XLOOKUP(TRIM(I1668),'SkillMasterSkill ID'!$C:$C,'SkillMasterSkill ID'!$E:$E,"")))</f>
        <v>LEAD, PLAN</v>
      </c>
      <c r="G1668" s="50" t="s">
        <v>1181</v>
      </c>
      <c r="H1668" s="42" t="s">
        <v>935</v>
      </c>
      <c r="I1668" t="s">
        <v>833</v>
      </c>
      <c r="J1668" s="50" t="str">
        <f>IF(I1668="","",_xlfn.XLOOKUP(TRIM(I1668),'SkillMasterSkill ID'!$C:$C,'SkillMasterSkill ID'!$F:$F,"NOT FOUND",0))</f>
        <v>Competency related to expectation setting that supports effective field/project leadership and execution.</v>
      </c>
      <c r="K1668" s="27"/>
      <c r="L1668" s="27"/>
    </row>
    <row r="1669" spans="1:12" ht="16.5" thickBot="1" x14ac:dyDescent="0.3">
      <c r="A1669" t="s">
        <v>1051</v>
      </c>
      <c r="B1669" s="63">
        <v>10302</v>
      </c>
      <c r="C1669" s="63" t="s">
        <v>797</v>
      </c>
      <c r="D1669" s="31">
        <v>5</v>
      </c>
      <c r="E1669" s="31" t="str">
        <f>IF(I1669="","",_xlfn.XLOOKUP(TRIM(I1669),'SkillMasterSkill ID'!$C:$C,'SkillMasterSkill ID'!$D:$D,"NOT FOUND",0))</f>
        <v>ACCT</v>
      </c>
      <c r="F1669" s="46" t="str">
        <f>IF(I1669="","",IF(_xlfn.XLOOKUP(TRIM(I1669),'SkillMasterSkill ID'!$C:$C,'SkillMasterSkill ID'!$E:$E,"")=0,"",_xlfn.XLOOKUP(TRIM(I1669),'SkillMasterSkill ID'!$C:$C,'SkillMasterSkill ID'!$E:$E,"")))</f>
        <v>LEAD, PLAN</v>
      </c>
      <c r="G1669" t="s">
        <v>925</v>
      </c>
      <c r="H1669" s="42" t="s">
        <v>1195</v>
      </c>
      <c r="I1669" t="s">
        <v>833</v>
      </c>
      <c r="J1669" s="31" t="str">
        <f>IF(I1669="","",_xlfn.XLOOKUP(TRIM(I1669),'SkillMasterSkill ID'!$C:$C,'SkillMasterSkill ID'!$F:$F,"NOT FOUND",0))</f>
        <v>Competency related to expectation setting that supports effective field/project leadership and execution.</v>
      </c>
      <c r="K1669" s="31" t="s">
        <v>792</v>
      </c>
      <c r="L1669" s="31">
        <v>2</v>
      </c>
    </row>
    <row r="1670" spans="1:12" ht="16.5" thickBot="1" x14ac:dyDescent="0.3">
      <c r="A1670" t="s">
        <v>1054</v>
      </c>
      <c r="B1670" s="63">
        <v>10302</v>
      </c>
      <c r="C1670" s="63" t="s">
        <v>797</v>
      </c>
      <c r="D1670" s="50">
        <v>5</v>
      </c>
      <c r="E1670" s="46" t="str">
        <f>IF(I1670="","",_xlfn.XLOOKUP(TRIM(I1670),'SkillMasterSkill ID'!$C:$C,'SkillMasterSkill ID'!$D:$D,"",0))</f>
        <v>COACH</v>
      </c>
      <c r="F1670" s="46" t="str">
        <f>IF(I1670="","",IF(_xlfn.XLOOKUP(TRIM(I1670),'SkillMasterSkill ID'!$C:$C,'SkillMasterSkill ID'!$E:$E,"")=0,"",_xlfn.XLOOKUP(TRIM(I1670),'SkillMasterSkill ID'!$C:$C,'SkillMasterSkill ID'!$E:$E,"")))</f>
        <v/>
      </c>
      <c r="G1670" s="50" t="s">
        <v>1181</v>
      </c>
      <c r="H1670" s="42" t="s">
        <v>941</v>
      </c>
      <c r="I1670" t="s">
        <v>914</v>
      </c>
      <c r="J1670" s="50" t="str">
        <f>IF(I1670="","",_xlfn.XLOOKUP(TRIM(I1670),'SkillMasterSkill ID'!$C:$C,'SkillMasterSkill ID'!$F:$F,"NOT FOUND",0))</f>
        <v>Ability to coach and develop people through feedback, diagnosis, and follow-through to improve performance.</v>
      </c>
      <c r="K1670" s="50" t="s">
        <v>795</v>
      </c>
      <c r="L1670" s="50">
        <v>2</v>
      </c>
    </row>
    <row r="1671" spans="1:12" ht="16.5" thickBot="1" x14ac:dyDescent="0.3">
      <c r="A1671" t="s">
        <v>1054</v>
      </c>
      <c r="B1671" s="63">
        <v>10302</v>
      </c>
      <c r="C1671" s="63" t="s">
        <v>797</v>
      </c>
      <c r="D1671" s="50">
        <v>5</v>
      </c>
      <c r="E1671" s="46" t="str">
        <f>IF(I1671="","",_xlfn.XLOOKUP(TRIM(I1671),'SkillMasterSkill ID'!$C:$C,'SkillMasterSkill ID'!$D:$D,"",0))</f>
        <v>COACH</v>
      </c>
      <c r="F1671" s="46" t="str">
        <f>IF(I1671="","",IF(_xlfn.XLOOKUP(TRIM(I1671),'SkillMasterSkill ID'!$C:$C,'SkillMasterSkill ID'!$E:$E,"")=0,"",_xlfn.XLOOKUP(TRIM(I1671),'SkillMasterSkill ID'!$C:$C,'SkillMasterSkill ID'!$E:$E,"")))</f>
        <v/>
      </c>
      <c r="G1671" s="50" t="s">
        <v>1181</v>
      </c>
      <c r="H1671" s="42" t="s">
        <v>941</v>
      </c>
      <c r="I1671" t="s">
        <v>914</v>
      </c>
      <c r="J1671" s="50" t="str">
        <f>IF(I1671="","",_xlfn.XLOOKUP(TRIM(I1671),'SkillMasterSkill ID'!$C:$C,'SkillMasterSkill ID'!$F:$F,"NOT FOUND",0))</f>
        <v>Ability to coach and develop people through feedback, diagnosis, and follow-through to improve performance.</v>
      </c>
      <c r="K1671" s="27"/>
      <c r="L1671" s="27"/>
    </row>
    <row r="1672" spans="1:12" ht="16.5" thickBot="1" x14ac:dyDescent="0.3">
      <c r="A1672" t="s">
        <v>1055</v>
      </c>
      <c r="B1672" s="63">
        <v>10302</v>
      </c>
      <c r="C1672" s="63" t="s">
        <v>797</v>
      </c>
      <c r="D1672" s="50">
        <v>5</v>
      </c>
      <c r="E1672" s="50" t="str">
        <f>IF(I1672="","",_xlfn.XLOOKUP(TRIM(I1672),'SkillMasterSkill ID'!$C:$C,'SkillMasterSkill ID'!$D:$D,"NOT FOUND",0))</f>
        <v>COMM</v>
      </c>
      <c r="F1672" s="46" t="str">
        <f>IF(I1672="","",IF(_xlfn.XLOOKUP(TRIM(I1672),'SkillMasterSkill ID'!$C:$C,'SkillMasterSkill ID'!$E:$E,"")=0,"",_xlfn.XLOOKUP(TRIM(I1672),'SkillMasterSkill ID'!$C:$C,'SkillMasterSkill ID'!$E:$E,"")))</f>
        <v/>
      </c>
      <c r="G1672" s="11" t="s">
        <v>921</v>
      </c>
      <c r="H1672" s="42" t="s">
        <v>1184</v>
      </c>
      <c r="I1672" t="s">
        <v>897</v>
      </c>
      <c r="J1672" s="50" t="str">
        <f>IF(I1672="","",_xlfn.XLOOKUP(TRIM(I1672),'SkillMasterSkill ID'!$C:$C,'SkillMasterSkill ID'!$F:$F,"NOT FOUND",0))</f>
        <v>Ability to communicate clearly and consistently about financial.</v>
      </c>
      <c r="K1672" s="50" t="s">
        <v>792</v>
      </c>
      <c r="L1672" s="50">
        <v>2</v>
      </c>
    </row>
    <row r="1673" spans="1:12" ht="16.5" thickBot="1" x14ac:dyDescent="0.3">
      <c r="A1673" t="s">
        <v>1055</v>
      </c>
      <c r="B1673" s="63">
        <v>10302</v>
      </c>
      <c r="C1673" s="63" t="s">
        <v>797</v>
      </c>
      <c r="D1673" s="31">
        <v>5</v>
      </c>
      <c r="E1673" s="31" t="str">
        <f>IF(I1673="","",_xlfn.XLOOKUP(TRIM(I1673),'SkillMasterSkill ID'!$C:$C,'SkillMasterSkill ID'!$D:$D,"NOT FOUND",0))</f>
        <v>COMM</v>
      </c>
      <c r="F1673" s="46" t="str">
        <f>IF(I1673="","",IF(_xlfn.XLOOKUP(TRIM(I1673),'SkillMasterSkill ID'!$C:$C,'SkillMasterSkill ID'!$E:$E,"")=0,"",_xlfn.XLOOKUP(TRIM(I1673),'SkillMasterSkill ID'!$C:$C,'SkillMasterSkill ID'!$E:$E,"")))</f>
        <v/>
      </c>
      <c r="G1673" s="11" t="s">
        <v>921</v>
      </c>
      <c r="H1673" s="42" t="s">
        <v>1193</v>
      </c>
      <c r="I1673" t="s">
        <v>897</v>
      </c>
      <c r="J1673" s="31" t="str">
        <f>IF(I1673="","",_xlfn.XLOOKUP(TRIM(I1673),'SkillMasterSkill ID'!$C:$C,'SkillMasterSkill ID'!$F:$F,"NOT FOUND",0))</f>
        <v>Ability to communicate clearly and consistently about financial.</v>
      </c>
      <c r="K1673" s="31" t="s">
        <v>792</v>
      </c>
      <c r="L1673" s="31">
        <v>2</v>
      </c>
    </row>
    <row r="1674" spans="1:12" ht="16.5" thickBot="1" x14ac:dyDescent="0.3">
      <c r="A1674" t="s">
        <v>1058</v>
      </c>
      <c r="B1674" s="63">
        <v>10302</v>
      </c>
      <c r="C1674" s="63" t="s">
        <v>797</v>
      </c>
      <c r="D1674" s="50">
        <v>5</v>
      </c>
      <c r="E1674" s="46" t="str">
        <f>IF(I1674="","",_xlfn.XLOOKUP(TRIM(I1674),'SkillMasterSkill ID'!$C:$C,'SkillMasterSkill ID'!$D:$D,"",0))</f>
        <v>PLAN</v>
      </c>
      <c r="F1674" s="46" t="str">
        <f>IF(I1674="","",IF(_xlfn.XLOOKUP(TRIM(I1674),'SkillMasterSkill ID'!$C:$C,'SkillMasterSkill ID'!$E:$E,"")=0,"",_xlfn.XLOOKUP(TRIM(I1674),'SkillMasterSkill ID'!$C:$C,'SkillMasterSkill ID'!$E:$E,"")))</f>
        <v/>
      </c>
      <c r="G1674" s="50" t="s">
        <v>798</v>
      </c>
      <c r="H1674" s="51" t="s">
        <v>800</v>
      </c>
      <c r="I1674" t="s">
        <v>828</v>
      </c>
      <c r="J1674" s="50" t="str">
        <f>IF(I1674="","",_xlfn.XLOOKUP(TRIM(I1674),'SkillMasterSkill ID'!$C:$C,'SkillMasterSkill ID'!$F:$F,"NOT FOUND",0))</f>
        <v>Competency related to float management that supports effective field/project leadership and execution.</v>
      </c>
      <c r="K1674" s="50" t="s">
        <v>795</v>
      </c>
      <c r="L1674" s="50">
        <v>2</v>
      </c>
    </row>
    <row r="1675" spans="1:12" ht="16.5" thickBot="1" x14ac:dyDescent="0.3">
      <c r="A1675" t="s">
        <v>1058</v>
      </c>
      <c r="B1675" s="63">
        <v>10302</v>
      </c>
      <c r="C1675" s="63" t="s">
        <v>797</v>
      </c>
      <c r="D1675" s="50">
        <v>5</v>
      </c>
      <c r="E1675" s="50" t="str">
        <f>IF(I1675="","",_xlfn.XLOOKUP(TRIM(I1675),'SkillMasterSkill ID'!$C:$C,'SkillMasterSkill ID'!$D:$D,"NOT FOUND",0))</f>
        <v>PLAN</v>
      </c>
      <c r="F1675" s="46" t="str">
        <f>IF(I1675="","",IF(_xlfn.XLOOKUP(TRIM(I1675),'SkillMasterSkill ID'!$C:$C,'SkillMasterSkill ID'!$E:$E,"")=0,"",_xlfn.XLOOKUP(TRIM(I1675),'SkillMasterSkill ID'!$C:$C,'SkillMasterSkill ID'!$E:$E,"")))</f>
        <v/>
      </c>
      <c r="G1675" s="11" t="s">
        <v>921</v>
      </c>
      <c r="H1675" s="42" t="s">
        <v>1187</v>
      </c>
      <c r="I1675" t="s">
        <v>828</v>
      </c>
      <c r="J1675" s="50" t="str">
        <f>IF(I1675="","",_xlfn.XLOOKUP(TRIM(I1675),'SkillMasterSkill ID'!$C:$C,'SkillMasterSkill ID'!$F:$F,"NOT FOUND",0))</f>
        <v>Competency related to float management that supports effective field/project leadership and execution.</v>
      </c>
      <c r="K1675" s="50" t="s">
        <v>792</v>
      </c>
      <c r="L1675" s="50">
        <v>2</v>
      </c>
    </row>
    <row r="1676" spans="1:12" ht="16.5" thickBot="1" x14ac:dyDescent="0.3">
      <c r="A1676" t="s">
        <v>1060</v>
      </c>
      <c r="B1676" s="63">
        <v>10302</v>
      </c>
      <c r="C1676" s="63" t="s">
        <v>797</v>
      </c>
      <c r="D1676" s="50">
        <v>5</v>
      </c>
      <c r="E1676" s="46" t="str">
        <f>IF(I1676="","",_xlfn.XLOOKUP(TRIM(I1676),'SkillMasterSkill ID'!$C:$C,'SkillMasterSkill ID'!$D:$D,"",0))</f>
        <v>COACH</v>
      </c>
      <c r="F1676" s="46" t="str">
        <f>IF(I1676="","",IF(_xlfn.XLOOKUP(TRIM(I1676),'SkillMasterSkill ID'!$C:$C,'SkillMasterSkill ID'!$E:$E,"")=0,"",_xlfn.XLOOKUP(TRIM(I1676),'SkillMasterSkill ID'!$C:$C,'SkillMasterSkill ID'!$E:$E,"")))</f>
        <v/>
      </c>
      <c r="G1676" s="50" t="s">
        <v>1181</v>
      </c>
      <c r="H1676" s="42" t="s">
        <v>935</v>
      </c>
      <c r="I1676" t="s">
        <v>946</v>
      </c>
      <c r="J1676" s="50" t="str">
        <f>IF(I1676="","",_xlfn.XLOOKUP(TRIM(I1676),'SkillMasterSkill ID'!$C:$C,'SkillMasterSkill ID'!$F:$F,"NOT FOUND",0))</f>
        <v>Ability to set expectations, enforce accountability, and initiate timely corrective action when performance deviates.</v>
      </c>
      <c r="K1676" s="50"/>
      <c r="L1676" s="50"/>
    </row>
    <row r="1677" spans="1:12" ht="16.5" thickBot="1" x14ac:dyDescent="0.3">
      <c r="A1677" t="s">
        <v>1060</v>
      </c>
      <c r="B1677" s="63">
        <v>10302</v>
      </c>
      <c r="C1677" s="63" t="s">
        <v>797</v>
      </c>
      <c r="D1677" s="50">
        <v>5</v>
      </c>
      <c r="E1677" s="46" t="str">
        <f>IF(I1677="","",_xlfn.XLOOKUP(TRIM(I1677),'SkillMasterSkill ID'!$C:$C,'SkillMasterSkill ID'!$D:$D,"",0))</f>
        <v>COACH</v>
      </c>
      <c r="F1677" s="46" t="str">
        <f>IF(I1677="","",IF(_xlfn.XLOOKUP(TRIM(I1677),'SkillMasterSkill ID'!$C:$C,'SkillMasterSkill ID'!$E:$E,"")=0,"",_xlfn.XLOOKUP(TRIM(I1677),'SkillMasterSkill ID'!$C:$C,'SkillMasterSkill ID'!$E:$E,"")))</f>
        <v/>
      </c>
      <c r="G1677" s="50" t="s">
        <v>1181</v>
      </c>
      <c r="H1677" s="42" t="s">
        <v>944</v>
      </c>
      <c r="I1677" t="s">
        <v>946</v>
      </c>
      <c r="J1677" s="50" t="str">
        <f>IF(I1677="","",_xlfn.XLOOKUP(TRIM(I1677),'SkillMasterSkill ID'!$C:$C,'SkillMasterSkill ID'!$F:$F,"NOT FOUND",0))</f>
        <v>Ability to set expectations, enforce accountability, and initiate timely corrective action when performance deviates.</v>
      </c>
      <c r="K1677" s="50" t="s">
        <v>795</v>
      </c>
      <c r="L1677" s="50">
        <v>2</v>
      </c>
    </row>
    <row r="1678" spans="1:12" ht="16.5" thickBot="1" x14ac:dyDescent="0.3">
      <c r="A1678" t="s">
        <v>1060</v>
      </c>
      <c r="B1678" s="63">
        <v>10302</v>
      </c>
      <c r="C1678" s="63" t="s">
        <v>797</v>
      </c>
      <c r="D1678" s="50">
        <v>5</v>
      </c>
      <c r="E1678" s="46" t="str">
        <f>IF(I1678="","",_xlfn.XLOOKUP(TRIM(I1678),'SkillMasterSkill ID'!$C:$C,'SkillMasterSkill ID'!$D:$D,"",0))</f>
        <v>COACH</v>
      </c>
      <c r="F1678" s="46" t="str">
        <f>IF(I1678="","",IF(_xlfn.XLOOKUP(TRIM(I1678),'SkillMasterSkill ID'!$C:$C,'SkillMasterSkill ID'!$E:$E,"")=0,"",_xlfn.XLOOKUP(TRIM(I1678),'SkillMasterSkill ID'!$C:$C,'SkillMasterSkill ID'!$E:$E,"")))</f>
        <v/>
      </c>
      <c r="G1678" s="50" t="s">
        <v>1181</v>
      </c>
      <c r="H1678" s="42" t="s">
        <v>935</v>
      </c>
      <c r="I1678" t="s">
        <v>946</v>
      </c>
      <c r="J1678" s="50" t="str">
        <f>IF(I1678="","",_xlfn.XLOOKUP(TRIM(I1678),'SkillMasterSkill ID'!$C:$C,'SkillMasterSkill ID'!$F:$F,"NOT FOUND",0))</f>
        <v>Ability to set expectations, enforce accountability, and initiate timely corrective action when performance deviates.</v>
      </c>
      <c r="K1678" s="27"/>
      <c r="L1678" s="27"/>
    </row>
    <row r="1679" spans="1:12" ht="16.5" thickBot="1" x14ac:dyDescent="0.3">
      <c r="A1679" t="s">
        <v>1060</v>
      </c>
      <c r="B1679" s="63">
        <v>10302</v>
      </c>
      <c r="C1679" s="63" t="s">
        <v>797</v>
      </c>
      <c r="D1679" s="50">
        <v>5</v>
      </c>
      <c r="E1679" s="46" t="str">
        <f>IF(I1679="","",_xlfn.XLOOKUP(TRIM(I1679),'SkillMasterSkill ID'!$C:$C,'SkillMasterSkill ID'!$D:$D,"",0))</f>
        <v>COACH</v>
      </c>
      <c r="F1679" s="46" t="str">
        <f>IF(I1679="","",IF(_xlfn.XLOOKUP(TRIM(I1679),'SkillMasterSkill ID'!$C:$C,'SkillMasterSkill ID'!$E:$E,"")=0,"",_xlfn.XLOOKUP(TRIM(I1679),'SkillMasterSkill ID'!$C:$C,'SkillMasterSkill ID'!$E:$E,"")))</f>
        <v/>
      </c>
      <c r="G1679" s="50" t="s">
        <v>1181</v>
      </c>
      <c r="H1679" s="42" t="s">
        <v>944</v>
      </c>
      <c r="I1679" t="s">
        <v>946</v>
      </c>
      <c r="J1679" s="50" t="str">
        <f>IF(I1679="","",_xlfn.XLOOKUP(TRIM(I1679),'SkillMasterSkill ID'!$C:$C,'SkillMasterSkill ID'!$F:$F,"NOT FOUND",0))</f>
        <v>Ability to set expectations, enforce accountability, and initiate timely corrective action when performance deviates.</v>
      </c>
      <c r="K1679" s="27"/>
      <c r="L1679" s="27"/>
    </row>
    <row r="1680" spans="1:12" ht="16.5" thickBot="1" x14ac:dyDescent="0.3">
      <c r="A1680" t="s">
        <v>1060</v>
      </c>
      <c r="B1680" s="63">
        <v>10302</v>
      </c>
      <c r="C1680" s="63" t="s">
        <v>797</v>
      </c>
      <c r="D1680" s="31">
        <v>5</v>
      </c>
      <c r="E1680" s="31" t="str">
        <f>IF(I1680="","",_xlfn.XLOOKUP(TRIM(I1680),'SkillMasterSkill ID'!$C:$C,'SkillMasterSkill ID'!$D:$D,"NOT FOUND",0))</f>
        <v>COACH</v>
      </c>
      <c r="F1680" s="46" t="str">
        <f>IF(I1680="","",IF(_xlfn.XLOOKUP(TRIM(I1680),'SkillMasterSkill ID'!$C:$C,'SkillMasterSkill ID'!$E:$E,"")=0,"",_xlfn.XLOOKUP(TRIM(I1680),'SkillMasterSkill ID'!$C:$C,'SkillMasterSkill ID'!$E:$E,"")))</f>
        <v/>
      </c>
      <c r="G1680" t="s">
        <v>925</v>
      </c>
      <c r="H1680" s="42" t="s">
        <v>1201</v>
      </c>
      <c r="I1680" t="s">
        <v>946</v>
      </c>
      <c r="J1680" s="31" t="str">
        <f>IF(I1680="","",_xlfn.XLOOKUP(TRIM(I1680),'SkillMasterSkill ID'!$C:$C,'SkillMasterSkill ID'!$F:$F,"NOT FOUND",0))</f>
        <v>Ability to set expectations, enforce accountability, and initiate timely corrective action when performance deviates.</v>
      </c>
      <c r="K1680" s="31" t="s">
        <v>792</v>
      </c>
      <c r="L1680" s="31">
        <v>2</v>
      </c>
    </row>
    <row r="1681" spans="1:12" ht="16.5" thickBot="1" x14ac:dyDescent="0.3">
      <c r="A1681" t="s">
        <v>1060</v>
      </c>
      <c r="B1681" s="63">
        <v>10302</v>
      </c>
      <c r="C1681" s="63" t="s">
        <v>797</v>
      </c>
      <c r="D1681" s="31">
        <v>5</v>
      </c>
      <c r="E1681" s="31" t="str">
        <f>IF(I1681="","",_xlfn.XLOOKUP(TRIM(I1681),'SkillMasterSkill ID'!$C:$C,'SkillMasterSkill ID'!$D:$D,"NOT FOUND",0))</f>
        <v>COACH</v>
      </c>
      <c r="F1681" s="46" t="str">
        <f>IF(I1681="","",IF(_xlfn.XLOOKUP(TRIM(I1681),'SkillMasterSkill ID'!$C:$C,'SkillMasterSkill ID'!$E:$E,"")=0,"",_xlfn.XLOOKUP(TRIM(I1681),'SkillMasterSkill ID'!$C:$C,'SkillMasterSkill ID'!$E:$E,"")))</f>
        <v/>
      </c>
      <c r="G1681" t="s">
        <v>925</v>
      </c>
      <c r="H1681" s="42" t="s">
        <v>1206</v>
      </c>
      <c r="I1681" t="s">
        <v>946</v>
      </c>
      <c r="J1681" s="31" t="str">
        <f>IF(I1681="","",_xlfn.XLOOKUP(TRIM(I1681),'SkillMasterSkill ID'!$C:$C,'SkillMasterSkill ID'!$F:$F,"NOT FOUND",0))</f>
        <v>Ability to set expectations, enforce accountability, and initiate timely corrective action when performance deviates.</v>
      </c>
      <c r="K1681" s="31" t="s">
        <v>792</v>
      </c>
      <c r="L1681" s="31">
        <v>2</v>
      </c>
    </row>
    <row r="1682" spans="1:12" ht="16.5" thickBot="1" x14ac:dyDescent="0.3">
      <c r="A1682" t="s">
        <v>1061</v>
      </c>
      <c r="B1682" s="63">
        <v>10302</v>
      </c>
      <c r="C1682" s="63" t="s">
        <v>797</v>
      </c>
      <c r="D1682" s="50">
        <v>5</v>
      </c>
      <c r="E1682" s="46" t="str">
        <f>IF(I1682="","",_xlfn.XLOOKUP(TRIM(I1682),'SkillMasterSkill ID'!$C:$C,'SkillMasterSkill ID'!$D:$D,"",0))</f>
        <v>FIN</v>
      </c>
      <c r="F1682" s="46" t="str">
        <f>IF(I1682="","",IF(_xlfn.XLOOKUP(TRIM(I1682),'SkillMasterSkill ID'!$C:$C,'SkillMasterSkill ID'!$E:$E,"")=0,"",_xlfn.XLOOKUP(TRIM(I1682),'SkillMasterSkill ID'!$C:$C,'SkillMasterSkill ID'!$E:$E,"")))</f>
        <v/>
      </c>
      <c r="G1682" s="50" t="s">
        <v>798</v>
      </c>
      <c r="H1682" s="51" t="s">
        <v>800</v>
      </c>
      <c r="I1682" t="s">
        <v>896</v>
      </c>
      <c r="J1682" s="50" t="str">
        <f>IF(I1682="","",_xlfn.XLOOKUP(TRIM(I1682),'SkillMasterSkill ID'!$C:$C,'SkillMasterSkill ID'!$F:$F,"NOT FOUND",0))</f>
        <v>Competency related to forecast adjustment that supports effective field/project leadership and execution.</v>
      </c>
      <c r="K1682" s="50" t="s">
        <v>795</v>
      </c>
      <c r="L1682" s="50">
        <v>2</v>
      </c>
    </row>
    <row r="1683" spans="1:12" ht="16.5" thickBot="1" x14ac:dyDescent="0.3">
      <c r="A1683" t="s">
        <v>1061</v>
      </c>
      <c r="B1683" s="63">
        <v>10302</v>
      </c>
      <c r="C1683" s="63" t="s">
        <v>797</v>
      </c>
      <c r="D1683" s="50">
        <v>5</v>
      </c>
      <c r="E1683" s="50" t="str">
        <f>IF(I1683="","",_xlfn.XLOOKUP(TRIM(I1683),'SkillMasterSkill ID'!$C:$C,'SkillMasterSkill ID'!$D:$D,"NOT FOUND",0))</f>
        <v>FIN</v>
      </c>
      <c r="F1683" s="46" t="str">
        <f>IF(I1683="","",IF(_xlfn.XLOOKUP(TRIM(I1683),'SkillMasterSkill ID'!$C:$C,'SkillMasterSkill ID'!$E:$E,"")=0,"",_xlfn.XLOOKUP(TRIM(I1683),'SkillMasterSkill ID'!$C:$C,'SkillMasterSkill ID'!$E:$E,"")))</f>
        <v/>
      </c>
      <c r="G1683" s="11" t="s">
        <v>921</v>
      </c>
      <c r="H1683" s="42" t="s">
        <v>1184</v>
      </c>
      <c r="I1683" t="s">
        <v>896</v>
      </c>
      <c r="J1683" s="50" t="str">
        <f>IF(I1683="","",_xlfn.XLOOKUP(TRIM(I1683),'SkillMasterSkill ID'!$C:$C,'SkillMasterSkill ID'!$F:$F,"NOT FOUND",0))</f>
        <v>Competency related to forecast adjustment that supports effective field/project leadership and execution.</v>
      </c>
      <c r="K1683" s="50" t="s">
        <v>792</v>
      </c>
      <c r="L1683" s="50">
        <v>2</v>
      </c>
    </row>
    <row r="1684" spans="1:12" ht="16.5" thickBot="1" x14ac:dyDescent="0.3">
      <c r="A1684" t="s">
        <v>1061</v>
      </c>
      <c r="B1684" s="63">
        <v>10302</v>
      </c>
      <c r="C1684" s="63" t="s">
        <v>797</v>
      </c>
      <c r="D1684" s="50">
        <v>5</v>
      </c>
      <c r="E1684" s="50" t="str">
        <f>IF(I1684="","",_xlfn.XLOOKUP(TRIM(I1684),'SkillMasterSkill ID'!$C:$C,'SkillMasterSkill ID'!$D:$D,"NOT FOUND",0))</f>
        <v>FIN</v>
      </c>
      <c r="F1684" s="46" t="str">
        <f>IF(I1684="","",IF(_xlfn.XLOOKUP(TRIM(I1684),'SkillMasterSkill ID'!$C:$C,'SkillMasterSkill ID'!$E:$E,"")=0,"",_xlfn.XLOOKUP(TRIM(I1684),'SkillMasterSkill ID'!$C:$C,'SkillMasterSkill ID'!$E:$E,"")))</f>
        <v/>
      </c>
      <c r="G1684" s="11" t="s">
        <v>921</v>
      </c>
      <c r="H1684" s="42" t="s">
        <v>1185</v>
      </c>
      <c r="I1684" t="s">
        <v>896</v>
      </c>
      <c r="J1684" s="50" t="str">
        <f>IF(I1684="","",_xlfn.XLOOKUP(TRIM(I1684),'SkillMasterSkill ID'!$C:$C,'SkillMasterSkill ID'!$F:$F,"NOT FOUND",0))</f>
        <v>Competency related to forecast adjustment that supports effective field/project leadership and execution.</v>
      </c>
      <c r="K1684" s="50" t="s">
        <v>792</v>
      </c>
      <c r="L1684" s="50">
        <v>2</v>
      </c>
    </row>
    <row r="1685" spans="1:12" ht="16.5" thickBot="1" x14ac:dyDescent="0.3">
      <c r="A1685" t="s">
        <v>1063</v>
      </c>
      <c r="B1685" s="63">
        <v>10302</v>
      </c>
      <c r="C1685" s="63" t="s">
        <v>797</v>
      </c>
      <c r="D1685" s="50">
        <v>5</v>
      </c>
      <c r="E1685" s="50" t="str">
        <f>IF(I1685="","",_xlfn.XLOOKUP(TRIM(I1685),'SkillMasterSkill ID'!$C:$C,'SkillMasterSkill ID'!$D:$D,"NOT FOUND",0))</f>
        <v>PLAN</v>
      </c>
      <c r="F1685" s="46" t="str">
        <f>IF(I1685="","",IF(_xlfn.XLOOKUP(TRIM(I1685),'SkillMasterSkill ID'!$C:$C,'SkillMasterSkill ID'!$E:$E,"")=0,"",_xlfn.XLOOKUP(TRIM(I1685),'SkillMasterSkill ID'!$C:$C,'SkillMasterSkill ID'!$E:$E,"")))</f>
        <v/>
      </c>
      <c r="G1685" s="11" t="s">
        <v>921</v>
      </c>
      <c r="H1685" s="42" t="s">
        <v>1185</v>
      </c>
      <c r="I1685" t="s">
        <v>819</v>
      </c>
      <c r="J1685" s="50" t="str">
        <f>IF(I1685="","",_xlfn.XLOOKUP(TRIM(I1685),'SkillMasterSkill ID'!$C:$C,'SkillMasterSkill ID'!$F:$F,"NOT FOUND",0))</f>
        <v>Competency related to gap identification that supports effective field/project leadership and execution.</v>
      </c>
      <c r="K1685" s="50" t="s">
        <v>792</v>
      </c>
      <c r="L1685" s="50">
        <v>2</v>
      </c>
    </row>
    <row r="1686" spans="1:12" ht="16.5" thickBot="1" x14ac:dyDescent="0.3">
      <c r="A1686" t="s">
        <v>1065</v>
      </c>
      <c r="B1686" s="63">
        <v>10302</v>
      </c>
      <c r="C1686" s="63" t="s">
        <v>797</v>
      </c>
      <c r="D1686" s="31">
        <v>5</v>
      </c>
      <c r="E1686" s="31" t="str">
        <f>IF(I1686="","",_xlfn.XLOOKUP(TRIM(I1686),'SkillMasterSkill ID'!$C:$C,'SkillMasterSkill ID'!$D:$D,"NOT FOUND",0))</f>
        <v>LEAD</v>
      </c>
      <c r="F1686" s="46" t="str">
        <f>IF(I1686="","",IF(_xlfn.XLOOKUP(TRIM(I1686),'SkillMasterSkill ID'!$C:$C,'SkillMasterSkill ID'!$E:$E,"")=0,"",_xlfn.XLOOKUP(TRIM(I1686),'SkillMasterSkill ID'!$C:$C,'SkillMasterSkill ID'!$E:$E,"")))</f>
        <v/>
      </c>
      <c r="G1686" t="s">
        <v>925</v>
      </c>
      <c r="H1686" s="42" t="s">
        <v>1208</v>
      </c>
      <c r="I1686" t="s">
        <v>855</v>
      </c>
      <c r="J1686" s="31" t="str">
        <f>IF(I1686="","",_xlfn.XLOOKUP(TRIM(I1686),'SkillMasterSkill ID'!$C:$C,'SkillMasterSkill ID'!$F:$F,"NOT FOUND",0))</f>
        <v>Ability to lead effectively through presence, standards, and influenceâ€”aligning teams without micromanaging.</v>
      </c>
      <c r="K1686" s="31" t="s">
        <v>792</v>
      </c>
      <c r="L1686" s="31">
        <v>2</v>
      </c>
    </row>
    <row r="1687" spans="1:12" ht="16.5" thickBot="1" x14ac:dyDescent="0.3">
      <c r="A1687" t="s">
        <v>1068</v>
      </c>
      <c r="B1687" s="63">
        <v>10302</v>
      </c>
      <c r="C1687" s="63" t="s">
        <v>797</v>
      </c>
      <c r="D1687" s="31">
        <v>5</v>
      </c>
      <c r="E1687" s="31" t="str">
        <f>IF(I1687="","",_xlfn.XLOOKUP(TRIM(I1687),'SkillMasterSkill ID'!$C:$C,'SkillMasterSkill ID'!$D:$D,"NOT FOUND",0))</f>
        <v>FUP</v>
      </c>
      <c r="F1687" s="46" t="str">
        <f>IF(I1687="","",IF(_xlfn.XLOOKUP(TRIM(I1687),'SkillMasterSkill ID'!$C:$C,'SkillMasterSkill ID'!$E:$E,"")=0,"",_xlfn.XLOOKUP(TRIM(I1687),'SkillMasterSkill ID'!$C:$C,'SkillMasterSkill ID'!$E:$E,"")))</f>
        <v/>
      </c>
      <c r="G1687" t="s">
        <v>925</v>
      </c>
      <c r="H1687" s="42" t="s">
        <v>1196</v>
      </c>
      <c r="I1687" t="s">
        <v>866</v>
      </c>
      <c r="J1687" s="31" t="str">
        <f>IF(I1687="","",_xlfn.XLOOKUP(TRIM(I1687),'SkillMasterSkill ID'!$C:$C,'SkillMasterSkill ID'!$F:$F,"NOT FOUND",0))</f>
        <v>Competency related to intervention timing that supports effective field/project leadership and execution.</v>
      </c>
      <c r="K1687" s="31" t="s">
        <v>792</v>
      </c>
      <c r="L1687" s="31">
        <v>2</v>
      </c>
    </row>
    <row r="1688" spans="1:12" ht="16.5" thickBot="1" x14ac:dyDescent="0.3">
      <c r="A1688" t="s">
        <v>1070</v>
      </c>
      <c r="B1688" s="63">
        <v>10302</v>
      </c>
      <c r="C1688" s="63" t="s">
        <v>797</v>
      </c>
      <c r="D1688" s="50">
        <v>5</v>
      </c>
      <c r="E1688" s="46" t="str">
        <f>IF(I1688="","",_xlfn.XLOOKUP(TRIM(I1688),'SkillMasterSkill ID'!$C:$C,'SkillMasterSkill ID'!$D:$D,"NOT FOUND",0))</f>
        <v>COMM</v>
      </c>
      <c r="F1688" s="46" t="str">
        <f>IF(I1688="","",IF(_xlfn.XLOOKUP(TRIM(I1688),'SkillMasterSkill ID'!$C:$C,'SkillMasterSkill ID'!$E:$E,"")=0,"",_xlfn.XLOOKUP(TRIM(I1688),'SkillMasterSkill ID'!$C:$C,'SkillMasterSkill ID'!$E:$E,"")))</f>
        <v/>
      </c>
      <c r="G1688" s="11" t="s">
        <v>921</v>
      </c>
      <c r="H1688" s="42" t="s">
        <v>1183</v>
      </c>
      <c r="I1688" t="s">
        <v>898</v>
      </c>
      <c r="J1688" s="50" t="str">
        <f>IF(I1688="","",_xlfn.XLOOKUP(TRIM(I1688),'SkillMasterSkill ID'!$C:$C,'SkillMasterSkill ID'!$F:$F,"NOT FOUND",0))</f>
        <v>Competency related to issue escalation that supports effective field/project leadership and execution.</v>
      </c>
      <c r="K1688" s="27"/>
      <c r="L1688" s="27"/>
    </row>
    <row r="1689" spans="1:12" ht="16.5" thickBot="1" x14ac:dyDescent="0.3">
      <c r="A1689" t="s">
        <v>1070</v>
      </c>
      <c r="B1689" s="63">
        <v>10302</v>
      </c>
      <c r="C1689" s="63" t="s">
        <v>797</v>
      </c>
      <c r="D1689" s="50">
        <v>5</v>
      </c>
      <c r="E1689" s="50" t="str">
        <f>IF(I1689="","",_xlfn.XLOOKUP(TRIM(I1689),'SkillMasterSkill ID'!$C:$C,'SkillMasterSkill ID'!$D:$D,"NOT FOUND",0))</f>
        <v>COMM</v>
      </c>
      <c r="F1689" s="46" t="str">
        <f>IF(I1689="","",IF(_xlfn.XLOOKUP(TRIM(I1689),'SkillMasterSkill ID'!$C:$C,'SkillMasterSkill ID'!$E:$E,"")=0,"",_xlfn.XLOOKUP(TRIM(I1689),'SkillMasterSkill ID'!$C:$C,'SkillMasterSkill ID'!$E:$E,"")))</f>
        <v/>
      </c>
      <c r="G1689" s="11" t="s">
        <v>921</v>
      </c>
      <c r="H1689" s="42" t="s">
        <v>1187</v>
      </c>
      <c r="I1689" t="s">
        <v>898</v>
      </c>
      <c r="J1689" s="50" t="str">
        <f>IF(I1689="","",_xlfn.XLOOKUP(TRIM(I1689),'SkillMasterSkill ID'!$C:$C,'SkillMasterSkill ID'!$F:$F,"NOT FOUND",0))</f>
        <v>Competency related to issue escalation that supports effective field/project leadership and execution.</v>
      </c>
      <c r="K1689" s="50" t="s">
        <v>792</v>
      </c>
      <c r="L1689" s="50">
        <v>2</v>
      </c>
    </row>
    <row r="1690" spans="1:12" ht="16.5" thickBot="1" x14ac:dyDescent="0.3">
      <c r="A1690" t="s">
        <v>1070</v>
      </c>
      <c r="B1690" s="63">
        <v>10302</v>
      </c>
      <c r="C1690" s="63" t="s">
        <v>797</v>
      </c>
      <c r="D1690" s="31">
        <v>5</v>
      </c>
      <c r="E1690" s="31" t="str">
        <f>IF(I1690="","",_xlfn.XLOOKUP(TRIM(I1690),'SkillMasterSkill ID'!$C:$C,'SkillMasterSkill ID'!$D:$D,"NOT FOUND",0))</f>
        <v>COMM</v>
      </c>
      <c r="F1690" s="46" t="str">
        <f>IF(I1690="","",IF(_xlfn.XLOOKUP(TRIM(I1690),'SkillMasterSkill ID'!$C:$C,'SkillMasterSkill ID'!$E:$E,"")=0,"",_xlfn.XLOOKUP(TRIM(I1690),'SkillMasterSkill ID'!$C:$C,'SkillMasterSkill ID'!$E:$E,"")))</f>
        <v/>
      </c>
      <c r="G1690" s="11" t="s">
        <v>921</v>
      </c>
      <c r="H1690" s="42" t="s">
        <v>1189</v>
      </c>
      <c r="I1690" t="s">
        <v>898</v>
      </c>
      <c r="J1690" s="31" t="str">
        <f>IF(I1690="","",_xlfn.XLOOKUP(TRIM(I1690),'SkillMasterSkill ID'!$C:$C,'SkillMasterSkill ID'!$F:$F,"NOT FOUND",0))</f>
        <v>Competency related to issue escalation that supports effective field/project leadership and execution.</v>
      </c>
      <c r="K1690" s="31" t="s">
        <v>792</v>
      </c>
      <c r="L1690" s="31">
        <v>2</v>
      </c>
    </row>
    <row r="1691" spans="1:12" ht="16.5" thickBot="1" x14ac:dyDescent="0.3">
      <c r="A1691" t="s">
        <v>1070</v>
      </c>
      <c r="B1691" s="63">
        <v>10302</v>
      </c>
      <c r="C1691" s="63" t="s">
        <v>797</v>
      </c>
      <c r="D1691" s="31">
        <v>5</v>
      </c>
      <c r="E1691" s="31" t="str">
        <f>IF(I1691="","",_xlfn.XLOOKUP(TRIM(I1691),'SkillMasterSkill ID'!$C:$C,'SkillMasterSkill ID'!$D:$D,"NOT FOUND",0))</f>
        <v>COMM</v>
      </c>
      <c r="F1691" s="46" t="str">
        <f>IF(I1691="","",IF(_xlfn.XLOOKUP(TRIM(I1691),'SkillMasterSkill ID'!$C:$C,'SkillMasterSkill ID'!$E:$E,"")=0,"",_xlfn.XLOOKUP(TRIM(I1691),'SkillMasterSkill ID'!$C:$C,'SkillMasterSkill ID'!$E:$E,"")))</f>
        <v/>
      </c>
      <c r="G1691" s="11" t="s">
        <v>921</v>
      </c>
      <c r="H1691" s="42" t="s">
        <v>1193</v>
      </c>
      <c r="I1691" t="s">
        <v>898</v>
      </c>
      <c r="J1691" s="31" t="str">
        <f>IF(I1691="","",_xlfn.XLOOKUP(TRIM(I1691),'SkillMasterSkill ID'!$C:$C,'SkillMasterSkill ID'!$F:$F,"NOT FOUND",0))</f>
        <v>Competency related to issue escalation that supports effective field/project leadership and execution.</v>
      </c>
      <c r="K1691" s="31" t="s">
        <v>792</v>
      </c>
      <c r="L1691" s="31">
        <v>2</v>
      </c>
    </row>
    <row r="1692" spans="1:12" ht="16.5" thickBot="1" x14ac:dyDescent="0.3">
      <c r="A1692" t="s">
        <v>1070</v>
      </c>
      <c r="B1692" s="63">
        <v>10302</v>
      </c>
      <c r="C1692" s="63" t="s">
        <v>797</v>
      </c>
      <c r="D1692" s="31">
        <v>5</v>
      </c>
      <c r="E1692" s="31" t="str">
        <f>IF(I1692="","",_xlfn.XLOOKUP(TRIM(I1692),'SkillMasterSkill ID'!$C:$C,'SkillMasterSkill ID'!$D:$D,"NOT FOUND",0))</f>
        <v>COMM</v>
      </c>
      <c r="F1692" s="46" t="str">
        <f>IF(I1692="","",IF(_xlfn.XLOOKUP(TRIM(I1692),'SkillMasterSkill ID'!$C:$C,'SkillMasterSkill ID'!$E:$E,"")=0,"",_xlfn.XLOOKUP(TRIM(I1692),'SkillMasterSkill ID'!$C:$C,'SkillMasterSkill ID'!$E:$E,"")))</f>
        <v/>
      </c>
      <c r="G1692" t="s">
        <v>925</v>
      </c>
      <c r="H1692" s="42" t="s">
        <v>1205</v>
      </c>
      <c r="I1692" t="s">
        <v>898</v>
      </c>
      <c r="J1692" s="31" t="str">
        <f>IF(I1692="","",_xlfn.XLOOKUP(TRIM(I1692),'SkillMasterSkill ID'!$C:$C,'SkillMasterSkill ID'!$F:$F,"NOT FOUND",0))</f>
        <v>Competency related to issue escalation that supports effective field/project leadership and execution.</v>
      </c>
      <c r="K1692" s="31" t="s">
        <v>792</v>
      </c>
      <c r="L1692" s="31">
        <v>2</v>
      </c>
    </row>
    <row r="1693" spans="1:12" ht="16.5" thickBot="1" x14ac:dyDescent="0.3">
      <c r="A1693" t="s">
        <v>1072</v>
      </c>
      <c r="B1693" s="63">
        <v>10302</v>
      </c>
      <c r="C1693" s="63" t="s">
        <v>797</v>
      </c>
      <c r="D1693" s="31">
        <v>5</v>
      </c>
      <c r="E1693" s="31" t="str">
        <f>IF(I1693="","",_xlfn.XLOOKUP(TRIM(I1693),'SkillMasterSkill ID'!$C:$C,'SkillMasterSkill ID'!$D:$D,"NOT FOUND",0))</f>
        <v>COORD</v>
      </c>
      <c r="F1693" s="46" t="str">
        <f>IF(I1693="","",IF(_xlfn.XLOOKUP(TRIM(I1693),'SkillMasterSkill ID'!$C:$C,'SkillMasterSkill ID'!$E:$E,"")=0,"",_xlfn.XLOOKUP(TRIM(I1693),'SkillMasterSkill ID'!$C:$C,'SkillMasterSkill ID'!$E:$E,"")))</f>
        <v/>
      </c>
      <c r="G1693" t="s">
        <v>925</v>
      </c>
      <c r="H1693" s="42" t="s">
        <v>1205</v>
      </c>
      <c r="I1693" t="s">
        <v>907</v>
      </c>
      <c r="J1693" s="31" t="str">
        <f>IF(I1693="","",_xlfn.XLOOKUP(TRIM(I1693),'SkillMasterSkill ID'!$C:$C,'SkillMasterSkill ID'!$F:$F,"NOT FOUND",0))</f>
        <v>Competency related to issue representation that supports effective field/project leadership and execution.</v>
      </c>
      <c r="K1693" s="31" t="s">
        <v>792</v>
      </c>
      <c r="L1693" s="31">
        <v>2</v>
      </c>
    </row>
    <row r="1694" spans="1:12" ht="16.5" thickBot="1" x14ac:dyDescent="0.3">
      <c r="A1694" t="s">
        <v>1075</v>
      </c>
      <c r="B1694" s="63">
        <v>10302</v>
      </c>
      <c r="C1694" s="63" t="s">
        <v>797</v>
      </c>
      <c r="D1694" s="50">
        <v>5</v>
      </c>
      <c r="E1694" s="46" t="str">
        <f>IF(I1694="","",_xlfn.XLOOKUP(TRIM(I1694),'SkillMasterSkill ID'!$C:$C,'SkillMasterSkill ID'!$D:$D,"NOT FOUND",0))</f>
        <v>BUDG</v>
      </c>
      <c r="F1694" s="46" t="str">
        <f>IF(I1694="","",IF(_xlfn.XLOOKUP(TRIM(I1694),'SkillMasterSkill ID'!$C:$C,'SkillMasterSkill ID'!$E:$E,"")=0,"",_xlfn.XLOOKUP(TRIM(I1694),'SkillMasterSkill ID'!$C:$C,'SkillMasterSkill ID'!$E:$E,"")))</f>
        <v/>
      </c>
      <c r="G1694" s="11" t="s">
        <v>921</v>
      </c>
      <c r="H1694" s="42" t="s">
        <v>1182</v>
      </c>
      <c r="I1694" t="s">
        <v>889</v>
      </c>
      <c r="J1694" s="50" t="str">
        <f>IF(I1694="","",_xlfn.XLOOKUP(TRIM(I1694),'SkillMasterSkill ID'!$C:$C,'SkillMasterSkill ID'!$F:$F,"NOT FOUND",0))</f>
        <v>Ability to understand and manage cost, budget, and productivity drivers to control project financial performance.</v>
      </c>
      <c r="K1694" s="27"/>
      <c r="L1694" s="27"/>
    </row>
    <row r="1695" spans="1:12" ht="16.5" thickBot="1" x14ac:dyDescent="0.3">
      <c r="A1695" t="s">
        <v>1077</v>
      </c>
      <c r="B1695" s="63">
        <v>10302</v>
      </c>
      <c r="C1695" s="63" t="s">
        <v>797</v>
      </c>
      <c r="D1695" s="50">
        <v>5</v>
      </c>
      <c r="E1695" s="46" t="str">
        <f>IF(I1695="","",_xlfn.XLOOKUP(TRIM(I1695),'SkillMasterSkill ID'!$C:$C,'SkillMasterSkill ID'!$D:$D,"",0))</f>
        <v>LEAD</v>
      </c>
      <c r="F1695" s="46" t="str">
        <f>IF(I1695="","",IF(_xlfn.XLOOKUP(TRIM(I1695),'SkillMasterSkill ID'!$C:$C,'SkillMasterSkill ID'!$E:$E,"")=0,"",_xlfn.XLOOKUP(TRIM(I1695),'SkillMasterSkill ID'!$C:$C,'SkillMasterSkill ID'!$E:$E,"")))</f>
        <v/>
      </c>
      <c r="G1695" s="50" t="s">
        <v>798</v>
      </c>
      <c r="H1695" s="51" t="s">
        <v>799</v>
      </c>
      <c r="I1695" t="s">
        <v>928</v>
      </c>
      <c r="J1695" s="50" t="str">
        <f>IF(I1695="","",_xlfn.XLOOKUP(TRIM(I1695),'SkillMasterSkill ID'!$C:$C,'SkillMasterSkill ID'!$F:$F,"NOT FOUND",0))</f>
        <v>Ability to lead effectively through presence, standards, and influenceâ€”aligning teams without micromanaging.</v>
      </c>
      <c r="K1695" s="50" t="s">
        <v>795</v>
      </c>
      <c r="L1695" s="50">
        <v>2</v>
      </c>
    </row>
    <row r="1696" spans="1:12" ht="16.5" thickBot="1" x14ac:dyDescent="0.3">
      <c r="A1696" t="s">
        <v>1077</v>
      </c>
      <c r="B1696" s="63">
        <v>10302</v>
      </c>
      <c r="C1696" s="63" t="s">
        <v>797</v>
      </c>
      <c r="D1696" s="31">
        <v>5</v>
      </c>
      <c r="E1696" s="31" t="str">
        <f>IF(I1696="","",_xlfn.XLOOKUP(TRIM(I1696),'SkillMasterSkill ID'!$C:$C,'SkillMasterSkill ID'!$D:$D,"NOT FOUND",0))</f>
        <v>LEAD</v>
      </c>
      <c r="F1696" s="46" t="str">
        <f>IF(I1696="","",IF(_xlfn.XLOOKUP(TRIM(I1696),'SkillMasterSkill ID'!$C:$C,'SkillMasterSkill ID'!$E:$E,"")=0,"",_xlfn.XLOOKUP(TRIM(I1696),'SkillMasterSkill ID'!$C:$C,'SkillMasterSkill ID'!$E:$E,"")))</f>
        <v/>
      </c>
      <c r="G1696" t="s">
        <v>925</v>
      </c>
      <c r="H1696" s="42" t="s">
        <v>1207</v>
      </c>
      <c r="I1696" t="s">
        <v>928</v>
      </c>
      <c r="J1696" s="31" t="str">
        <f>IF(I1696="","",_xlfn.XLOOKUP(TRIM(I1696),'SkillMasterSkill ID'!$C:$C,'SkillMasterSkill ID'!$F:$F,"NOT FOUND",0))</f>
        <v>Ability to lead effectively through presence, standards, and influenceâ€”aligning teams without micromanaging.</v>
      </c>
      <c r="K1696" s="31" t="s">
        <v>792</v>
      </c>
      <c r="L1696" s="31">
        <v>2</v>
      </c>
    </row>
    <row r="1697" spans="1:12" ht="16.5" thickBot="1" x14ac:dyDescent="0.3">
      <c r="A1697" t="s">
        <v>1078</v>
      </c>
      <c r="B1697" s="63">
        <v>10302</v>
      </c>
      <c r="C1697" s="63" t="s">
        <v>797</v>
      </c>
      <c r="D1697" s="50">
        <v>5</v>
      </c>
      <c r="E1697" s="46" t="str">
        <f>IF(I1697="","",_xlfn.XLOOKUP(TRIM(I1697),'SkillMasterSkill ID'!$C:$C,'SkillMasterSkill ID'!$D:$D,"",0))</f>
        <v>LEAD</v>
      </c>
      <c r="F1697" s="46" t="str">
        <f>IF(I1697="","",IF(_xlfn.XLOOKUP(TRIM(I1697),'SkillMasterSkill ID'!$C:$C,'SkillMasterSkill ID'!$E:$E,"")=0,"",_xlfn.XLOOKUP(TRIM(I1697),'SkillMasterSkill ID'!$C:$C,'SkillMasterSkill ID'!$E:$E,"")))</f>
        <v/>
      </c>
      <c r="G1697" s="50" t="s">
        <v>1181</v>
      </c>
      <c r="H1697" s="42" t="s">
        <v>925</v>
      </c>
      <c r="I1697" t="s">
        <v>926</v>
      </c>
      <c r="J1697" s="50" t="str">
        <f>IF(I1697="","",_xlfn.XLOOKUP(TRIM(I1697),'SkillMasterSkill ID'!$C:$C,'SkillMasterSkill ID'!$F:$F,"NOT FOUND",0))</f>
        <v>Ability to lead effectively through presence, standards, and influenceâ€”aligning teams without micromanaging.</v>
      </c>
      <c r="K1697" s="50"/>
      <c r="L1697" s="50"/>
    </row>
    <row r="1698" spans="1:12" ht="16.5" thickBot="1" x14ac:dyDescent="0.3">
      <c r="A1698" t="s">
        <v>1078</v>
      </c>
      <c r="B1698" s="63">
        <v>10302</v>
      </c>
      <c r="C1698" s="63" t="s">
        <v>797</v>
      </c>
      <c r="D1698" s="31">
        <v>5</v>
      </c>
      <c r="E1698" s="31" t="str">
        <f>IF(I1698="","",_xlfn.XLOOKUP(TRIM(I1698),'SkillMasterSkill ID'!$C:$C,'SkillMasterSkill ID'!$D:$D,"NOT FOUND",0))</f>
        <v>LEAD</v>
      </c>
      <c r="F1698" s="46" t="str">
        <f>IF(I1698="","",IF(_xlfn.XLOOKUP(TRIM(I1698),'SkillMasterSkill ID'!$C:$C,'SkillMasterSkill ID'!$E:$E,"")=0,"",_xlfn.XLOOKUP(TRIM(I1698),'SkillMasterSkill ID'!$C:$C,'SkillMasterSkill ID'!$E:$E,"")))</f>
        <v/>
      </c>
      <c r="G1698" t="s">
        <v>925</v>
      </c>
      <c r="H1698" s="42" t="s">
        <v>1195</v>
      </c>
      <c r="I1698" t="s">
        <v>926</v>
      </c>
      <c r="J1698" s="31" t="str">
        <f>IF(I1698="","",_xlfn.XLOOKUP(TRIM(I1698),'SkillMasterSkill ID'!$C:$C,'SkillMasterSkill ID'!$F:$F,"NOT FOUND",0))</f>
        <v>Ability to lead effectively through presence, standards, and influenceâ€”aligning teams without micromanaging.</v>
      </c>
      <c r="K1698" s="31" t="s">
        <v>792</v>
      </c>
      <c r="L1698" s="31">
        <v>2</v>
      </c>
    </row>
    <row r="1699" spans="1:12" ht="16.5" thickBot="1" x14ac:dyDescent="0.3">
      <c r="A1699" t="s">
        <v>1078</v>
      </c>
      <c r="B1699" s="63">
        <v>10302</v>
      </c>
      <c r="C1699" s="63" t="s">
        <v>797</v>
      </c>
      <c r="D1699" s="31">
        <v>5</v>
      </c>
      <c r="E1699" s="31" t="str">
        <f>IF(I1699="","",_xlfn.XLOOKUP(TRIM(I1699),'SkillMasterSkill ID'!$C:$C,'SkillMasterSkill ID'!$D:$D,"NOT FOUND",0))</f>
        <v>LEAD</v>
      </c>
      <c r="F1699" s="46" t="str">
        <f>IF(I1699="","",IF(_xlfn.XLOOKUP(TRIM(I1699),'SkillMasterSkill ID'!$C:$C,'SkillMasterSkill ID'!$E:$E,"")=0,"",_xlfn.XLOOKUP(TRIM(I1699),'SkillMasterSkill ID'!$C:$C,'SkillMasterSkill ID'!$E:$E,"")))</f>
        <v/>
      </c>
      <c r="G1699" t="s">
        <v>925</v>
      </c>
      <c r="H1699" s="42" t="s">
        <v>1207</v>
      </c>
      <c r="I1699" t="s">
        <v>926</v>
      </c>
      <c r="J1699" s="31" t="str">
        <f>IF(I1699="","",_xlfn.XLOOKUP(TRIM(I1699),'SkillMasterSkill ID'!$C:$C,'SkillMasterSkill ID'!$F:$F,"NOT FOUND",0))</f>
        <v>Ability to lead effectively through presence, standards, and influenceâ€”aligning teams without micromanaging.</v>
      </c>
      <c r="K1699" s="31" t="s">
        <v>792</v>
      </c>
      <c r="L1699" s="31">
        <v>2</v>
      </c>
    </row>
    <row r="1700" spans="1:12" ht="16.5" thickBot="1" x14ac:dyDescent="0.3">
      <c r="A1700" t="s">
        <v>1079</v>
      </c>
      <c r="B1700" s="63">
        <v>10302</v>
      </c>
      <c r="C1700" s="63" t="s">
        <v>797</v>
      </c>
      <c r="D1700" s="50">
        <v>5</v>
      </c>
      <c r="E1700" s="46" t="str">
        <f>IF(I1700="","",_xlfn.XLOOKUP(TRIM(I1700),'SkillMasterSkill ID'!$C:$C,'SkillMasterSkill ID'!$D:$D,"",0))</f>
        <v>PERF</v>
      </c>
      <c r="F1700" s="46" t="str">
        <f>IF(I1700="","",IF(_xlfn.XLOOKUP(TRIM(I1700),'SkillMasterSkill ID'!$C:$C,'SkillMasterSkill ID'!$E:$E,"")=0,"",_xlfn.XLOOKUP(TRIM(I1700),'SkillMasterSkill ID'!$C:$C,'SkillMasterSkill ID'!$E:$E,"")))</f>
        <v/>
      </c>
      <c r="G1700" s="50" t="s">
        <v>798</v>
      </c>
      <c r="H1700" s="51" t="s">
        <v>800</v>
      </c>
      <c r="I1700" t="s">
        <v>922</v>
      </c>
      <c r="J1700" s="50" t="str">
        <f>IF(I1700="","",_xlfn.XLOOKUP(TRIM(I1700),'SkillMasterSkill ID'!$C:$C,'SkillMasterSkill ID'!$F:$F,"NOT FOUND",0))</f>
        <v>Ability to understand and manage cost, budget, and productivity drivers to control project financial performance.</v>
      </c>
      <c r="K1700" s="50" t="s">
        <v>795</v>
      </c>
      <c r="L1700" s="50">
        <v>2</v>
      </c>
    </row>
    <row r="1701" spans="1:12" ht="16.5" thickBot="1" x14ac:dyDescent="0.3">
      <c r="A1701" t="s">
        <v>1079</v>
      </c>
      <c r="B1701" s="63">
        <v>10302</v>
      </c>
      <c r="C1701" s="63" t="s">
        <v>797</v>
      </c>
      <c r="D1701" s="50">
        <v>5</v>
      </c>
      <c r="E1701" s="50" t="str">
        <f>IF(I1701="","",_xlfn.XLOOKUP(TRIM(I1701),'SkillMasterSkill ID'!$C:$C,'SkillMasterSkill ID'!$D:$D,"NOT FOUND",0))</f>
        <v>PERF</v>
      </c>
      <c r="F1701" s="46" t="str">
        <f>IF(I1701="","",IF(_xlfn.XLOOKUP(TRIM(I1701),'SkillMasterSkill ID'!$C:$C,'SkillMasterSkill ID'!$E:$E,"")=0,"",_xlfn.XLOOKUP(TRIM(I1701),'SkillMasterSkill ID'!$C:$C,'SkillMasterSkill ID'!$E:$E,"")))</f>
        <v/>
      </c>
      <c r="G1701" s="11" t="s">
        <v>921</v>
      </c>
      <c r="H1701" s="42" t="s">
        <v>1184</v>
      </c>
      <c r="I1701" t="s">
        <v>922</v>
      </c>
      <c r="J1701" s="50" t="str">
        <f>IF(I1701="","",_xlfn.XLOOKUP(TRIM(I1701),'SkillMasterSkill ID'!$C:$C,'SkillMasterSkill ID'!$F:$F,"NOT FOUND",0))</f>
        <v>Ability to understand and manage cost, budget, and productivity drivers to control project financial performance.</v>
      </c>
      <c r="K1701" s="50" t="s">
        <v>792</v>
      </c>
      <c r="L1701" s="50">
        <v>2</v>
      </c>
    </row>
    <row r="1702" spans="1:12" ht="16.5" thickBot="1" x14ac:dyDescent="0.3">
      <c r="A1702" t="s">
        <v>1080</v>
      </c>
      <c r="B1702" s="63">
        <v>10302</v>
      </c>
      <c r="C1702" s="63" t="s">
        <v>797</v>
      </c>
      <c r="D1702" s="50">
        <v>5</v>
      </c>
      <c r="E1702" s="50" t="str">
        <f>IF(I1702="","",_xlfn.XLOOKUP(TRIM(I1702),'SkillMasterSkill ID'!$C:$C,'SkillMasterSkill ID'!$D:$D,"NOT FOUND",0))</f>
        <v>PERF</v>
      </c>
      <c r="F1702" s="46" t="str">
        <f>IF(I1702="","",IF(_xlfn.XLOOKUP(TRIM(I1702),'SkillMasterSkill ID'!$C:$C,'SkillMasterSkill ID'!$E:$E,"")=0,"",_xlfn.XLOOKUP(TRIM(I1702),'SkillMasterSkill ID'!$C:$C,'SkillMasterSkill ID'!$E:$E,"")))</f>
        <v/>
      </c>
      <c r="G1702" s="11" t="s">
        <v>921</v>
      </c>
      <c r="H1702" s="42" t="s">
        <v>1188</v>
      </c>
      <c r="I1702" t="s">
        <v>849</v>
      </c>
      <c r="J1702" s="50" t="str">
        <f>IF(I1702="","",_xlfn.XLOOKUP(TRIM(I1702),'SkillMasterSkill ID'!$C:$C,'SkillMasterSkill ID'!$F:$F,"NOT FOUND",0))</f>
        <v>Ability to plan and sequence work effectively, using schedules, constraints, and lookahead thinking to meet targets.</v>
      </c>
      <c r="K1702" s="50" t="s">
        <v>792</v>
      </c>
      <c r="L1702" s="50">
        <v>2</v>
      </c>
    </row>
    <row r="1703" spans="1:12" ht="16.5" thickBot="1" x14ac:dyDescent="0.3">
      <c r="A1703" t="s">
        <v>1081</v>
      </c>
      <c r="B1703" s="63">
        <v>10302</v>
      </c>
      <c r="C1703" s="63" t="s">
        <v>797</v>
      </c>
      <c r="D1703" s="31">
        <v>5</v>
      </c>
      <c r="E1703" s="31" t="str">
        <f>IF(I1703="","",_xlfn.XLOOKUP(TRIM(I1703),'SkillMasterSkill ID'!$C:$C,'SkillMasterSkill ID'!$D:$D,"NOT FOUND",0))</f>
        <v>COORD</v>
      </c>
      <c r="F1703" s="46" t="str">
        <f>IF(I1703="","",IF(_xlfn.XLOOKUP(TRIM(I1703),'SkillMasterSkill ID'!$C:$C,'SkillMasterSkill ID'!$E:$E,"")=0,"",_xlfn.XLOOKUP(TRIM(I1703),'SkillMasterSkill ID'!$C:$C,'SkillMasterSkill ID'!$E:$E,"")))</f>
        <v/>
      </c>
      <c r="G1703" s="11" t="s">
        <v>921</v>
      </c>
      <c r="H1703" s="42" t="s">
        <v>1190</v>
      </c>
      <c r="I1703" t="s">
        <v>878</v>
      </c>
      <c r="J1703" s="31" t="str">
        <f>IF(I1703="","",_xlfn.XLOOKUP(TRIM(I1703),'SkillMasterSkill ID'!$C:$C,'SkillMasterSkill ID'!$F:$F,"NOT FOUND",0))</f>
        <v>Ability to coordinate resources and people (manpower, priorities, and workload) to keep work flowing efficiently.</v>
      </c>
      <c r="K1703" s="31" t="s">
        <v>792</v>
      </c>
      <c r="L1703" s="31">
        <v>2</v>
      </c>
    </row>
    <row r="1704" spans="1:12" ht="16.5" thickBot="1" x14ac:dyDescent="0.3">
      <c r="A1704" t="s">
        <v>1081</v>
      </c>
      <c r="B1704" s="63">
        <v>10302</v>
      </c>
      <c r="C1704" s="63" t="s">
        <v>797</v>
      </c>
      <c r="D1704" s="31">
        <v>5</v>
      </c>
      <c r="E1704" s="31" t="str">
        <f>IF(I1704="","",_xlfn.XLOOKUP(TRIM(I1704),'SkillMasterSkill ID'!$C:$C,'SkillMasterSkill ID'!$D:$D,"NOT FOUND",0))</f>
        <v>COORD</v>
      </c>
      <c r="F1704" s="46" t="str">
        <f>IF(I1704="","",IF(_xlfn.XLOOKUP(TRIM(I1704),'SkillMasterSkill ID'!$C:$C,'SkillMasterSkill ID'!$E:$E,"")=0,"",_xlfn.XLOOKUP(TRIM(I1704),'SkillMasterSkill ID'!$C:$C,'SkillMasterSkill ID'!$E:$E,"")))</f>
        <v/>
      </c>
      <c r="G1704" t="s">
        <v>925</v>
      </c>
      <c r="H1704" s="42" t="s">
        <v>1202</v>
      </c>
      <c r="I1704" t="s">
        <v>878</v>
      </c>
      <c r="J1704" s="31" t="str">
        <f>IF(I1704="","",_xlfn.XLOOKUP(TRIM(I1704),'SkillMasterSkill ID'!$C:$C,'SkillMasterSkill ID'!$F:$F,"NOT FOUND",0))</f>
        <v>Ability to coordinate resources and people (manpower, priorities, and workload) to keep work flowing efficiently.</v>
      </c>
      <c r="K1704" s="31" t="s">
        <v>792</v>
      </c>
      <c r="L1704" s="31">
        <v>2</v>
      </c>
    </row>
    <row r="1705" spans="1:12" ht="16.5" thickBot="1" x14ac:dyDescent="0.3">
      <c r="A1705" t="s">
        <v>1082</v>
      </c>
      <c r="B1705" s="63">
        <v>10302</v>
      </c>
      <c r="C1705" s="63" t="s">
        <v>797</v>
      </c>
      <c r="D1705" s="31">
        <v>5</v>
      </c>
      <c r="E1705" s="31" t="str">
        <f>IF(I1705="","",_xlfn.XLOOKUP(TRIM(I1705),'SkillMasterSkill ID'!$C:$C,'SkillMasterSkill ID'!$D:$D,"NOT FOUND",0))</f>
        <v>PLAN</v>
      </c>
      <c r="F1705" s="46" t="str">
        <f>IF(I1705="","",IF(_xlfn.XLOOKUP(TRIM(I1705),'SkillMasterSkill ID'!$C:$C,'SkillMasterSkill ID'!$E:$E,"")=0,"",_xlfn.XLOOKUP(TRIM(I1705),'SkillMasterSkill ID'!$C:$C,'SkillMasterSkill ID'!$E:$E,"")))</f>
        <v/>
      </c>
      <c r="G1705" s="11" t="s">
        <v>921</v>
      </c>
      <c r="H1705" s="42" t="s">
        <v>1190</v>
      </c>
      <c r="I1705" t="s">
        <v>823</v>
      </c>
      <c r="J1705" s="31" t="str">
        <f>IF(I1705="","",_xlfn.XLOOKUP(TRIM(I1705),'SkillMasterSkill ID'!$C:$C,'SkillMasterSkill ID'!$F:$F,"NOT FOUND",0))</f>
        <v>Competency related to manpower forecasting that supports effective field/project leadership and execution.</v>
      </c>
      <c r="K1705" s="31" t="s">
        <v>792</v>
      </c>
      <c r="L1705" s="31">
        <v>2</v>
      </c>
    </row>
    <row r="1706" spans="1:12" ht="16.5" thickBot="1" x14ac:dyDescent="0.3">
      <c r="A1706" t="s">
        <v>1082</v>
      </c>
      <c r="B1706" s="63">
        <v>10302</v>
      </c>
      <c r="C1706" s="63" t="s">
        <v>797</v>
      </c>
      <c r="D1706" s="31">
        <v>5</v>
      </c>
      <c r="E1706" s="31" t="str">
        <f>IF(I1706="","",_xlfn.XLOOKUP(TRIM(I1706),'SkillMasterSkill ID'!$C:$C,'SkillMasterSkill ID'!$D:$D,"NOT FOUND",0))</f>
        <v>PLAN</v>
      </c>
      <c r="F1706" s="46" t="str">
        <f>IF(I1706="","",IF(_xlfn.XLOOKUP(TRIM(I1706),'SkillMasterSkill ID'!$C:$C,'SkillMasterSkill ID'!$E:$E,"")=0,"",_xlfn.XLOOKUP(TRIM(I1706),'SkillMasterSkill ID'!$C:$C,'SkillMasterSkill ID'!$E:$E,"")))</f>
        <v/>
      </c>
      <c r="G1706" t="s">
        <v>925</v>
      </c>
      <c r="H1706" s="42" t="s">
        <v>1202</v>
      </c>
      <c r="I1706" t="s">
        <v>823</v>
      </c>
      <c r="J1706" s="31" t="str">
        <f>IF(I1706="","",_xlfn.XLOOKUP(TRIM(I1706),'SkillMasterSkill ID'!$C:$C,'SkillMasterSkill ID'!$F:$F,"NOT FOUND",0))</f>
        <v>Competency related to manpower forecasting that supports effective field/project leadership and execution.</v>
      </c>
      <c r="K1706" s="31" t="s">
        <v>792</v>
      </c>
      <c r="L1706" s="31">
        <v>2</v>
      </c>
    </row>
    <row r="1707" spans="1:12" ht="16.5" thickBot="1" x14ac:dyDescent="0.3">
      <c r="A1707" t="s">
        <v>1084</v>
      </c>
      <c r="B1707" s="63">
        <v>10302</v>
      </c>
      <c r="C1707" s="63" t="s">
        <v>797</v>
      </c>
      <c r="D1707" s="31">
        <v>5</v>
      </c>
      <c r="E1707" s="31" t="str">
        <f>IF(I1707="","",_xlfn.XLOOKUP(TRIM(I1707),'SkillMasterSkill ID'!$C:$C,'SkillMasterSkill ID'!$D:$D,"NOT FOUND",0))</f>
        <v>COORD</v>
      </c>
      <c r="F1707" s="46" t="str">
        <f>IF(I1707="","",IF(_xlfn.XLOOKUP(TRIM(I1707),'SkillMasterSkill ID'!$C:$C,'SkillMasterSkill ID'!$E:$E,"")=0,"",_xlfn.XLOOKUP(TRIM(I1707),'SkillMasterSkill ID'!$C:$C,'SkillMasterSkill ID'!$E:$E,"")))</f>
        <v/>
      </c>
      <c r="G1707" t="s">
        <v>925</v>
      </c>
      <c r="H1707" s="42" t="s">
        <v>1205</v>
      </c>
      <c r="I1707" t="s">
        <v>906</v>
      </c>
      <c r="J1707" s="31" t="str">
        <f>IF(I1707="","",_xlfn.XLOOKUP(TRIM(I1707),'SkillMasterSkill ID'!$C:$C,'SkillMasterSkill ID'!$F:$F,"NOT FOUND",0))</f>
        <v>Competency related to meeting participation that supports effective field/project leadership and execution.</v>
      </c>
      <c r="K1707" s="31" t="s">
        <v>792</v>
      </c>
      <c r="L1707" s="31">
        <v>2</v>
      </c>
    </row>
    <row r="1708" spans="1:12" ht="16.5" thickBot="1" x14ac:dyDescent="0.3">
      <c r="A1708" t="s">
        <v>1086</v>
      </c>
      <c r="B1708" s="63">
        <v>10302</v>
      </c>
      <c r="C1708" s="63" t="s">
        <v>797</v>
      </c>
      <c r="D1708" s="31">
        <v>5</v>
      </c>
      <c r="E1708" s="31" t="str">
        <f>IF(I1708="","",_xlfn.XLOOKUP(TRIM(I1708),'SkillMasterSkill ID'!$C:$C,'SkillMasterSkill ID'!$D:$D,"NOT FOUND",0))</f>
        <v>COMM</v>
      </c>
      <c r="F1708" s="46" t="str">
        <f>IF(I1708="","",IF(_xlfn.XLOOKUP(TRIM(I1708),'SkillMasterSkill ID'!$C:$C,'SkillMasterSkill ID'!$E:$E,"")=0,"",_xlfn.XLOOKUP(TRIM(I1708),'SkillMasterSkill ID'!$C:$C,'SkillMasterSkill ID'!$E:$E,"")))</f>
        <v/>
      </c>
      <c r="G1708" t="s">
        <v>925</v>
      </c>
      <c r="H1708" s="42" t="s">
        <v>1195</v>
      </c>
      <c r="I1708" t="s">
        <v>861</v>
      </c>
      <c r="J1708" s="31" t="str">
        <f>IF(I1708="","",_xlfn.XLOOKUP(TRIM(I1708),'SkillMasterSkill ID'!$C:$C,'SkillMasterSkill ID'!$F:$F,"NOT FOUND",0))</f>
        <v>Competency related to message consistency that supports effective field/project leadership and execution.</v>
      </c>
      <c r="K1708" s="31" t="s">
        <v>792</v>
      </c>
      <c r="L1708" s="31">
        <v>2</v>
      </c>
    </row>
    <row r="1709" spans="1:12" ht="16.5" thickBot="1" x14ac:dyDescent="0.3">
      <c r="A1709" t="s">
        <v>1086</v>
      </c>
      <c r="B1709" s="63">
        <v>10302</v>
      </c>
      <c r="C1709" s="63" t="s">
        <v>797</v>
      </c>
      <c r="D1709" s="31">
        <v>5</v>
      </c>
      <c r="E1709" s="31" t="str">
        <f>IF(I1709="","",_xlfn.XLOOKUP(TRIM(I1709),'SkillMasterSkill ID'!$C:$C,'SkillMasterSkill ID'!$D:$D,"NOT FOUND",0))</f>
        <v>COMM</v>
      </c>
      <c r="F1709" s="46" t="str">
        <f>IF(I1709="","",IF(_xlfn.XLOOKUP(TRIM(I1709),'SkillMasterSkill ID'!$C:$C,'SkillMasterSkill ID'!$E:$E,"")=0,"",_xlfn.XLOOKUP(TRIM(I1709),'SkillMasterSkill ID'!$C:$C,'SkillMasterSkill ID'!$E:$E,"")))</f>
        <v/>
      </c>
      <c r="G1709" t="s">
        <v>925</v>
      </c>
      <c r="H1709" s="42" t="s">
        <v>1207</v>
      </c>
      <c r="I1709" t="s">
        <v>861</v>
      </c>
      <c r="J1709" s="31" t="str">
        <f>IF(I1709="","",_xlfn.XLOOKUP(TRIM(I1709),'SkillMasterSkill ID'!$C:$C,'SkillMasterSkill ID'!$F:$F,"NOT FOUND",0))</f>
        <v>Competency related to message consistency that supports effective field/project leadership and execution.</v>
      </c>
      <c r="K1709" s="31" t="s">
        <v>792</v>
      </c>
      <c r="L1709" s="31">
        <v>2</v>
      </c>
    </row>
    <row r="1710" spans="1:12" ht="16.5" thickBot="1" x14ac:dyDescent="0.3">
      <c r="A1710" t="s">
        <v>1086</v>
      </c>
      <c r="B1710" s="63">
        <v>10302</v>
      </c>
      <c r="C1710" s="63" t="s">
        <v>797</v>
      </c>
      <c r="D1710" s="31">
        <v>5</v>
      </c>
      <c r="E1710" s="31" t="str">
        <f>IF(I1710="","",_xlfn.XLOOKUP(TRIM(I1710),'SkillMasterSkill ID'!$C:$C,'SkillMasterSkill ID'!$D:$D,"NOT FOUND",0))</f>
        <v>COMM</v>
      </c>
      <c r="F1710" s="46" t="str">
        <f>IF(I1710="","",IF(_xlfn.XLOOKUP(TRIM(I1710),'SkillMasterSkill ID'!$C:$C,'SkillMasterSkill ID'!$E:$E,"")=0,"",_xlfn.XLOOKUP(TRIM(I1710),'SkillMasterSkill ID'!$C:$C,'SkillMasterSkill ID'!$E:$E,"")))</f>
        <v/>
      </c>
      <c r="G1710" t="s">
        <v>925</v>
      </c>
      <c r="H1710" s="42" t="s">
        <v>1208</v>
      </c>
      <c r="I1710" t="s">
        <v>861</v>
      </c>
      <c r="J1710" s="31" t="str">
        <f>IF(I1710="","",_xlfn.XLOOKUP(TRIM(I1710),'SkillMasterSkill ID'!$C:$C,'SkillMasterSkill ID'!$F:$F,"NOT FOUND",0))</f>
        <v>Competency related to message consistency that supports effective field/project leadership and execution.</v>
      </c>
      <c r="K1710" s="31" t="s">
        <v>792</v>
      </c>
      <c r="L1710" s="31">
        <v>2</v>
      </c>
    </row>
    <row r="1711" spans="1:12" ht="16.5" thickBot="1" x14ac:dyDescent="0.3">
      <c r="A1711" t="s">
        <v>1088</v>
      </c>
      <c r="B1711" s="63">
        <v>10302</v>
      </c>
      <c r="C1711" s="63" t="s">
        <v>797</v>
      </c>
      <c r="D1711" s="50">
        <v>5</v>
      </c>
      <c r="E1711" s="50" t="str">
        <f>IF(I1711="","",_xlfn.XLOOKUP(TRIM(I1711),'SkillMasterSkill ID'!$C:$C,'SkillMasterSkill ID'!$D:$D,"NOT FOUND",0))</f>
        <v>PERF</v>
      </c>
      <c r="F1711" s="46" t="str">
        <f>IF(I1711="","",IF(_xlfn.XLOOKUP(TRIM(I1711),'SkillMasterSkill ID'!$C:$C,'SkillMasterSkill ID'!$E:$E,"")=0,"",_xlfn.XLOOKUP(TRIM(I1711),'SkillMasterSkill ID'!$C:$C,'SkillMasterSkill ID'!$E:$E,"")))</f>
        <v/>
      </c>
      <c r="G1711" s="11" t="s">
        <v>921</v>
      </c>
      <c r="H1711" s="42" t="s">
        <v>1186</v>
      </c>
      <c r="I1711" t="s">
        <v>848</v>
      </c>
      <c r="J1711" s="50" t="str">
        <f>IF(I1711="","",_xlfn.XLOOKUP(TRIM(I1711),'SkillMasterSkill ID'!$C:$C,'SkillMasterSkill ID'!$F:$F,"NOT FOUND",0))</f>
        <v>Competency related to milestone tracking that supports effective field/project leadership and execution.</v>
      </c>
      <c r="K1711" s="50" t="s">
        <v>792</v>
      </c>
      <c r="L1711" s="50">
        <v>2</v>
      </c>
    </row>
    <row r="1712" spans="1:12" ht="16.5" thickBot="1" x14ac:dyDescent="0.3">
      <c r="A1712" t="s">
        <v>1088</v>
      </c>
      <c r="B1712" s="63">
        <v>10302</v>
      </c>
      <c r="C1712" s="63" t="s">
        <v>797</v>
      </c>
      <c r="D1712" s="50">
        <v>5</v>
      </c>
      <c r="E1712" s="50" t="str">
        <f>IF(I1712="","",_xlfn.XLOOKUP(TRIM(I1712),'SkillMasterSkill ID'!$C:$C,'SkillMasterSkill ID'!$D:$D,"NOT FOUND",0))</f>
        <v>PERF</v>
      </c>
      <c r="F1712" s="46" t="str">
        <f>IF(I1712="","",IF(_xlfn.XLOOKUP(TRIM(I1712),'SkillMasterSkill ID'!$C:$C,'SkillMasterSkill ID'!$E:$E,"")=0,"",_xlfn.XLOOKUP(TRIM(I1712),'SkillMasterSkill ID'!$C:$C,'SkillMasterSkill ID'!$E:$E,"")))</f>
        <v/>
      </c>
      <c r="G1712" s="11" t="s">
        <v>921</v>
      </c>
      <c r="H1712" s="42" t="s">
        <v>1187</v>
      </c>
      <c r="I1712" t="s">
        <v>848</v>
      </c>
      <c r="J1712" s="50" t="str">
        <f>IF(I1712="","",_xlfn.XLOOKUP(TRIM(I1712),'SkillMasterSkill ID'!$C:$C,'SkillMasterSkill ID'!$F:$F,"NOT FOUND",0))</f>
        <v>Competency related to milestone tracking that supports effective field/project leadership and execution.</v>
      </c>
      <c r="K1712" s="50" t="s">
        <v>792</v>
      </c>
      <c r="L1712" s="50">
        <v>2</v>
      </c>
    </row>
    <row r="1713" spans="1:12" ht="16.5" thickBot="1" x14ac:dyDescent="0.3">
      <c r="A1713" t="s">
        <v>1090</v>
      </c>
      <c r="B1713" s="63">
        <v>10302</v>
      </c>
      <c r="C1713" s="63" t="s">
        <v>797</v>
      </c>
      <c r="D1713" s="31">
        <v>5</v>
      </c>
      <c r="E1713" s="31" t="str">
        <f>IF(I1713="","",_xlfn.XLOOKUP(TRIM(I1713),'SkillMasterSkill ID'!$C:$C,'SkillMasterSkill ID'!$D:$D,"NOT FOUND",0))</f>
        <v>LEAD</v>
      </c>
      <c r="F1713" s="46" t="str">
        <f>IF(I1713="","",IF(_xlfn.XLOOKUP(TRIM(I1713),'SkillMasterSkill ID'!$C:$C,'SkillMasterSkill ID'!$E:$E,"")=0,"",_xlfn.XLOOKUP(TRIM(I1713),'SkillMasterSkill ID'!$C:$C,'SkillMasterSkill ID'!$E:$E,"")))</f>
        <v/>
      </c>
      <c r="G1713" t="s">
        <v>925</v>
      </c>
      <c r="H1713" s="42" t="s">
        <v>1205</v>
      </c>
      <c r="I1713" t="s">
        <v>852</v>
      </c>
      <c r="J1713" s="31" t="str">
        <f>IF(I1713="","",_xlfn.XLOOKUP(TRIM(I1713),'SkillMasterSkill ID'!$C:$C,'SkillMasterSkill ID'!$F:$F,"NOT FOUND",0))</f>
        <v>Ability to coordinate resources and people (manpower, priorities, and workload) to keep work flowing efficiently.</v>
      </c>
      <c r="K1713" s="31" t="s">
        <v>792</v>
      </c>
      <c r="L1713" s="31">
        <v>2</v>
      </c>
    </row>
    <row r="1714" spans="1:12" ht="16.5" thickBot="1" x14ac:dyDescent="0.3">
      <c r="A1714" t="s">
        <v>1091</v>
      </c>
      <c r="B1714" s="63">
        <v>10302</v>
      </c>
      <c r="C1714" s="63" t="s">
        <v>797</v>
      </c>
      <c r="D1714" s="50">
        <v>5</v>
      </c>
      <c r="E1714" s="46" t="str">
        <f>IF(I1714="","",_xlfn.XLOOKUP(TRIM(I1714),'SkillMasterSkill ID'!$C:$C,'SkillMasterSkill ID'!$D:$D,"",0))</f>
        <v>PERF</v>
      </c>
      <c r="F1714" s="46" t="str">
        <f>IF(I1714="","",IF(_xlfn.XLOOKUP(TRIM(I1714),'SkillMasterSkill ID'!$C:$C,'SkillMasterSkill ID'!$E:$E,"")=0,"",_xlfn.XLOOKUP(TRIM(I1714),'SkillMasterSkill ID'!$C:$C,'SkillMasterSkill ID'!$E:$E,"")))</f>
        <v/>
      </c>
      <c r="G1714" s="50" t="s">
        <v>798</v>
      </c>
      <c r="H1714" s="51" t="s">
        <v>799</v>
      </c>
      <c r="I1714" t="s">
        <v>918</v>
      </c>
      <c r="J1714" s="50" t="str">
        <f>IF(I1714="","",_xlfn.XLOOKUP(TRIM(I1714),'SkillMasterSkill ID'!$C:$C,'SkillMasterSkill ID'!$F:$F,"NOT FOUND",0))</f>
        <v>Competency related to multi-project performance consistency that supports effective field/project leadership and execution.</v>
      </c>
      <c r="K1714" s="50" t="s">
        <v>795</v>
      </c>
      <c r="L1714" s="50">
        <v>2</v>
      </c>
    </row>
    <row r="1715" spans="1:12" ht="16.5" thickBot="1" x14ac:dyDescent="0.3">
      <c r="A1715" t="s">
        <v>1093</v>
      </c>
      <c r="B1715" s="63">
        <v>10302</v>
      </c>
      <c r="C1715" s="63" t="s">
        <v>797</v>
      </c>
      <c r="D1715" s="31">
        <v>5</v>
      </c>
      <c r="E1715" s="31" t="str">
        <f>IF(I1715="","",_xlfn.XLOOKUP(TRIM(I1715),'SkillMasterSkill ID'!$C:$C,'SkillMasterSkill ID'!$D:$D,"NOT FOUND",0))</f>
        <v>COLLAB</v>
      </c>
      <c r="F1715" s="46" t="str">
        <f>IF(I1715="","",IF(_xlfn.XLOOKUP(TRIM(I1715),'SkillMasterSkill ID'!$C:$C,'SkillMasterSkill ID'!$E:$E,"")=0,"",_xlfn.XLOOKUP(TRIM(I1715),'SkillMasterSkill ID'!$C:$C,'SkillMasterSkill ID'!$E:$E,"")))</f>
        <v/>
      </c>
      <c r="G1715" s="11" t="s">
        <v>921</v>
      </c>
      <c r="H1715" s="42" t="s">
        <v>1191</v>
      </c>
      <c r="I1715" t="s">
        <v>911</v>
      </c>
      <c r="J1715" s="31" t="str">
        <f>IF(I1715="","",_xlfn.XLOOKUP(TRIM(I1715),'SkillMasterSkill ID'!$C:$C,'SkillMasterSkill ID'!$F:$F,"NOT FOUND",0))</f>
        <v>Competency related to negotiation between trades that supports effective field/project leadership and execution.</v>
      </c>
      <c r="K1715" s="31" t="s">
        <v>792</v>
      </c>
      <c r="L1715" s="31">
        <v>2</v>
      </c>
    </row>
    <row r="1716" spans="1:12" ht="16.5" thickBot="1" x14ac:dyDescent="0.3">
      <c r="A1716" t="s">
        <v>1095</v>
      </c>
      <c r="B1716" s="63">
        <v>10302</v>
      </c>
      <c r="C1716" s="63" t="s">
        <v>797</v>
      </c>
      <c r="D1716" s="50">
        <v>5</v>
      </c>
      <c r="E1716" s="46" t="str">
        <f>IF(I1716="","",_xlfn.XLOOKUP(TRIM(I1716),'SkillMasterSkill ID'!$C:$C,'SkillMasterSkill ID'!$D:$D,"",0))</f>
        <v>PMGT</v>
      </c>
      <c r="F1716" s="46" t="str">
        <f>IF(I1716="","",IF(_xlfn.XLOOKUP(TRIM(I1716),'SkillMasterSkill ID'!$C:$C,'SkillMasterSkill ID'!$E:$E,"")=0,"",_xlfn.XLOOKUP(TRIM(I1716),'SkillMasterSkill ID'!$C:$C,'SkillMasterSkill ID'!$E:$E,"")))</f>
        <v/>
      </c>
      <c r="G1716" s="50" t="s">
        <v>798</v>
      </c>
      <c r="H1716" s="51" t="s">
        <v>799</v>
      </c>
      <c r="I1716" t="s">
        <v>939</v>
      </c>
      <c r="J1716" s="50" t="str">
        <f>IF(I1716="","",_xlfn.XLOOKUP(TRIM(I1716),'SkillMasterSkill ID'!$C:$C,'SkillMasterSkill ID'!$F:$F,"NOT FOUND",0))</f>
        <v>Competency related to pattern recognition across projects that supports effective field/project leadership and execution.</v>
      </c>
      <c r="K1716" s="50" t="s">
        <v>795</v>
      </c>
      <c r="L1716" s="50">
        <v>2</v>
      </c>
    </row>
    <row r="1717" spans="1:12" ht="16.5" thickBot="1" x14ac:dyDescent="0.3">
      <c r="A1717" t="s">
        <v>1095</v>
      </c>
      <c r="B1717" s="63">
        <v>10302</v>
      </c>
      <c r="C1717" s="63" t="s">
        <v>797</v>
      </c>
      <c r="D1717" s="50">
        <v>5</v>
      </c>
      <c r="E1717" s="46" t="str">
        <f>IF(I1717="","",_xlfn.XLOOKUP(TRIM(I1717),'SkillMasterSkill ID'!$C:$C,'SkillMasterSkill ID'!$D:$D,"",0))</f>
        <v>PMGT</v>
      </c>
      <c r="F1717" s="46" t="str">
        <f>IF(I1717="","",IF(_xlfn.XLOOKUP(TRIM(I1717),'SkillMasterSkill ID'!$C:$C,'SkillMasterSkill ID'!$E:$E,"")=0,"",_xlfn.XLOOKUP(TRIM(I1717),'SkillMasterSkill ID'!$C:$C,'SkillMasterSkill ID'!$E:$E,"")))</f>
        <v/>
      </c>
      <c r="G1717" s="50" t="s">
        <v>1181</v>
      </c>
      <c r="H1717" s="42" t="s">
        <v>938</v>
      </c>
      <c r="I1717" t="s">
        <v>939</v>
      </c>
      <c r="J1717" s="50" t="str">
        <f>IF(I1717="","",_xlfn.XLOOKUP(TRIM(I1717),'SkillMasterSkill ID'!$C:$C,'SkillMasterSkill ID'!$F:$F,"NOT FOUND",0))</f>
        <v>Competency related to pattern recognition across projects that supports effective field/project leadership and execution.</v>
      </c>
      <c r="K1717" s="50" t="s">
        <v>795</v>
      </c>
      <c r="L1717" s="50">
        <v>2</v>
      </c>
    </row>
    <row r="1718" spans="1:12" ht="16.5" thickBot="1" x14ac:dyDescent="0.3">
      <c r="A1718" t="s">
        <v>1095</v>
      </c>
      <c r="B1718" s="63">
        <v>10302</v>
      </c>
      <c r="C1718" s="63" t="s">
        <v>797</v>
      </c>
      <c r="D1718" s="50">
        <v>5</v>
      </c>
      <c r="E1718" s="46" t="str">
        <f>IF(I1718="","",_xlfn.XLOOKUP(TRIM(I1718),'SkillMasterSkill ID'!$C:$C,'SkillMasterSkill ID'!$D:$D,"",0))</f>
        <v>PMGT</v>
      </c>
      <c r="F1718" s="46" t="str">
        <f>IF(I1718="","",IF(_xlfn.XLOOKUP(TRIM(I1718),'SkillMasterSkill ID'!$C:$C,'SkillMasterSkill ID'!$E:$E,"")=0,"",_xlfn.XLOOKUP(TRIM(I1718),'SkillMasterSkill ID'!$C:$C,'SkillMasterSkill ID'!$E:$E,"")))</f>
        <v/>
      </c>
      <c r="G1718" s="50" t="s">
        <v>1181</v>
      </c>
      <c r="H1718" s="42" t="s">
        <v>938</v>
      </c>
      <c r="I1718" t="s">
        <v>939</v>
      </c>
      <c r="J1718" s="50" t="str">
        <f>IF(I1718="","",_xlfn.XLOOKUP(TRIM(I1718),'SkillMasterSkill ID'!$C:$C,'SkillMasterSkill ID'!$F:$F,"NOT FOUND",0))</f>
        <v>Competency related to pattern recognition across projects that supports effective field/project leadership and execution.</v>
      </c>
      <c r="K1718" s="27"/>
      <c r="L1718" s="27"/>
    </row>
    <row r="1719" spans="1:12" ht="16.5" thickBot="1" x14ac:dyDescent="0.3">
      <c r="A1719" t="s">
        <v>1097</v>
      </c>
      <c r="B1719" s="63">
        <v>10302</v>
      </c>
      <c r="C1719" s="63" t="s">
        <v>797</v>
      </c>
      <c r="D1719" s="50">
        <v>5</v>
      </c>
      <c r="E1719" s="46" t="str">
        <f>IF(I1719="","",_xlfn.XLOOKUP(TRIM(I1719),'SkillMasterSkill ID'!$C:$C,'SkillMasterSkill ID'!$D:$D,"",0))</f>
        <v>COACH</v>
      </c>
      <c r="F1719" s="46" t="str">
        <f>IF(I1719="","",IF(_xlfn.XLOOKUP(TRIM(I1719),'SkillMasterSkill ID'!$C:$C,'SkillMasterSkill ID'!$E:$E,"")=0,"",_xlfn.XLOOKUP(TRIM(I1719),'SkillMasterSkill ID'!$C:$C,'SkillMasterSkill ID'!$E:$E,"")))</f>
        <v/>
      </c>
      <c r="G1719" s="50" t="s">
        <v>1181</v>
      </c>
      <c r="H1719" s="42" t="s">
        <v>925</v>
      </c>
      <c r="I1719" t="s">
        <v>870</v>
      </c>
      <c r="J1719" s="50" t="str">
        <f>IF(I1719="","",_xlfn.XLOOKUP(TRIM(I1719),'SkillMasterSkill ID'!$C:$C,'SkillMasterSkill ID'!$F:$F,"NOT FOUND",0))</f>
        <v>Ability to coach and develop people through feedback, diagnosis, and follow-through to improve performance.</v>
      </c>
      <c r="K1719" s="50"/>
      <c r="L1719" s="50"/>
    </row>
    <row r="1720" spans="1:12" ht="16.5" thickBot="1" x14ac:dyDescent="0.3">
      <c r="A1720" t="s">
        <v>1097</v>
      </c>
      <c r="B1720" s="63">
        <v>10302</v>
      </c>
      <c r="C1720" s="63" t="s">
        <v>797</v>
      </c>
      <c r="D1720" s="50">
        <v>5</v>
      </c>
      <c r="E1720" s="46" t="str">
        <f>IF(I1720="","",_xlfn.XLOOKUP(TRIM(I1720),'SkillMasterSkill ID'!$C:$C,'SkillMasterSkill ID'!$D:$D,"",0))</f>
        <v>COACH</v>
      </c>
      <c r="F1720" s="46" t="str">
        <f>IF(I1720="","",IF(_xlfn.XLOOKUP(TRIM(I1720),'SkillMasterSkill ID'!$C:$C,'SkillMasterSkill ID'!$E:$E,"")=0,"",_xlfn.XLOOKUP(TRIM(I1720),'SkillMasterSkill ID'!$C:$C,'SkillMasterSkill ID'!$E:$E,"")))</f>
        <v/>
      </c>
      <c r="G1720" s="50" t="s">
        <v>1181</v>
      </c>
      <c r="H1720" s="42" t="s">
        <v>944</v>
      </c>
      <c r="I1720" t="s">
        <v>870</v>
      </c>
      <c r="J1720" s="50" t="str">
        <f>IF(I1720="","",_xlfn.XLOOKUP(TRIM(I1720),'SkillMasterSkill ID'!$C:$C,'SkillMasterSkill ID'!$F:$F,"NOT FOUND",0))</f>
        <v>Ability to coach and develop people through feedback, diagnosis, and follow-through to improve performance.</v>
      </c>
      <c r="K1720" s="50" t="s">
        <v>796</v>
      </c>
      <c r="L1720" s="50">
        <v>1</v>
      </c>
    </row>
    <row r="1721" spans="1:12" ht="16.5" thickBot="1" x14ac:dyDescent="0.3">
      <c r="A1721" t="s">
        <v>1097</v>
      </c>
      <c r="B1721" s="63">
        <v>10302</v>
      </c>
      <c r="C1721" s="63" t="s">
        <v>797</v>
      </c>
      <c r="D1721" s="50">
        <v>5</v>
      </c>
      <c r="E1721" s="46" t="str">
        <f>IF(I1721="","",_xlfn.XLOOKUP(TRIM(I1721),'SkillMasterSkill ID'!$C:$C,'SkillMasterSkill ID'!$D:$D,"",0))</f>
        <v>COACH</v>
      </c>
      <c r="F1721" s="46" t="str">
        <f>IF(I1721="","",IF(_xlfn.XLOOKUP(TRIM(I1721),'SkillMasterSkill ID'!$C:$C,'SkillMasterSkill ID'!$E:$E,"")=0,"",_xlfn.XLOOKUP(TRIM(I1721),'SkillMasterSkill ID'!$C:$C,'SkillMasterSkill ID'!$E:$E,"")))</f>
        <v/>
      </c>
      <c r="G1721" s="50" t="s">
        <v>1181</v>
      </c>
      <c r="H1721" s="42" t="s">
        <v>944</v>
      </c>
      <c r="I1721" t="s">
        <v>870</v>
      </c>
      <c r="J1721" s="50" t="str">
        <f>IF(I1721="","",_xlfn.XLOOKUP(TRIM(I1721),'SkillMasterSkill ID'!$C:$C,'SkillMasterSkill ID'!$F:$F,"NOT FOUND",0))</f>
        <v>Ability to coach and develop people through feedback, diagnosis, and follow-through to improve performance.</v>
      </c>
      <c r="K1721" s="27"/>
      <c r="L1721" s="27"/>
    </row>
    <row r="1722" spans="1:12" ht="16.5" thickBot="1" x14ac:dyDescent="0.3">
      <c r="A1722" t="s">
        <v>1098</v>
      </c>
      <c r="B1722" s="63">
        <v>10302</v>
      </c>
      <c r="C1722" s="63" t="s">
        <v>797</v>
      </c>
      <c r="D1722" s="50">
        <v>5</v>
      </c>
      <c r="E1722" s="46" t="str">
        <f>IF(I1722="","",_xlfn.XLOOKUP(TRIM(I1722),'SkillMasterSkill ID'!$C:$C,'SkillMasterSkill ID'!$D:$D,"",0))</f>
        <v>COACH</v>
      </c>
      <c r="F1722" s="46" t="str">
        <f>IF(I1722="","",IF(_xlfn.XLOOKUP(TRIM(I1722),'SkillMasterSkill ID'!$C:$C,'SkillMasterSkill ID'!$E:$E,"")=0,"",_xlfn.XLOOKUP(TRIM(I1722),'SkillMasterSkill ID'!$C:$C,'SkillMasterSkill ID'!$E:$E,"")))</f>
        <v/>
      </c>
      <c r="G1722" s="50" t="s">
        <v>1181</v>
      </c>
      <c r="H1722" s="42" t="s">
        <v>1173</v>
      </c>
      <c r="I1722" t="s">
        <v>886</v>
      </c>
      <c r="J1722" s="50" t="str">
        <f>IF(I1722="","",_xlfn.XLOOKUP(TRIM(I1722),'SkillMasterSkill ID'!$C:$C,'SkillMasterSkill ID'!$F:$F,"NOT FOUND",0))</f>
        <v>Competency related to performance diagnosis that supports effective field/project leadership and execution.</v>
      </c>
      <c r="K1722" s="50" t="s">
        <v>795</v>
      </c>
      <c r="L1722" s="50">
        <v>2</v>
      </c>
    </row>
    <row r="1723" spans="1:12" ht="16.5" thickBot="1" x14ac:dyDescent="0.3">
      <c r="A1723" t="s">
        <v>1098</v>
      </c>
      <c r="B1723" s="63">
        <v>10302</v>
      </c>
      <c r="C1723" s="63" t="s">
        <v>797</v>
      </c>
      <c r="D1723" s="50">
        <v>5</v>
      </c>
      <c r="E1723" s="46" t="str">
        <f>IF(I1723="","",_xlfn.XLOOKUP(TRIM(I1723),'SkillMasterSkill ID'!$C:$C,'SkillMasterSkill ID'!$D:$D,"",0))</f>
        <v>COACH</v>
      </c>
      <c r="F1723" s="46" t="str">
        <f>IF(I1723="","",IF(_xlfn.XLOOKUP(TRIM(I1723),'SkillMasterSkill ID'!$C:$C,'SkillMasterSkill ID'!$E:$E,"")=0,"",_xlfn.XLOOKUP(TRIM(I1723),'SkillMasterSkill ID'!$C:$C,'SkillMasterSkill ID'!$E:$E,"")))</f>
        <v/>
      </c>
      <c r="G1723" s="50" t="s">
        <v>1181</v>
      </c>
      <c r="H1723" s="42" t="s">
        <v>944</v>
      </c>
      <c r="I1723" t="s">
        <v>886</v>
      </c>
      <c r="J1723" s="50" t="str">
        <f>IF(I1723="","",_xlfn.XLOOKUP(TRIM(I1723),'SkillMasterSkill ID'!$C:$C,'SkillMasterSkill ID'!$F:$F,"NOT FOUND",0))</f>
        <v>Competency related to performance diagnosis that supports effective field/project leadership and execution.</v>
      </c>
      <c r="K1723" s="50" t="s">
        <v>795</v>
      </c>
      <c r="L1723" s="50">
        <v>2</v>
      </c>
    </row>
    <row r="1724" spans="1:12" ht="16.5" thickBot="1" x14ac:dyDescent="0.3">
      <c r="A1724" t="s">
        <v>1098</v>
      </c>
      <c r="B1724" s="63">
        <v>10302</v>
      </c>
      <c r="C1724" s="63" t="s">
        <v>797</v>
      </c>
      <c r="D1724" s="50">
        <v>5</v>
      </c>
      <c r="E1724" s="46" t="str">
        <f>IF(I1724="","",_xlfn.XLOOKUP(TRIM(I1724),'SkillMasterSkill ID'!$C:$C,'SkillMasterSkill ID'!$D:$D,"",0))</f>
        <v>COACH</v>
      </c>
      <c r="F1724" s="46" t="str">
        <f>IF(I1724="","",IF(_xlfn.XLOOKUP(TRIM(I1724),'SkillMasterSkill ID'!$C:$C,'SkillMasterSkill ID'!$E:$E,"")=0,"",_xlfn.XLOOKUP(TRIM(I1724),'SkillMasterSkill ID'!$C:$C,'SkillMasterSkill ID'!$E:$E,"")))</f>
        <v/>
      </c>
      <c r="G1724" s="50" t="s">
        <v>1181</v>
      </c>
      <c r="H1724" s="42" t="s">
        <v>1173</v>
      </c>
      <c r="I1724" t="s">
        <v>886</v>
      </c>
      <c r="J1724" s="50" t="str">
        <f>IF(I1724="","",_xlfn.XLOOKUP(TRIM(I1724),'SkillMasterSkill ID'!$C:$C,'SkillMasterSkill ID'!$F:$F,"NOT FOUND",0))</f>
        <v>Competency related to performance diagnosis that supports effective field/project leadership and execution.</v>
      </c>
      <c r="K1724" s="27"/>
      <c r="L1724" s="27"/>
    </row>
    <row r="1725" spans="1:12" ht="16.5" thickBot="1" x14ac:dyDescent="0.3">
      <c r="A1725" t="s">
        <v>1098</v>
      </c>
      <c r="B1725" s="63">
        <v>10302</v>
      </c>
      <c r="C1725" s="63" t="s">
        <v>797</v>
      </c>
      <c r="D1725" s="50">
        <v>5</v>
      </c>
      <c r="E1725" s="46" t="str">
        <f>IF(I1725="","",_xlfn.XLOOKUP(TRIM(I1725),'SkillMasterSkill ID'!$C:$C,'SkillMasterSkill ID'!$D:$D,"",0))</f>
        <v>COACH</v>
      </c>
      <c r="F1725" s="46" t="str">
        <f>IF(I1725="","",IF(_xlfn.XLOOKUP(TRIM(I1725),'SkillMasterSkill ID'!$C:$C,'SkillMasterSkill ID'!$E:$E,"")=0,"",_xlfn.XLOOKUP(TRIM(I1725),'SkillMasterSkill ID'!$C:$C,'SkillMasterSkill ID'!$E:$E,"")))</f>
        <v/>
      </c>
      <c r="G1725" s="50" t="s">
        <v>1181</v>
      </c>
      <c r="H1725" s="42" t="s">
        <v>944</v>
      </c>
      <c r="I1725" t="s">
        <v>886</v>
      </c>
      <c r="J1725" s="50" t="str">
        <f>IF(I1725="","",_xlfn.XLOOKUP(TRIM(I1725),'SkillMasterSkill ID'!$C:$C,'SkillMasterSkill ID'!$F:$F,"NOT FOUND",0))</f>
        <v>Competency related to performance diagnosis that supports effective field/project leadership and execution.</v>
      </c>
      <c r="K1725" s="27"/>
      <c r="L1725" s="27"/>
    </row>
    <row r="1726" spans="1:12" ht="16.5" thickBot="1" x14ac:dyDescent="0.3">
      <c r="A1726" t="s">
        <v>1098</v>
      </c>
      <c r="B1726" s="63">
        <v>10302</v>
      </c>
      <c r="C1726" s="63" t="s">
        <v>797</v>
      </c>
      <c r="D1726" s="31">
        <v>5</v>
      </c>
      <c r="E1726" s="31" t="str">
        <f>IF(I1726="","",_xlfn.XLOOKUP(TRIM(I1726),'SkillMasterSkill ID'!$C:$C,'SkillMasterSkill ID'!$D:$D,"NOT FOUND",0))</f>
        <v>COACH</v>
      </c>
      <c r="F1726" s="46" t="str">
        <f>IF(I1726="","",IF(_xlfn.XLOOKUP(TRIM(I1726),'SkillMasterSkill ID'!$C:$C,'SkillMasterSkill ID'!$E:$E,"")=0,"",_xlfn.XLOOKUP(TRIM(I1726),'SkillMasterSkill ID'!$C:$C,'SkillMasterSkill ID'!$E:$E,"")))</f>
        <v/>
      </c>
      <c r="G1726" t="s">
        <v>925</v>
      </c>
      <c r="H1726" s="42" t="s">
        <v>1200</v>
      </c>
      <c r="I1726" t="s">
        <v>886</v>
      </c>
      <c r="J1726" s="31" t="str">
        <f>IF(I1726="","",_xlfn.XLOOKUP(TRIM(I1726),'SkillMasterSkill ID'!$C:$C,'SkillMasterSkill ID'!$F:$F,"NOT FOUND",0))</f>
        <v>Competency related to performance diagnosis that supports effective field/project leadership and execution.</v>
      </c>
      <c r="K1726" s="31" t="s">
        <v>792</v>
      </c>
      <c r="L1726" s="31">
        <v>2</v>
      </c>
    </row>
    <row r="1727" spans="1:12" ht="16.5" thickBot="1" x14ac:dyDescent="0.3">
      <c r="A1727" t="s">
        <v>1098</v>
      </c>
      <c r="B1727" s="63">
        <v>10302</v>
      </c>
      <c r="C1727" s="63" t="s">
        <v>797</v>
      </c>
      <c r="D1727" s="31">
        <v>5</v>
      </c>
      <c r="E1727" s="31" t="str">
        <f>IF(I1727="","",_xlfn.XLOOKUP(TRIM(I1727),'SkillMasterSkill ID'!$C:$C,'SkillMasterSkill ID'!$D:$D,"NOT FOUND",0))</f>
        <v>COACH</v>
      </c>
      <c r="F1727" s="46" t="str">
        <f>IF(I1727="","",IF(_xlfn.XLOOKUP(TRIM(I1727),'SkillMasterSkill ID'!$C:$C,'SkillMasterSkill ID'!$E:$E,"")=0,"",_xlfn.XLOOKUP(TRIM(I1727),'SkillMasterSkill ID'!$C:$C,'SkillMasterSkill ID'!$E:$E,"")))</f>
        <v/>
      </c>
      <c r="G1727" t="s">
        <v>925</v>
      </c>
      <c r="H1727" s="42" t="s">
        <v>1206</v>
      </c>
      <c r="I1727" t="s">
        <v>886</v>
      </c>
      <c r="J1727" s="31" t="str">
        <f>IF(I1727="","",_xlfn.XLOOKUP(TRIM(I1727),'SkillMasterSkill ID'!$C:$C,'SkillMasterSkill ID'!$F:$F,"NOT FOUND",0))</f>
        <v>Competency related to performance diagnosis that supports effective field/project leadership and execution.</v>
      </c>
      <c r="K1727" s="31" t="s">
        <v>792</v>
      </c>
      <c r="L1727" s="31">
        <v>2</v>
      </c>
    </row>
    <row r="1728" spans="1:12" ht="16.5" thickBot="1" x14ac:dyDescent="0.3">
      <c r="A1728" t="s">
        <v>1100</v>
      </c>
      <c r="B1728" s="63">
        <v>10302</v>
      </c>
      <c r="C1728" s="63" t="s">
        <v>797</v>
      </c>
      <c r="D1728" s="50">
        <v>5</v>
      </c>
      <c r="E1728" s="46" t="str">
        <f>IF(I1728="","",_xlfn.XLOOKUP(TRIM(I1728),'SkillMasterSkill ID'!$C:$C,'SkillMasterSkill ID'!$D:$D,"",0))</f>
        <v>OVST</v>
      </c>
      <c r="F1728" s="46" t="str">
        <f>IF(I1728="","",IF(_xlfn.XLOOKUP(TRIM(I1728),'SkillMasterSkill ID'!$C:$C,'SkillMasterSkill ID'!$E:$E,"")=0,"",_xlfn.XLOOKUP(TRIM(I1728),'SkillMasterSkill ID'!$C:$C,'SkillMasterSkill ID'!$E:$E,"")))</f>
        <v/>
      </c>
      <c r="G1728" s="50" t="s">
        <v>1181</v>
      </c>
      <c r="H1728" s="42" t="s">
        <v>938</v>
      </c>
      <c r="I1728" t="s">
        <v>882</v>
      </c>
      <c r="J1728" s="50" t="str">
        <f>IF(I1728="","",_xlfn.XLOOKUP(TRIM(I1728),'SkillMasterSkill ID'!$C:$C,'SkillMasterSkill ID'!$F:$F,"NOT FOUND",0))</f>
        <v>Ability to analyze performance and trends, evaluate execution quality, and identify issues early for action.</v>
      </c>
      <c r="K1728" s="50" t="s">
        <v>796</v>
      </c>
      <c r="L1728" s="50">
        <v>1</v>
      </c>
    </row>
    <row r="1729" spans="1:12" ht="16.5" thickBot="1" x14ac:dyDescent="0.3">
      <c r="A1729" t="s">
        <v>1100</v>
      </c>
      <c r="B1729" s="63">
        <v>10302</v>
      </c>
      <c r="C1729" s="63" t="s">
        <v>797</v>
      </c>
      <c r="D1729" s="50">
        <v>5</v>
      </c>
      <c r="E1729" s="46" t="str">
        <f>IF(I1729="","",_xlfn.XLOOKUP(TRIM(I1729),'SkillMasterSkill ID'!$C:$C,'SkillMasterSkill ID'!$D:$D,"",0))</f>
        <v>OVST</v>
      </c>
      <c r="F1729" s="46" t="str">
        <f>IF(I1729="","",IF(_xlfn.XLOOKUP(TRIM(I1729),'SkillMasterSkill ID'!$C:$C,'SkillMasterSkill ID'!$E:$E,"")=0,"",_xlfn.XLOOKUP(TRIM(I1729),'SkillMasterSkill ID'!$C:$C,'SkillMasterSkill ID'!$E:$E,"")))</f>
        <v/>
      </c>
      <c r="G1729" s="50" t="s">
        <v>1181</v>
      </c>
      <c r="H1729" s="42" t="s">
        <v>941</v>
      </c>
      <c r="I1729" t="s">
        <v>882</v>
      </c>
      <c r="J1729" s="50" t="str">
        <f>IF(I1729="","",_xlfn.XLOOKUP(TRIM(I1729),'SkillMasterSkill ID'!$C:$C,'SkillMasterSkill ID'!$F:$F,"NOT FOUND",0))</f>
        <v>Ability to analyze performance and trends, evaluate execution quality, and identify issues early for action.</v>
      </c>
      <c r="K1729" s="50" t="s">
        <v>795</v>
      </c>
      <c r="L1729" s="50">
        <v>2</v>
      </c>
    </row>
    <row r="1730" spans="1:12" ht="16.5" thickBot="1" x14ac:dyDescent="0.3">
      <c r="A1730" t="s">
        <v>1100</v>
      </c>
      <c r="B1730" s="63">
        <v>10302</v>
      </c>
      <c r="C1730" s="63" t="s">
        <v>797</v>
      </c>
      <c r="D1730" s="50">
        <v>5</v>
      </c>
      <c r="E1730" s="46" t="str">
        <f>IF(I1730="","",_xlfn.XLOOKUP(TRIM(I1730),'SkillMasterSkill ID'!$C:$C,'SkillMasterSkill ID'!$D:$D,"",0))</f>
        <v>OVST</v>
      </c>
      <c r="F1730" s="46" t="str">
        <f>IF(I1730="","",IF(_xlfn.XLOOKUP(TRIM(I1730),'SkillMasterSkill ID'!$C:$C,'SkillMasterSkill ID'!$E:$E,"")=0,"",_xlfn.XLOOKUP(TRIM(I1730),'SkillMasterSkill ID'!$C:$C,'SkillMasterSkill ID'!$E:$E,"")))</f>
        <v/>
      </c>
      <c r="G1730" s="50" t="s">
        <v>1181</v>
      </c>
      <c r="H1730" s="42" t="s">
        <v>938</v>
      </c>
      <c r="I1730" t="s">
        <v>882</v>
      </c>
      <c r="J1730" s="50" t="str">
        <f>IF(I1730="","",_xlfn.XLOOKUP(TRIM(I1730),'SkillMasterSkill ID'!$C:$C,'SkillMasterSkill ID'!$F:$F,"NOT FOUND",0))</f>
        <v>Ability to analyze performance and trends, evaluate execution quality, and identify issues early for action.</v>
      </c>
      <c r="K1730" s="27"/>
      <c r="L1730" s="27"/>
    </row>
    <row r="1731" spans="1:12" ht="16.5" thickBot="1" x14ac:dyDescent="0.3">
      <c r="A1731" t="s">
        <v>1100</v>
      </c>
      <c r="B1731" s="63">
        <v>10302</v>
      </c>
      <c r="C1731" s="63" t="s">
        <v>797</v>
      </c>
      <c r="D1731" s="50">
        <v>5</v>
      </c>
      <c r="E1731" s="46" t="str">
        <f>IF(I1731="","",_xlfn.XLOOKUP(TRIM(I1731),'SkillMasterSkill ID'!$C:$C,'SkillMasterSkill ID'!$D:$D,"",0))</f>
        <v>OVST</v>
      </c>
      <c r="F1731" s="46" t="str">
        <f>IF(I1731="","",IF(_xlfn.XLOOKUP(TRIM(I1731),'SkillMasterSkill ID'!$C:$C,'SkillMasterSkill ID'!$E:$E,"")=0,"",_xlfn.XLOOKUP(TRIM(I1731),'SkillMasterSkill ID'!$C:$C,'SkillMasterSkill ID'!$E:$E,"")))</f>
        <v/>
      </c>
      <c r="G1731" s="50" t="s">
        <v>1181</v>
      </c>
      <c r="H1731" s="42" t="s">
        <v>941</v>
      </c>
      <c r="I1731" t="s">
        <v>882</v>
      </c>
      <c r="J1731" s="50" t="str">
        <f>IF(I1731="","",_xlfn.XLOOKUP(TRIM(I1731),'SkillMasterSkill ID'!$C:$C,'SkillMasterSkill ID'!$F:$F,"NOT FOUND",0))</f>
        <v>Ability to analyze performance and trends, evaluate execution quality, and identify issues early for action.</v>
      </c>
      <c r="K1731" s="27"/>
      <c r="L1731" s="27"/>
    </row>
    <row r="1732" spans="1:12" ht="16.5" thickBot="1" x14ac:dyDescent="0.3">
      <c r="A1732" t="s">
        <v>1100</v>
      </c>
      <c r="B1732" s="63">
        <v>10302</v>
      </c>
      <c r="C1732" s="63" t="s">
        <v>797</v>
      </c>
      <c r="D1732" s="31">
        <v>5</v>
      </c>
      <c r="E1732" s="31" t="str">
        <f>IF(I1732="","",_xlfn.XLOOKUP(TRIM(I1732),'SkillMasterSkill ID'!$C:$C,'SkillMasterSkill ID'!$D:$D,"NOT FOUND",0))</f>
        <v>OVST</v>
      </c>
      <c r="F1732" s="46" t="str">
        <f>IF(I1732="","",IF(_xlfn.XLOOKUP(TRIM(I1732),'SkillMasterSkill ID'!$C:$C,'SkillMasterSkill ID'!$E:$E,"")=0,"",_xlfn.XLOOKUP(TRIM(I1732),'SkillMasterSkill ID'!$C:$C,'SkillMasterSkill ID'!$E:$E,"")))</f>
        <v/>
      </c>
      <c r="G1732" t="s">
        <v>925</v>
      </c>
      <c r="H1732" s="42" t="s">
        <v>1196</v>
      </c>
      <c r="I1732" t="s">
        <v>882</v>
      </c>
      <c r="J1732" s="31" t="str">
        <f>IF(I1732="","",_xlfn.XLOOKUP(TRIM(I1732),'SkillMasterSkill ID'!$C:$C,'SkillMasterSkill ID'!$F:$F,"NOT FOUND",0))</f>
        <v>Ability to analyze performance and trends, evaluate execution quality, and identify issues early for action.</v>
      </c>
      <c r="K1732" s="31" t="s">
        <v>792</v>
      </c>
      <c r="L1732" s="31">
        <v>2</v>
      </c>
    </row>
    <row r="1733" spans="1:12" ht="16.5" thickBot="1" x14ac:dyDescent="0.3">
      <c r="A1733" t="s">
        <v>1100</v>
      </c>
      <c r="B1733" s="63">
        <v>10302</v>
      </c>
      <c r="C1733" s="63" t="s">
        <v>797</v>
      </c>
      <c r="D1733" s="31">
        <v>5</v>
      </c>
      <c r="E1733" s="31" t="str">
        <f>IF(I1733="","",_xlfn.XLOOKUP(TRIM(I1733),'SkillMasterSkill ID'!$C:$C,'SkillMasterSkill ID'!$D:$D,"NOT FOUND",0))</f>
        <v>OVST</v>
      </c>
      <c r="F1733" s="46" t="str">
        <f>IF(I1733="","",IF(_xlfn.XLOOKUP(TRIM(I1733),'SkillMasterSkill ID'!$C:$C,'SkillMasterSkill ID'!$E:$E,"")=0,"",_xlfn.XLOOKUP(TRIM(I1733),'SkillMasterSkill ID'!$C:$C,'SkillMasterSkill ID'!$E:$E,"")))</f>
        <v/>
      </c>
      <c r="G1733" t="s">
        <v>925</v>
      </c>
      <c r="H1733" s="42" t="s">
        <v>1206</v>
      </c>
      <c r="I1733" t="s">
        <v>882</v>
      </c>
      <c r="J1733" s="31" t="str">
        <f>IF(I1733="","",_xlfn.XLOOKUP(TRIM(I1733),'SkillMasterSkill ID'!$C:$C,'SkillMasterSkill ID'!$F:$F,"NOT FOUND",0))</f>
        <v>Ability to analyze performance and trends, evaluate execution quality, and identify issues early for action.</v>
      </c>
      <c r="K1733" s="31" t="s">
        <v>792</v>
      </c>
      <c r="L1733" s="31">
        <v>2</v>
      </c>
    </row>
    <row r="1734" spans="1:12" ht="16.5" thickBot="1" x14ac:dyDescent="0.3">
      <c r="A1734" t="s">
        <v>1101</v>
      </c>
      <c r="B1734" s="63">
        <v>10302</v>
      </c>
      <c r="C1734" s="63" t="s">
        <v>797</v>
      </c>
      <c r="D1734" s="50">
        <v>5</v>
      </c>
      <c r="E1734" s="46" t="str">
        <f>IF(I1734="","",_xlfn.XLOOKUP(TRIM(I1734),'SkillMasterSkill ID'!$C:$C,'SkillMasterSkill ID'!$D:$D,"",0))</f>
        <v>LEAD</v>
      </c>
      <c r="F1734" s="46" t="str">
        <f>IF(I1734="","",IF(_xlfn.XLOOKUP(TRIM(I1734),'SkillMasterSkill ID'!$C:$C,'SkillMasterSkill ID'!$E:$E,"")=0,"",_xlfn.XLOOKUP(TRIM(I1734),'SkillMasterSkill ID'!$C:$C,'SkillMasterSkill ID'!$E:$E,"")))</f>
        <v/>
      </c>
      <c r="G1734" s="50" t="s">
        <v>1181</v>
      </c>
      <c r="H1734" s="42" t="s">
        <v>941</v>
      </c>
      <c r="I1734" t="s">
        <v>875</v>
      </c>
      <c r="J1734" s="50" t="str">
        <f>IF(I1734="","",_xlfn.XLOOKUP(TRIM(I1734),'SkillMasterSkill ID'!$C:$C,'SkillMasterSkill ID'!$F:$F,"NOT FOUND",0))</f>
        <v>Competency related to performance standards definition that supports effective field/project leadership and execution.</v>
      </c>
      <c r="K1734" s="50" t="s">
        <v>795</v>
      </c>
      <c r="L1734" s="50">
        <v>2</v>
      </c>
    </row>
    <row r="1735" spans="1:12" ht="16.5" thickBot="1" x14ac:dyDescent="0.3">
      <c r="A1735" t="s">
        <v>1101</v>
      </c>
      <c r="B1735" s="63">
        <v>10302</v>
      </c>
      <c r="C1735" s="63" t="s">
        <v>797</v>
      </c>
      <c r="D1735" s="50">
        <v>5</v>
      </c>
      <c r="E1735" s="46" t="str">
        <f>IF(I1735="","",_xlfn.XLOOKUP(TRIM(I1735),'SkillMasterSkill ID'!$C:$C,'SkillMasterSkill ID'!$D:$D,"",0))</f>
        <v>LEAD</v>
      </c>
      <c r="F1735" s="46" t="str">
        <f>IF(I1735="","",IF(_xlfn.XLOOKUP(TRIM(I1735),'SkillMasterSkill ID'!$C:$C,'SkillMasterSkill ID'!$E:$E,"")=0,"",_xlfn.XLOOKUP(TRIM(I1735),'SkillMasterSkill ID'!$C:$C,'SkillMasterSkill ID'!$E:$E,"")))</f>
        <v/>
      </c>
      <c r="G1735" s="50" t="s">
        <v>1181</v>
      </c>
      <c r="H1735" s="42" t="s">
        <v>941</v>
      </c>
      <c r="I1735" t="s">
        <v>875</v>
      </c>
      <c r="J1735" s="50" t="str">
        <f>IF(I1735="","",_xlfn.XLOOKUP(TRIM(I1735),'SkillMasterSkill ID'!$C:$C,'SkillMasterSkill ID'!$F:$F,"NOT FOUND",0))</f>
        <v>Competency related to performance standards definition that supports effective field/project leadership and execution.</v>
      </c>
      <c r="K1735" s="27"/>
      <c r="L1735" s="27"/>
    </row>
    <row r="1736" spans="1:12" ht="16.5" thickBot="1" x14ac:dyDescent="0.3">
      <c r="A1736" t="s">
        <v>1101</v>
      </c>
      <c r="B1736" s="63">
        <v>10302</v>
      </c>
      <c r="C1736" s="63" t="s">
        <v>797</v>
      </c>
      <c r="D1736" s="31">
        <v>5</v>
      </c>
      <c r="E1736" s="31" t="str">
        <f>IF(I1736="","",_xlfn.XLOOKUP(TRIM(I1736),'SkillMasterSkill ID'!$C:$C,'SkillMasterSkill ID'!$D:$D,"NOT FOUND",0))</f>
        <v>LEAD</v>
      </c>
      <c r="F1736" s="46" t="str">
        <f>IF(I1736="","",IF(_xlfn.XLOOKUP(TRIM(I1736),'SkillMasterSkill ID'!$C:$C,'SkillMasterSkill ID'!$E:$E,"")=0,"",_xlfn.XLOOKUP(TRIM(I1736),'SkillMasterSkill ID'!$C:$C,'SkillMasterSkill ID'!$E:$E,"")))</f>
        <v/>
      </c>
      <c r="G1736" t="s">
        <v>925</v>
      </c>
      <c r="H1736" s="42" t="s">
        <v>1195</v>
      </c>
      <c r="I1736" t="s">
        <v>875</v>
      </c>
      <c r="J1736" s="31" t="str">
        <f>IF(I1736="","",_xlfn.XLOOKUP(TRIM(I1736),'SkillMasterSkill ID'!$C:$C,'SkillMasterSkill ID'!$F:$F,"NOT FOUND",0))</f>
        <v>Competency related to performance standards definition that supports effective field/project leadership and execution.</v>
      </c>
      <c r="K1736" s="31" t="s">
        <v>792</v>
      </c>
      <c r="L1736" s="31">
        <v>2</v>
      </c>
    </row>
    <row r="1737" spans="1:12" ht="16.5" thickBot="1" x14ac:dyDescent="0.3">
      <c r="A1737" t="s">
        <v>1103</v>
      </c>
      <c r="B1737" s="63">
        <v>10302</v>
      </c>
      <c r="C1737" s="63" t="s">
        <v>797</v>
      </c>
      <c r="D1737" s="50">
        <v>5</v>
      </c>
      <c r="E1737" s="46" t="str">
        <f>IF(I1737="","",_xlfn.XLOOKUP(TRIM(I1737),'SkillMasterSkill ID'!$C:$C,'SkillMasterSkill ID'!$D:$D,"",0))</f>
        <v>PERF</v>
      </c>
      <c r="F1737" s="46" t="str">
        <f>IF(I1737="","",IF(_xlfn.XLOOKUP(TRIM(I1737),'SkillMasterSkill ID'!$C:$C,'SkillMasterSkill ID'!$E:$E,"")=0,"",_xlfn.XLOOKUP(TRIM(I1737),'SkillMasterSkill ID'!$C:$C,'SkillMasterSkill ID'!$E:$E,"")))</f>
        <v/>
      </c>
      <c r="G1737" s="50" t="s">
        <v>798</v>
      </c>
      <c r="H1737" s="51" t="s">
        <v>799</v>
      </c>
      <c r="I1737" t="s">
        <v>920</v>
      </c>
      <c r="J1737" s="50" t="str">
        <f>IF(I1737="","",_xlfn.XLOOKUP(TRIM(I1737),'SkillMasterSkill ID'!$C:$C,'SkillMasterSkill ID'!$F:$F,"NOT FOUND",0))</f>
        <v>Ability to analyze performance and trends, evaluate execution quality, and identify issues early for action.</v>
      </c>
      <c r="K1737" s="50" t="s">
        <v>795</v>
      </c>
      <c r="L1737" s="50">
        <v>2</v>
      </c>
    </row>
    <row r="1738" spans="1:12" ht="16.5" thickBot="1" x14ac:dyDescent="0.3">
      <c r="A1738" t="s">
        <v>1103</v>
      </c>
      <c r="B1738" s="63">
        <v>10302</v>
      </c>
      <c r="C1738" s="63" t="s">
        <v>797</v>
      </c>
      <c r="D1738" s="50">
        <v>5</v>
      </c>
      <c r="E1738" s="46" t="str">
        <f>IF(I1738="","",_xlfn.XLOOKUP(TRIM(I1738),'SkillMasterSkill ID'!$C:$C,'SkillMasterSkill ID'!$D:$D,"",0))</f>
        <v>PERF</v>
      </c>
      <c r="F1738" s="46" t="str">
        <f>IF(I1738="","",IF(_xlfn.XLOOKUP(TRIM(I1738),'SkillMasterSkill ID'!$C:$C,'SkillMasterSkill ID'!$E:$E,"")=0,"",_xlfn.XLOOKUP(TRIM(I1738),'SkillMasterSkill ID'!$C:$C,'SkillMasterSkill ID'!$E:$E,"")))</f>
        <v/>
      </c>
      <c r="G1738" s="50" t="s">
        <v>1181</v>
      </c>
      <c r="H1738" s="42" t="s">
        <v>938</v>
      </c>
      <c r="I1738" t="s">
        <v>920</v>
      </c>
      <c r="J1738" s="50" t="str">
        <f>IF(I1738="","",_xlfn.XLOOKUP(TRIM(I1738),'SkillMasterSkill ID'!$C:$C,'SkillMasterSkill ID'!$F:$F,"NOT FOUND",0))</f>
        <v>Ability to analyze performance and trends, evaluate execution quality, and identify issues early for action.</v>
      </c>
      <c r="K1738" s="50" t="s">
        <v>796</v>
      </c>
      <c r="L1738" s="50">
        <v>1</v>
      </c>
    </row>
    <row r="1739" spans="1:12" ht="16.5" thickBot="1" x14ac:dyDescent="0.3">
      <c r="A1739" t="s">
        <v>1103</v>
      </c>
      <c r="B1739" s="63">
        <v>10302</v>
      </c>
      <c r="C1739" s="63" t="s">
        <v>797</v>
      </c>
      <c r="D1739" s="50">
        <v>5</v>
      </c>
      <c r="E1739" s="46" t="str">
        <f>IF(I1739="","",_xlfn.XLOOKUP(TRIM(I1739),'SkillMasterSkill ID'!$C:$C,'SkillMasterSkill ID'!$D:$D,"",0))</f>
        <v>PERF</v>
      </c>
      <c r="F1739" s="46" t="str">
        <f>IF(I1739="","",IF(_xlfn.XLOOKUP(TRIM(I1739),'SkillMasterSkill ID'!$C:$C,'SkillMasterSkill ID'!$E:$E,"")=0,"",_xlfn.XLOOKUP(TRIM(I1739),'SkillMasterSkill ID'!$C:$C,'SkillMasterSkill ID'!$E:$E,"")))</f>
        <v/>
      </c>
      <c r="G1739" s="50" t="s">
        <v>1181</v>
      </c>
      <c r="H1739" s="42" t="s">
        <v>938</v>
      </c>
      <c r="I1739" t="s">
        <v>920</v>
      </c>
      <c r="J1739" s="50" t="str">
        <f>IF(I1739="","",_xlfn.XLOOKUP(TRIM(I1739),'SkillMasterSkill ID'!$C:$C,'SkillMasterSkill ID'!$F:$F,"NOT FOUND",0))</f>
        <v>Ability to analyze performance and trends, evaluate execution quality, and identify issues early for action.</v>
      </c>
      <c r="K1739" s="27"/>
      <c r="L1739" s="27"/>
    </row>
    <row r="1740" spans="1:12" ht="16.5" thickBot="1" x14ac:dyDescent="0.3">
      <c r="A1740" t="s">
        <v>1103</v>
      </c>
      <c r="B1740" s="63">
        <v>10302</v>
      </c>
      <c r="C1740" s="63" t="s">
        <v>797</v>
      </c>
      <c r="D1740" s="50">
        <v>5</v>
      </c>
      <c r="E1740" s="46" t="str">
        <f>IF(I1740="","",_xlfn.XLOOKUP(TRIM(I1740),'SkillMasterSkill ID'!$C:$C,'SkillMasterSkill ID'!$D:$D,"NOT FOUND",0))</f>
        <v>PERF</v>
      </c>
      <c r="F1740" s="46" t="str">
        <f>IF(I1740="","",IF(_xlfn.XLOOKUP(TRIM(I1740),'SkillMasterSkill ID'!$C:$C,'SkillMasterSkill ID'!$E:$E,"")=0,"",_xlfn.XLOOKUP(TRIM(I1740),'SkillMasterSkill ID'!$C:$C,'SkillMasterSkill ID'!$E:$E,"")))</f>
        <v/>
      </c>
      <c r="G1740" s="11" t="s">
        <v>921</v>
      </c>
      <c r="H1740" s="42" t="s">
        <v>1183</v>
      </c>
      <c r="I1740" t="s">
        <v>920</v>
      </c>
      <c r="J1740" s="50" t="str">
        <f>IF(I1740="","",_xlfn.XLOOKUP(TRIM(I1740),'SkillMasterSkill ID'!$C:$C,'SkillMasterSkill ID'!$F:$F,"NOT FOUND",0))</f>
        <v>Ability to analyze performance and trends, evaluate execution quality, and identify issues early for action.</v>
      </c>
      <c r="K1740" s="27"/>
      <c r="L1740" s="27"/>
    </row>
    <row r="1741" spans="1:12" ht="16.5" thickBot="1" x14ac:dyDescent="0.3">
      <c r="A1741" t="s">
        <v>1103</v>
      </c>
      <c r="B1741" s="63">
        <v>10302</v>
      </c>
      <c r="C1741" s="63" t="s">
        <v>797</v>
      </c>
      <c r="D1741" s="31">
        <v>5</v>
      </c>
      <c r="E1741" s="31" t="str">
        <f>IF(I1741="","",_xlfn.XLOOKUP(TRIM(I1741),'SkillMasterSkill ID'!$C:$C,'SkillMasterSkill ID'!$D:$D,"NOT FOUND",0))</f>
        <v>PERF</v>
      </c>
      <c r="F1741" s="46" t="str">
        <f>IF(I1741="","",IF(_xlfn.XLOOKUP(TRIM(I1741),'SkillMasterSkill ID'!$C:$C,'SkillMasterSkill ID'!$E:$E,"")=0,"",_xlfn.XLOOKUP(TRIM(I1741),'SkillMasterSkill ID'!$C:$C,'SkillMasterSkill ID'!$E:$E,"")))</f>
        <v/>
      </c>
      <c r="G1741" t="s">
        <v>925</v>
      </c>
      <c r="H1741" s="42" t="s">
        <v>1199</v>
      </c>
      <c r="I1741" t="s">
        <v>920</v>
      </c>
      <c r="J1741" s="31" t="str">
        <f>IF(I1741="","",_xlfn.XLOOKUP(TRIM(I1741),'SkillMasterSkill ID'!$C:$C,'SkillMasterSkill ID'!$F:$F,"NOT FOUND",0))</f>
        <v>Ability to analyze performance and trends, evaluate execution quality, and identify issues early for action.</v>
      </c>
      <c r="K1741" s="31" t="s">
        <v>792</v>
      </c>
      <c r="L1741" s="31">
        <v>2</v>
      </c>
    </row>
    <row r="1742" spans="1:12" ht="16.5" thickBot="1" x14ac:dyDescent="0.3">
      <c r="A1742" t="s">
        <v>1104</v>
      </c>
      <c r="B1742" s="63">
        <v>10302</v>
      </c>
      <c r="C1742" s="63" t="s">
        <v>797</v>
      </c>
      <c r="D1742" s="31">
        <v>5</v>
      </c>
      <c r="E1742" s="31" t="str">
        <f>IF(I1742="","",_xlfn.XLOOKUP(TRIM(I1742),'SkillMasterSkill ID'!$C:$C,'SkillMasterSkill ID'!$D:$D,"NOT FOUND",0))</f>
        <v>PLAN</v>
      </c>
      <c r="F1742" s="46" t="str">
        <f>IF(I1742="","",IF(_xlfn.XLOOKUP(TRIM(I1742),'SkillMasterSkill ID'!$C:$C,'SkillMasterSkill ID'!$E:$E,"")=0,"",_xlfn.XLOOKUP(TRIM(I1742),'SkillMasterSkill ID'!$C:$C,'SkillMasterSkill ID'!$E:$E,"")))</f>
        <v/>
      </c>
      <c r="G1742" s="11" t="s">
        <v>921</v>
      </c>
      <c r="H1742" s="42" t="s">
        <v>1188</v>
      </c>
      <c r="I1742" t="s">
        <v>834</v>
      </c>
      <c r="J1742" s="31" t="str">
        <f>IF(I1742="","",_xlfn.XLOOKUP(TRIM(I1742),'SkillMasterSkill ID'!$C:$C,'SkillMasterSkill ID'!$F:$F,"NOT FOUND",0))</f>
        <v>Ability to plan and sequence work effectively, using schedules, constraints, and lookahead thinking to meet targets.</v>
      </c>
      <c r="K1742" s="31" t="s">
        <v>792</v>
      </c>
      <c r="L1742" s="31">
        <v>2</v>
      </c>
    </row>
    <row r="1743" spans="1:12" ht="16.5" thickBot="1" x14ac:dyDescent="0.3">
      <c r="A1743" t="s">
        <v>1105</v>
      </c>
      <c r="B1743" s="63">
        <v>10302</v>
      </c>
      <c r="C1743" s="63" t="s">
        <v>797</v>
      </c>
      <c r="D1743" s="50">
        <v>5</v>
      </c>
      <c r="E1743" s="46" t="str">
        <f>IF(I1743="","",_xlfn.XLOOKUP(TRIM(I1743),'SkillMasterSkill ID'!$C:$C,'SkillMasterSkill ID'!$D:$D,"",0))</f>
        <v>OVST</v>
      </c>
      <c r="F1743" s="46" t="str">
        <f>IF(I1743="","",IF(_xlfn.XLOOKUP(TRIM(I1743),'SkillMasterSkill ID'!$C:$C,'SkillMasterSkill ID'!$E:$E,"")=0,"",_xlfn.XLOOKUP(TRIM(I1743),'SkillMasterSkill ID'!$C:$C,'SkillMasterSkill ID'!$E:$E,"")))</f>
        <v/>
      </c>
      <c r="G1743" s="50" t="s">
        <v>1181</v>
      </c>
      <c r="H1743" s="42" t="s">
        <v>930</v>
      </c>
      <c r="I1743" t="s">
        <v>931</v>
      </c>
      <c r="J1743" s="50" t="str">
        <f>IF(I1743="","",_xlfn.XLOOKUP(TRIM(I1743),'SkillMasterSkill ID'!$C:$C,'SkillMasterSkill ID'!$F:$F,"NOT FOUND",0))</f>
        <v>Ability to plan and sequence work effectively, using schedules, constraints, and lookahead thinking to meet targets.</v>
      </c>
      <c r="K1743" s="50"/>
      <c r="L1743" s="50"/>
    </row>
    <row r="1744" spans="1:12" ht="16.5" thickBot="1" x14ac:dyDescent="0.3">
      <c r="A1744" t="s">
        <v>1105</v>
      </c>
      <c r="B1744" s="63">
        <v>10302</v>
      </c>
      <c r="C1744" s="63" t="s">
        <v>797</v>
      </c>
      <c r="D1744" s="50">
        <v>5</v>
      </c>
      <c r="E1744" s="46" t="str">
        <f>IF(I1744="","",_xlfn.XLOOKUP(TRIM(I1744),'SkillMasterSkill ID'!$C:$C,'SkillMasterSkill ID'!$D:$D,"",0))</f>
        <v>OVST</v>
      </c>
      <c r="F1744" s="46" t="str">
        <f>IF(I1744="","",IF(_xlfn.XLOOKUP(TRIM(I1744),'SkillMasterSkill ID'!$C:$C,'SkillMasterSkill ID'!$E:$E,"")=0,"",_xlfn.XLOOKUP(TRIM(I1744),'SkillMasterSkill ID'!$C:$C,'SkillMasterSkill ID'!$E:$E,"")))</f>
        <v/>
      </c>
      <c r="G1744" s="50" t="s">
        <v>1181</v>
      </c>
      <c r="H1744" s="42" t="s">
        <v>930</v>
      </c>
      <c r="I1744" t="s">
        <v>931</v>
      </c>
      <c r="J1744" s="50" t="str">
        <f>IF(I1744="","",_xlfn.XLOOKUP(TRIM(I1744),'SkillMasterSkill ID'!$C:$C,'SkillMasterSkill ID'!$F:$F,"NOT FOUND",0))</f>
        <v>Ability to plan and sequence work effectively, using schedules, constraints, and lookahead thinking to meet targets.</v>
      </c>
      <c r="K1744" s="27"/>
      <c r="L1744" s="27"/>
    </row>
    <row r="1745" spans="1:12" ht="16.5" thickBot="1" x14ac:dyDescent="0.3">
      <c r="A1745" t="s">
        <v>1105</v>
      </c>
      <c r="B1745" s="63">
        <v>10302</v>
      </c>
      <c r="C1745" s="63" t="s">
        <v>797</v>
      </c>
      <c r="D1745" s="31">
        <v>5</v>
      </c>
      <c r="E1745" s="31" t="str">
        <f>IF(I1745="","",_xlfn.XLOOKUP(TRIM(I1745),'SkillMasterSkill ID'!$C:$C,'SkillMasterSkill ID'!$D:$D,"NOT FOUND",0))</f>
        <v>OVST</v>
      </c>
      <c r="F1745" s="46" t="str">
        <f>IF(I1745="","",IF(_xlfn.XLOOKUP(TRIM(I1745),'SkillMasterSkill ID'!$C:$C,'SkillMasterSkill ID'!$E:$E,"")=0,"",_xlfn.XLOOKUP(TRIM(I1745),'SkillMasterSkill ID'!$C:$C,'SkillMasterSkill ID'!$E:$E,"")))</f>
        <v/>
      </c>
      <c r="G1745" t="s">
        <v>925</v>
      </c>
      <c r="H1745" s="42" t="s">
        <v>1198</v>
      </c>
      <c r="I1745" t="s">
        <v>931</v>
      </c>
      <c r="J1745" s="31" t="str">
        <f>IF(I1745="","",_xlfn.XLOOKUP(TRIM(I1745),'SkillMasterSkill ID'!$C:$C,'SkillMasterSkill ID'!$F:$F,"NOT FOUND",0))</f>
        <v>Ability to plan and sequence work effectively, using schedules, constraints, and lookahead thinking to meet targets.</v>
      </c>
      <c r="K1745" s="31" t="s">
        <v>792</v>
      </c>
      <c r="L1745" s="31">
        <v>2</v>
      </c>
    </row>
    <row r="1746" spans="1:12" ht="16.5" thickBot="1" x14ac:dyDescent="0.3">
      <c r="A1746" t="s">
        <v>1113</v>
      </c>
      <c r="B1746" s="63">
        <v>10302</v>
      </c>
      <c r="C1746" s="63" t="s">
        <v>797</v>
      </c>
      <c r="D1746" s="50">
        <v>5</v>
      </c>
      <c r="E1746" s="50" t="str">
        <f>IF(I1746="","",_xlfn.XLOOKUP(TRIM(I1746),'SkillMasterSkill ID'!$C:$C,'SkillMasterSkill ID'!$D:$D,"NOT FOUND",0))</f>
        <v>PLAN</v>
      </c>
      <c r="F1746" s="46" t="str">
        <f>IF(I1746="","",IF(_xlfn.XLOOKUP(TRIM(I1746),'SkillMasterSkill ID'!$C:$C,'SkillMasterSkill ID'!$E:$E,"")=0,"",_xlfn.XLOOKUP(TRIM(I1746),'SkillMasterSkill ID'!$C:$C,'SkillMasterSkill ID'!$E:$E,"")))</f>
        <v/>
      </c>
      <c r="G1746" s="11" t="s">
        <v>921</v>
      </c>
      <c r="H1746" s="42" t="s">
        <v>1185</v>
      </c>
      <c r="I1746" t="s">
        <v>829</v>
      </c>
      <c r="J1746" s="50" t="str">
        <f>IF(I1746="","",_xlfn.XLOOKUP(TRIM(I1746),'SkillMasterSkill ID'!$C:$C,'SkillMasterSkill ID'!$F:$F,"NOT FOUND",0))</f>
        <v>Ability to analyze performance and trends, evaluate execution quality, and identify issues early for action.</v>
      </c>
      <c r="K1746" s="50" t="s">
        <v>792</v>
      </c>
      <c r="L1746" s="50">
        <v>2</v>
      </c>
    </row>
    <row r="1747" spans="1:12" ht="16.5" thickBot="1" x14ac:dyDescent="0.3">
      <c r="A1747" t="s">
        <v>1114</v>
      </c>
      <c r="B1747" s="63">
        <v>10302</v>
      </c>
      <c r="C1747" s="63" t="s">
        <v>797</v>
      </c>
      <c r="D1747" s="50">
        <v>5</v>
      </c>
      <c r="E1747" s="46" t="str">
        <f>IF(I1747="","",_xlfn.XLOOKUP(TRIM(I1747),'SkillMasterSkill ID'!$C:$C,'SkillMasterSkill ID'!$D:$D,"NOT FOUND",0))</f>
        <v>BUDG</v>
      </c>
      <c r="F1747" s="46" t="str">
        <f>IF(I1747="","",IF(_xlfn.XLOOKUP(TRIM(I1747),'SkillMasterSkill ID'!$C:$C,'SkillMasterSkill ID'!$E:$E,"")=0,"",_xlfn.XLOOKUP(TRIM(I1747),'SkillMasterSkill ID'!$C:$C,'SkillMasterSkill ID'!$E:$E,"")))</f>
        <v/>
      </c>
      <c r="G1747" s="11" t="s">
        <v>921</v>
      </c>
      <c r="H1747" s="42" t="s">
        <v>1182</v>
      </c>
      <c r="I1747" t="s">
        <v>891</v>
      </c>
      <c r="J1747" s="50" t="str">
        <f>IF(I1747="","",_xlfn.XLOOKUP(TRIM(I1747),'SkillMasterSkill ID'!$C:$C,'SkillMasterSkill ID'!$F:$F,"NOT FOUND",0))</f>
        <v>Competency related to production tracking that supports effective field/project leadership and execution.</v>
      </c>
      <c r="K1747" s="27"/>
      <c r="L1747" s="27"/>
    </row>
    <row r="1748" spans="1:12" ht="16.5" thickBot="1" x14ac:dyDescent="0.3">
      <c r="A1748" t="s">
        <v>1114</v>
      </c>
      <c r="B1748" s="63">
        <v>10302</v>
      </c>
      <c r="C1748" s="63" t="s">
        <v>797</v>
      </c>
      <c r="D1748" s="31">
        <v>5</v>
      </c>
      <c r="E1748" s="31" t="str">
        <f>IF(I1748="","",_xlfn.XLOOKUP(TRIM(I1748),'SkillMasterSkill ID'!$C:$C,'SkillMasterSkill ID'!$D:$D,"NOT FOUND",0))</f>
        <v>BUDG</v>
      </c>
      <c r="F1748" s="46" t="str">
        <f>IF(I1748="","",IF(_xlfn.XLOOKUP(TRIM(I1748),'SkillMasterSkill ID'!$C:$C,'SkillMasterSkill ID'!$E:$E,"")=0,"",_xlfn.XLOOKUP(TRIM(I1748),'SkillMasterSkill ID'!$C:$C,'SkillMasterSkill ID'!$E:$E,"")))</f>
        <v/>
      </c>
      <c r="G1748" t="s">
        <v>925</v>
      </c>
      <c r="H1748" s="42" t="s">
        <v>1199</v>
      </c>
      <c r="I1748" t="s">
        <v>891</v>
      </c>
      <c r="J1748" s="31" t="str">
        <f>IF(I1748="","",_xlfn.XLOOKUP(TRIM(I1748),'SkillMasterSkill ID'!$C:$C,'SkillMasterSkill ID'!$F:$F,"NOT FOUND",0))</f>
        <v>Competency related to production tracking that supports effective field/project leadership and execution.</v>
      </c>
      <c r="K1748" s="31" t="s">
        <v>792</v>
      </c>
      <c r="L1748" s="31">
        <v>2</v>
      </c>
    </row>
    <row r="1749" spans="1:12" ht="16.5" thickBot="1" x14ac:dyDescent="0.3">
      <c r="A1749" t="s">
        <v>1116</v>
      </c>
      <c r="B1749" s="63">
        <v>10302</v>
      </c>
      <c r="C1749" s="63" t="s">
        <v>797</v>
      </c>
      <c r="D1749" s="50">
        <v>5</v>
      </c>
      <c r="E1749" s="46" t="str">
        <f>IF(I1749="","",_xlfn.XLOOKUP(TRIM(I1749),'SkillMasterSkill ID'!$C:$C,'SkillMasterSkill ID'!$D:$D,"",0))</f>
        <v>PERF</v>
      </c>
      <c r="F1749" s="46" t="str">
        <f>IF(I1749="","",IF(_xlfn.XLOOKUP(TRIM(I1749),'SkillMasterSkill ID'!$C:$C,'SkillMasterSkill ID'!$E:$E,"")=0,"",_xlfn.XLOOKUP(TRIM(I1749),'SkillMasterSkill ID'!$C:$C,'SkillMasterSkill ID'!$E:$E,"")))</f>
        <v/>
      </c>
      <c r="G1749" s="50" t="s">
        <v>798</v>
      </c>
      <c r="H1749" s="51" t="s">
        <v>800</v>
      </c>
      <c r="I1749" t="s">
        <v>845</v>
      </c>
      <c r="J1749" s="50" t="str">
        <f>IF(I1749="","",_xlfn.XLOOKUP(TRIM(I1749),'SkillMasterSkill ID'!$C:$C,'SkillMasterSkill ID'!$F:$F,"NOT FOUND",0))</f>
        <v>Ability to understand and manage cost, budget, and productivity drivers to control project financial performance.</v>
      </c>
      <c r="K1749" s="50" t="s">
        <v>795</v>
      </c>
      <c r="L1749" s="50">
        <v>2</v>
      </c>
    </row>
    <row r="1750" spans="1:12" ht="16.5" thickBot="1" x14ac:dyDescent="0.3">
      <c r="A1750" t="s">
        <v>1116</v>
      </c>
      <c r="B1750" s="63">
        <v>10302</v>
      </c>
      <c r="C1750" s="63" t="s">
        <v>797</v>
      </c>
      <c r="D1750" s="50">
        <v>5</v>
      </c>
      <c r="E1750" s="46" t="str">
        <f>IF(I1750="","",_xlfn.XLOOKUP(TRIM(I1750),'SkillMasterSkill ID'!$C:$C,'SkillMasterSkill ID'!$D:$D,"NOT FOUND",0))</f>
        <v>PERF</v>
      </c>
      <c r="F1750" s="46" t="str">
        <f>IF(I1750="","",IF(_xlfn.XLOOKUP(TRIM(I1750),'SkillMasterSkill ID'!$C:$C,'SkillMasterSkill ID'!$E:$E,"")=0,"",_xlfn.XLOOKUP(TRIM(I1750),'SkillMasterSkill ID'!$C:$C,'SkillMasterSkill ID'!$E:$E,"")))</f>
        <v/>
      </c>
      <c r="G1750" s="11" t="s">
        <v>921</v>
      </c>
      <c r="H1750" s="42" t="s">
        <v>1183</v>
      </c>
      <c r="I1750" t="s">
        <v>845</v>
      </c>
      <c r="J1750" s="50" t="str">
        <f>IF(I1750="","",_xlfn.XLOOKUP(TRIM(I1750),'SkillMasterSkill ID'!$C:$C,'SkillMasterSkill ID'!$F:$F,"NOT FOUND",0))</f>
        <v>Ability to understand and manage cost, budget, and productivity drivers to control project financial performance.</v>
      </c>
      <c r="K1750" s="27"/>
      <c r="L1750" s="27"/>
    </row>
    <row r="1751" spans="1:12" ht="16.5" thickBot="1" x14ac:dyDescent="0.3">
      <c r="A1751" t="s">
        <v>1117</v>
      </c>
      <c r="B1751" s="63">
        <v>10302</v>
      </c>
      <c r="C1751" s="63" t="s">
        <v>797</v>
      </c>
      <c r="D1751" s="50">
        <v>5</v>
      </c>
      <c r="E1751" s="46" t="str">
        <f>IF(I1751="","",_xlfn.XLOOKUP(TRIM(I1751),'SkillMasterSkill ID'!$C:$C,'SkillMasterSkill ID'!$D:$D,"",0))</f>
        <v>FUP</v>
      </c>
      <c r="F1751" s="46" t="str">
        <f>IF(I1751="","",IF(_xlfn.XLOOKUP(TRIM(I1751),'SkillMasterSkill ID'!$C:$C,'SkillMasterSkill ID'!$E:$E,"")=0,"",_xlfn.XLOOKUP(TRIM(I1751),'SkillMasterSkill ID'!$C:$C,'SkillMasterSkill ID'!$E:$E,"")))</f>
        <v/>
      </c>
      <c r="G1751" s="50" t="s">
        <v>1181</v>
      </c>
      <c r="H1751" s="42" t="s">
        <v>930</v>
      </c>
      <c r="I1751" t="s">
        <v>864</v>
      </c>
      <c r="J1751" s="50" t="str">
        <f>IF(I1751="","",_xlfn.XLOOKUP(TRIM(I1751),'SkillMasterSkill ID'!$C:$C,'SkillMasterSkill ID'!$F:$F,"NOT FOUND",0))</f>
        <v>Competency related to progress tracking that supports effective field/project leadership and execution.</v>
      </c>
      <c r="K1751" s="50"/>
      <c r="L1751" s="50"/>
    </row>
    <row r="1752" spans="1:12" ht="16.5" thickBot="1" x14ac:dyDescent="0.3">
      <c r="A1752" t="s">
        <v>1117</v>
      </c>
      <c r="B1752" s="63">
        <v>10302</v>
      </c>
      <c r="C1752" s="63" t="s">
        <v>797</v>
      </c>
      <c r="D1752" s="50">
        <v>5</v>
      </c>
      <c r="E1752" s="46" t="str">
        <f>IF(I1752="","",_xlfn.XLOOKUP(TRIM(I1752),'SkillMasterSkill ID'!$C:$C,'SkillMasterSkill ID'!$D:$D,"",0))</f>
        <v>FUP</v>
      </c>
      <c r="F1752" s="46" t="str">
        <f>IF(I1752="","",IF(_xlfn.XLOOKUP(TRIM(I1752),'SkillMasterSkill ID'!$C:$C,'SkillMasterSkill ID'!$E:$E,"")=0,"",_xlfn.XLOOKUP(TRIM(I1752),'SkillMasterSkill ID'!$C:$C,'SkillMasterSkill ID'!$E:$E,"")))</f>
        <v/>
      </c>
      <c r="G1752" s="50" t="s">
        <v>1181</v>
      </c>
      <c r="H1752" s="42" t="s">
        <v>930</v>
      </c>
      <c r="I1752" t="s">
        <v>864</v>
      </c>
      <c r="J1752" s="50" t="str">
        <f>IF(I1752="","",_xlfn.XLOOKUP(TRIM(I1752),'SkillMasterSkill ID'!$C:$C,'SkillMasterSkill ID'!$F:$F,"NOT FOUND",0))</f>
        <v>Competency related to progress tracking that supports effective field/project leadership and execution.</v>
      </c>
      <c r="K1752" s="27"/>
      <c r="L1752" s="27"/>
    </row>
    <row r="1753" spans="1:12" ht="16.5" thickBot="1" x14ac:dyDescent="0.3">
      <c r="A1753" t="s">
        <v>1117</v>
      </c>
      <c r="B1753" s="63">
        <v>10302</v>
      </c>
      <c r="C1753" s="63" t="s">
        <v>797</v>
      </c>
      <c r="D1753" s="50">
        <v>5</v>
      </c>
      <c r="E1753" s="50" t="str">
        <f>IF(I1753="","",_xlfn.XLOOKUP(TRIM(I1753),'SkillMasterSkill ID'!$C:$C,'SkillMasterSkill ID'!$D:$D,"NOT FOUND",0))</f>
        <v>FUP</v>
      </c>
      <c r="F1753" s="46" t="str">
        <f>IF(I1753="","",IF(_xlfn.XLOOKUP(TRIM(I1753),'SkillMasterSkill ID'!$C:$C,'SkillMasterSkill ID'!$E:$E,"")=0,"",_xlfn.XLOOKUP(TRIM(I1753),'SkillMasterSkill ID'!$C:$C,'SkillMasterSkill ID'!$E:$E,"")))</f>
        <v/>
      </c>
      <c r="G1753" s="11" t="s">
        <v>921</v>
      </c>
      <c r="H1753" s="42" t="s">
        <v>1186</v>
      </c>
      <c r="I1753" t="s">
        <v>864</v>
      </c>
      <c r="J1753" s="50" t="str">
        <f>IF(I1753="","",_xlfn.XLOOKUP(TRIM(I1753),'SkillMasterSkill ID'!$C:$C,'SkillMasterSkill ID'!$F:$F,"NOT FOUND",0))</f>
        <v>Competency related to progress tracking that supports effective field/project leadership and execution.</v>
      </c>
      <c r="K1753" s="50" t="s">
        <v>792</v>
      </c>
      <c r="L1753" s="50">
        <v>2</v>
      </c>
    </row>
    <row r="1754" spans="1:12" ht="16.5" thickBot="1" x14ac:dyDescent="0.3">
      <c r="A1754" t="s">
        <v>1120</v>
      </c>
      <c r="B1754" s="63">
        <v>10302</v>
      </c>
      <c r="C1754" s="63" t="s">
        <v>797</v>
      </c>
      <c r="D1754" s="50">
        <v>5</v>
      </c>
      <c r="E1754" s="46" t="str">
        <f>IF(I1754="","",_xlfn.XLOOKUP(TRIM(I1754),'SkillMasterSkill ID'!$C:$C,'SkillMasterSkill ID'!$D:$D,"",0))</f>
        <v>DOC</v>
      </c>
      <c r="F1754" s="46" t="str">
        <f>IF(I1754="","",IF(_xlfn.XLOOKUP(TRIM(I1754),'SkillMasterSkill ID'!$C:$C,'SkillMasterSkill ID'!$E:$E,"")=0,"",_xlfn.XLOOKUP(TRIM(I1754),'SkillMasterSkill ID'!$C:$C,'SkillMasterSkill ID'!$E:$E,"")))</f>
        <v/>
      </c>
      <c r="G1754" s="50" t="s">
        <v>1181</v>
      </c>
      <c r="H1754" s="42" t="s">
        <v>941</v>
      </c>
      <c r="I1754" t="s">
        <v>950</v>
      </c>
      <c r="J1754" s="50" t="str">
        <f>IF(I1754="","",_xlfn.XLOOKUP(TRIM(I1754),'SkillMasterSkill ID'!$C:$C,'SkillMasterSkill ID'!$F:$F,"NOT FOUND",0))</f>
        <v>Ability to analyze performance and trends, evaluate execution quality, and identify issues early for action.</v>
      </c>
      <c r="K1754" s="50" t="s">
        <v>795</v>
      </c>
      <c r="L1754" s="50">
        <v>2</v>
      </c>
    </row>
    <row r="1755" spans="1:12" ht="16.5" thickBot="1" x14ac:dyDescent="0.3">
      <c r="A1755" t="s">
        <v>1120</v>
      </c>
      <c r="B1755" s="63">
        <v>10302</v>
      </c>
      <c r="C1755" s="63" t="s">
        <v>797</v>
      </c>
      <c r="D1755" s="50">
        <v>5</v>
      </c>
      <c r="E1755" s="46" t="str">
        <f>IF(I1755="","",_xlfn.XLOOKUP(TRIM(I1755),'SkillMasterSkill ID'!$C:$C,'SkillMasterSkill ID'!$D:$D,"",0))</f>
        <v>DOC</v>
      </c>
      <c r="F1755" s="46" t="str">
        <f>IF(I1755="","",IF(_xlfn.XLOOKUP(TRIM(I1755),'SkillMasterSkill ID'!$C:$C,'SkillMasterSkill ID'!$E:$E,"")=0,"",_xlfn.XLOOKUP(TRIM(I1755),'SkillMasterSkill ID'!$C:$C,'SkillMasterSkill ID'!$E:$E,"")))</f>
        <v/>
      </c>
      <c r="G1755" s="50" t="s">
        <v>1181</v>
      </c>
      <c r="H1755" s="42" t="s">
        <v>948</v>
      </c>
      <c r="I1755" t="s">
        <v>950</v>
      </c>
      <c r="J1755" s="50" t="str">
        <f>IF(I1755="","",_xlfn.XLOOKUP(TRIM(I1755),'SkillMasterSkill ID'!$C:$C,'SkillMasterSkill ID'!$F:$F,"NOT FOUND",0))</f>
        <v>Ability to analyze performance and trends, evaluate execution quality, and identify issues early for action.</v>
      </c>
      <c r="K1755" s="27"/>
      <c r="L1755" s="27"/>
    </row>
    <row r="1756" spans="1:12" ht="16.5" thickBot="1" x14ac:dyDescent="0.3">
      <c r="A1756" t="s">
        <v>1120</v>
      </c>
      <c r="B1756" s="63">
        <v>10302</v>
      </c>
      <c r="C1756" s="63" t="s">
        <v>797</v>
      </c>
      <c r="D1756" s="50">
        <v>5</v>
      </c>
      <c r="E1756" s="46" t="str">
        <f>IF(I1756="","",_xlfn.XLOOKUP(TRIM(I1756),'SkillMasterSkill ID'!$C:$C,'SkillMasterSkill ID'!$D:$D,"",0))</f>
        <v>DOC</v>
      </c>
      <c r="F1756" s="46" t="str">
        <f>IF(I1756="","",IF(_xlfn.XLOOKUP(TRIM(I1756),'SkillMasterSkill ID'!$C:$C,'SkillMasterSkill ID'!$E:$E,"")=0,"",_xlfn.XLOOKUP(TRIM(I1756),'SkillMasterSkill ID'!$C:$C,'SkillMasterSkill ID'!$E:$E,"")))</f>
        <v/>
      </c>
      <c r="G1756" s="50" t="s">
        <v>1181</v>
      </c>
      <c r="H1756" s="42" t="s">
        <v>941</v>
      </c>
      <c r="I1756" t="s">
        <v>950</v>
      </c>
      <c r="J1756" s="50" t="str">
        <f>IF(I1756="","",_xlfn.XLOOKUP(TRIM(I1756),'SkillMasterSkill ID'!$C:$C,'SkillMasterSkill ID'!$F:$F,"NOT FOUND",0))</f>
        <v>Ability to analyze performance and trends, evaluate execution quality, and identify issues early for action.</v>
      </c>
      <c r="K1756" s="27"/>
      <c r="L1756" s="27"/>
    </row>
    <row r="1757" spans="1:12" ht="16.5" thickBot="1" x14ac:dyDescent="0.3">
      <c r="A1757" t="s">
        <v>1120</v>
      </c>
      <c r="B1757" s="63">
        <v>10302</v>
      </c>
      <c r="C1757" s="63" t="s">
        <v>797</v>
      </c>
      <c r="D1757" s="50">
        <v>5</v>
      </c>
      <c r="E1757" s="46" t="str">
        <f>IF(I1757="","",_xlfn.XLOOKUP(TRIM(I1757),'SkillMasterSkill ID'!$C:$C,'SkillMasterSkill ID'!$D:$D,"",0))</f>
        <v>DOC</v>
      </c>
      <c r="F1757" s="46" t="str">
        <f>IF(I1757="","",IF(_xlfn.XLOOKUP(TRIM(I1757),'SkillMasterSkill ID'!$C:$C,'SkillMasterSkill ID'!$E:$E,"")=0,"",_xlfn.XLOOKUP(TRIM(I1757),'SkillMasterSkill ID'!$C:$C,'SkillMasterSkill ID'!$E:$E,"")))</f>
        <v/>
      </c>
      <c r="G1757" s="50" t="s">
        <v>1181</v>
      </c>
      <c r="H1757" s="42" t="s">
        <v>948</v>
      </c>
      <c r="I1757" t="s">
        <v>950</v>
      </c>
      <c r="J1757" s="50" t="str">
        <f>IF(I1757="","",_xlfn.XLOOKUP(TRIM(I1757),'SkillMasterSkill ID'!$C:$C,'SkillMasterSkill ID'!$F:$F,"NOT FOUND",0))</f>
        <v>Ability to analyze performance and trends, evaluate execution quality, and identify issues early for action.</v>
      </c>
      <c r="K1757" s="27"/>
      <c r="L1757" s="27"/>
    </row>
    <row r="1758" spans="1:12" ht="16.5" thickBot="1" x14ac:dyDescent="0.3">
      <c r="A1758" t="s">
        <v>1122</v>
      </c>
      <c r="B1758" s="63">
        <v>10302</v>
      </c>
      <c r="C1758" s="63" t="s">
        <v>797</v>
      </c>
      <c r="D1758" s="50">
        <v>5</v>
      </c>
      <c r="E1758" s="46" t="str">
        <f>IF(I1758="","",_xlfn.XLOOKUP(TRIM(I1758),'SkillMasterSkill ID'!$C:$C,'SkillMasterSkill ID'!$D:$D,"",0))</f>
        <v>DOC</v>
      </c>
      <c r="F1758" s="46" t="str">
        <f>IF(I1758="","",IF(_xlfn.XLOOKUP(TRIM(I1758),'SkillMasterSkill ID'!$C:$C,'SkillMasterSkill ID'!$E:$E,"")=0,"",_xlfn.XLOOKUP(TRIM(I1758),'SkillMasterSkill ID'!$C:$C,'SkillMasterSkill ID'!$E:$E,"")))</f>
        <v/>
      </c>
      <c r="G1758" s="50" t="s">
        <v>1181</v>
      </c>
      <c r="H1758" s="42" t="s">
        <v>930</v>
      </c>
      <c r="I1758" t="s">
        <v>903</v>
      </c>
      <c r="J1758" s="50" t="str">
        <f>IF(I1758="","",_xlfn.XLOOKUP(TRIM(I1758),'SkillMasterSkill ID'!$C:$C,'SkillMasterSkill ID'!$F:$F,"NOT FOUND",0))</f>
        <v>Ability to maintain accurate, timely documentation and verify compliance to support accountability and project controls.</v>
      </c>
      <c r="K1758" s="50"/>
      <c r="L1758" s="50"/>
    </row>
    <row r="1759" spans="1:12" ht="16.5" thickBot="1" x14ac:dyDescent="0.3">
      <c r="A1759" t="s">
        <v>1122</v>
      </c>
      <c r="B1759" s="63">
        <v>10302</v>
      </c>
      <c r="C1759" s="63" t="s">
        <v>797</v>
      </c>
      <c r="D1759" s="50">
        <v>5</v>
      </c>
      <c r="E1759" s="46" t="str">
        <f>IF(I1759="","",_xlfn.XLOOKUP(TRIM(I1759),'SkillMasterSkill ID'!$C:$C,'SkillMasterSkill ID'!$D:$D,"",0))</f>
        <v>DOC</v>
      </c>
      <c r="F1759" s="46" t="str">
        <f>IF(I1759="","",IF(_xlfn.XLOOKUP(TRIM(I1759),'SkillMasterSkill ID'!$C:$C,'SkillMasterSkill ID'!$E:$E,"")=0,"",_xlfn.XLOOKUP(TRIM(I1759),'SkillMasterSkill ID'!$C:$C,'SkillMasterSkill ID'!$E:$E,"")))</f>
        <v/>
      </c>
      <c r="G1759" s="50" t="s">
        <v>1181</v>
      </c>
      <c r="H1759" s="42" t="s">
        <v>941</v>
      </c>
      <c r="I1759" t="s">
        <v>903</v>
      </c>
      <c r="J1759" s="50" t="str">
        <f>IF(I1759="","",_xlfn.XLOOKUP(TRIM(I1759),'SkillMasterSkill ID'!$C:$C,'SkillMasterSkill ID'!$F:$F,"NOT FOUND",0))</f>
        <v>Ability to maintain accurate, timely documentation and verify compliance to support accountability and project controls.</v>
      </c>
      <c r="K1759" s="50" t="s">
        <v>795</v>
      </c>
      <c r="L1759" s="50">
        <v>2</v>
      </c>
    </row>
    <row r="1760" spans="1:12" ht="16.5" thickBot="1" x14ac:dyDescent="0.3">
      <c r="A1760" t="s">
        <v>1122</v>
      </c>
      <c r="B1760" s="63">
        <v>10302</v>
      </c>
      <c r="C1760" s="63" t="s">
        <v>797</v>
      </c>
      <c r="D1760" s="50">
        <v>5</v>
      </c>
      <c r="E1760" s="46" t="str">
        <f>IF(I1760="","",_xlfn.XLOOKUP(TRIM(I1760),'SkillMasterSkill ID'!$C:$C,'SkillMasterSkill ID'!$D:$D,"",0))</f>
        <v>DOC</v>
      </c>
      <c r="F1760" s="46" t="str">
        <f>IF(I1760="","",IF(_xlfn.XLOOKUP(TRIM(I1760),'SkillMasterSkill ID'!$C:$C,'SkillMasterSkill ID'!$E:$E,"")=0,"",_xlfn.XLOOKUP(TRIM(I1760),'SkillMasterSkill ID'!$C:$C,'SkillMasterSkill ID'!$E:$E,"")))</f>
        <v/>
      </c>
      <c r="G1760" s="50" t="s">
        <v>1181</v>
      </c>
      <c r="H1760" s="42" t="s">
        <v>948</v>
      </c>
      <c r="I1760" t="s">
        <v>903</v>
      </c>
      <c r="J1760" s="50" t="str">
        <f>IF(I1760="","",_xlfn.XLOOKUP(TRIM(I1760),'SkillMasterSkill ID'!$C:$C,'SkillMasterSkill ID'!$F:$F,"NOT FOUND",0))</f>
        <v>Ability to maintain accurate, timely documentation and verify compliance to support accountability and project controls.</v>
      </c>
      <c r="K1760" s="27"/>
      <c r="L1760" s="27"/>
    </row>
    <row r="1761" spans="1:12" ht="16.5" thickBot="1" x14ac:dyDescent="0.3">
      <c r="A1761" t="s">
        <v>1122</v>
      </c>
      <c r="B1761" s="63">
        <v>10302</v>
      </c>
      <c r="C1761" s="63" t="s">
        <v>797</v>
      </c>
      <c r="D1761" s="50">
        <v>5</v>
      </c>
      <c r="E1761" s="46" t="str">
        <f>IF(I1761="","",_xlfn.XLOOKUP(TRIM(I1761),'SkillMasterSkill ID'!$C:$C,'SkillMasterSkill ID'!$D:$D,"",0))</f>
        <v>DOC</v>
      </c>
      <c r="F1761" s="46" t="str">
        <f>IF(I1761="","",IF(_xlfn.XLOOKUP(TRIM(I1761),'SkillMasterSkill ID'!$C:$C,'SkillMasterSkill ID'!$E:$E,"")=0,"",_xlfn.XLOOKUP(TRIM(I1761),'SkillMasterSkill ID'!$C:$C,'SkillMasterSkill ID'!$E:$E,"")))</f>
        <v/>
      </c>
      <c r="G1761" s="50" t="s">
        <v>1181</v>
      </c>
      <c r="H1761" s="42" t="s">
        <v>930</v>
      </c>
      <c r="I1761" t="s">
        <v>903</v>
      </c>
      <c r="J1761" s="50" t="str">
        <f>IF(I1761="","",_xlfn.XLOOKUP(TRIM(I1761),'SkillMasterSkill ID'!$C:$C,'SkillMasterSkill ID'!$F:$F,"NOT FOUND",0))</f>
        <v>Ability to maintain accurate, timely documentation and verify compliance to support accountability and project controls.</v>
      </c>
      <c r="K1761" s="27"/>
      <c r="L1761" s="27"/>
    </row>
    <row r="1762" spans="1:12" ht="16.5" thickBot="1" x14ac:dyDescent="0.3">
      <c r="A1762" t="s">
        <v>1122</v>
      </c>
      <c r="B1762" s="63">
        <v>10302</v>
      </c>
      <c r="C1762" s="63" t="s">
        <v>797</v>
      </c>
      <c r="D1762" s="50">
        <v>5</v>
      </c>
      <c r="E1762" s="46" t="str">
        <f>IF(I1762="","",_xlfn.XLOOKUP(TRIM(I1762),'SkillMasterSkill ID'!$C:$C,'SkillMasterSkill ID'!$D:$D,"",0))</f>
        <v>DOC</v>
      </c>
      <c r="F1762" s="46" t="str">
        <f>IF(I1762="","",IF(_xlfn.XLOOKUP(TRIM(I1762),'SkillMasterSkill ID'!$C:$C,'SkillMasterSkill ID'!$E:$E,"")=0,"",_xlfn.XLOOKUP(TRIM(I1762),'SkillMasterSkill ID'!$C:$C,'SkillMasterSkill ID'!$E:$E,"")))</f>
        <v/>
      </c>
      <c r="G1762" s="50" t="s">
        <v>1181</v>
      </c>
      <c r="H1762" s="42" t="s">
        <v>941</v>
      </c>
      <c r="I1762" t="s">
        <v>903</v>
      </c>
      <c r="J1762" s="50" t="str">
        <f>IF(I1762="","",_xlfn.XLOOKUP(TRIM(I1762),'SkillMasterSkill ID'!$C:$C,'SkillMasterSkill ID'!$F:$F,"NOT FOUND",0))</f>
        <v>Ability to maintain accurate, timely documentation and verify compliance to support accountability and project controls.</v>
      </c>
      <c r="K1762" s="27"/>
      <c r="L1762" s="27"/>
    </row>
    <row r="1763" spans="1:12" ht="16.5" thickBot="1" x14ac:dyDescent="0.3">
      <c r="A1763" t="s">
        <v>1122</v>
      </c>
      <c r="B1763" s="63">
        <v>10302</v>
      </c>
      <c r="C1763" s="63" t="s">
        <v>797</v>
      </c>
      <c r="D1763" s="50">
        <v>5</v>
      </c>
      <c r="E1763" s="46" t="str">
        <f>IF(I1763="","",_xlfn.XLOOKUP(TRIM(I1763),'SkillMasterSkill ID'!$C:$C,'SkillMasterSkill ID'!$D:$D,"",0))</f>
        <v>DOC</v>
      </c>
      <c r="F1763" s="46" t="str">
        <f>IF(I1763="","",IF(_xlfn.XLOOKUP(TRIM(I1763),'SkillMasterSkill ID'!$C:$C,'SkillMasterSkill ID'!$E:$E,"")=0,"",_xlfn.XLOOKUP(TRIM(I1763),'SkillMasterSkill ID'!$C:$C,'SkillMasterSkill ID'!$E:$E,"")))</f>
        <v/>
      </c>
      <c r="G1763" s="50" t="s">
        <v>1181</v>
      </c>
      <c r="H1763" s="42" t="s">
        <v>948</v>
      </c>
      <c r="I1763" t="s">
        <v>903</v>
      </c>
      <c r="J1763" s="50" t="str">
        <f>IF(I1763="","",_xlfn.XLOOKUP(TRIM(I1763),'SkillMasterSkill ID'!$C:$C,'SkillMasterSkill ID'!$F:$F,"NOT FOUND",0))</f>
        <v>Ability to maintain accurate, timely documentation and verify compliance to support accountability and project controls.</v>
      </c>
      <c r="K1763" s="27"/>
      <c r="L1763" s="27"/>
    </row>
    <row r="1764" spans="1:12" ht="16.5" thickBot="1" x14ac:dyDescent="0.3">
      <c r="A1764" t="s">
        <v>1122</v>
      </c>
      <c r="B1764" s="63">
        <v>10302</v>
      </c>
      <c r="C1764" s="63" t="s">
        <v>797</v>
      </c>
      <c r="D1764" s="50">
        <v>5</v>
      </c>
      <c r="E1764" s="46" t="str">
        <f>IF(I1764="","",_xlfn.XLOOKUP(TRIM(I1764),'SkillMasterSkill ID'!$C:$C,'SkillMasterSkill ID'!$D:$D,"NOT FOUND",0))</f>
        <v>DOC</v>
      </c>
      <c r="F1764" s="46" t="str">
        <f>IF(I1764="","",IF(_xlfn.XLOOKUP(TRIM(I1764),'SkillMasterSkill ID'!$C:$C,'SkillMasterSkill ID'!$E:$E,"")=0,"",_xlfn.XLOOKUP(TRIM(I1764),'SkillMasterSkill ID'!$C:$C,'SkillMasterSkill ID'!$E:$E,"")))</f>
        <v/>
      </c>
      <c r="G1764" s="11" t="s">
        <v>921</v>
      </c>
      <c r="H1764" s="42" t="s">
        <v>1182</v>
      </c>
      <c r="I1764" t="s">
        <v>903</v>
      </c>
      <c r="J1764" s="50" t="str">
        <f>IF(I1764="","",_xlfn.XLOOKUP(TRIM(I1764),'SkillMasterSkill ID'!$C:$C,'SkillMasterSkill ID'!$F:$F,"NOT FOUND",0))</f>
        <v>Ability to maintain accurate, timely documentation and verify compliance to support accountability and project controls.</v>
      </c>
      <c r="K1764" s="27"/>
      <c r="L1764" s="27"/>
    </row>
    <row r="1765" spans="1:12" ht="16.5" thickBot="1" x14ac:dyDescent="0.3">
      <c r="A1765" t="s">
        <v>1122</v>
      </c>
      <c r="B1765" s="63">
        <v>10302</v>
      </c>
      <c r="C1765" s="63" t="s">
        <v>797</v>
      </c>
      <c r="D1765" s="50">
        <v>5</v>
      </c>
      <c r="E1765" s="50" t="str">
        <f>IF(I1765="","",_xlfn.XLOOKUP(TRIM(I1765),'SkillMasterSkill ID'!$C:$C,'SkillMasterSkill ID'!$D:$D,"NOT FOUND",0))</f>
        <v>DOC</v>
      </c>
      <c r="F1765" s="46" t="str">
        <f>IF(I1765="","",IF(_xlfn.XLOOKUP(TRIM(I1765),'SkillMasterSkill ID'!$C:$C,'SkillMasterSkill ID'!$E:$E,"")=0,"",_xlfn.XLOOKUP(TRIM(I1765),'SkillMasterSkill ID'!$C:$C,'SkillMasterSkill ID'!$E:$E,"")))</f>
        <v/>
      </c>
      <c r="G1765" s="11" t="s">
        <v>921</v>
      </c>
      <c r="H1765" s="42" t="s">
        <v>1184</v>
      </c>
      <c r="I1765" t="s">
        <v>903</v>
      </c>
      <c r="J1765" s="50" t="str">
        <f>IF(I1765="","",_xlfn.XLOOKUP(TRIM(I1765),'SkillMasterSkill ID'!$C:$C,'SkillMasterSkill ID'!$F:$F,"NOT FOUND",0))</f>
        <v>Ability to maintain accurate, timely documentation and verify compliance to support accountability and project controls.</v>
      </c>
      <c r="K1765" s="50" t="s">
        <v>792</v>
      </c>
      <c r="L1765" s="50">
        <v>2</v>
      </c>
    </row>
    <row r="1766" spans="1:12" ht="16.5" thickBot="1" x14ac:dyDescent="0.3">
      <c r="A1766" t="s">
        <v>1122</v>
      </c>
      <c r="B1766" s="63">
        <v>10302</v>
      </c>
      <c r="C1766" s="63" t="s">
        <v>797</v>
      </c>
      <c r="D1766" s="31">
        <v>5</v>
      </c>
      <c r="E1766" s="31" t="str">
        <f>IF(I1766="","",_xlfn.XLOOKUP(TRIM(I1766),'SkillMasterSkill ID'!$C:$C,'SkillMasterSkill ID'!$D:$D,"NOT FOUND",0))</f>
        <v>DOC</v>
      </c>
      <c r="F1766" s="46" t="str">
        <f>IF(I1766="","",IF(_xlfn.XLOOKUP(TRIM(I1766),'SkillMasterSkill ID'!$C:$C,'SkillMasterSkill ID'!$E:$E,"")=0,"",_xlfn.XLOOKUP(TRIM(I1766),'SkillMasterSkill ID'!$C:$C,'SkillMasterSkill ID'!$E:$E,"")))</f>
        <v/>
      </c>
      <c r="G1766" s="11" t="s">
        <v>921</v>
      </c>
      <c r="H1766" s="42" t="s">
        <v>1193</v>
      </c>
      <c r="I1766" t="s">
        <v>903</v>
      </c>
      <c r="J1766" s="31" t="str">
        <f>IF(I1766="","",_xlfn.XLOOKUP(TRIM(I1766),'SkillMasterSkill ID'!$C:$C,'SkillMasterSkill ID'!$F:$F,"NOT FOUND",0))</f>
        <v>Ability to maintain accurate, timely documentation and verify compliance to support accountability and project controls.</v>
      </c>
      <c r="K1766" s="31" t="s">
        <v>792</v>
      </c>
      <c r="L1766" s="31">
        <v>2</v>
      </c>
    </row>
    <row r="1767" spans="1:12" ht="16.5" thickBot="1" x14ac:dyDescent="0.3">
      <c r="A1767" t="s">
        <v>1123</v>
      </c>
      <c r="B1767" s="63">
        <v>10302</v>
      </c>
      <c r="C1767" s="63" t="s">
        <v>797</v>
      </c>
      <c r="D1767" s="31">
        <v>5</v>
      </c>
      <c r="E1767" s="31" t="str">
        <f>IF(I1767="","",_xlfn.XLOOKUP(TRIM(I1767),'SkillMasterSkill ID'!$C:$C,'SkillMasterSkill ID'!$D:$D,"NOT FOUND",0))</f>
        <v>PLAN</v>
      </c>
      <c r="F1767" s="46" t="str">
        <f>IF(I1767="","",IF(_xlfn.XLOOKUP(TRIM(I1767),'SkillMasterSkill ID'!$C:$C,'SkillMasterSkill ID'!$E:$E,"")=0,"",_xlfn.XLOOKUP(TRIM(I1767),'SkillMasterSkill ID'!$C:$C,'SkillMasterSkill ID'!$E:$E,"")))</f>
        <v/>
      </c>
      <c r="G1767" s="11" t="s">
        <v>921</v>
      </c>
      <c r="H1767" s="42" t="s">
        <v>1192</v>
      </c>
      <c r="I1767" t="s">
        <v>830</v>
      </c>
      <c r="J1767" s="31" t="str">
        <f>IF(I1767="","",_xlfn.XLOOKUP(TRIM(I1767),'SkillMasterSkill ID'!$C:$C,'SkillMasterSkill ID'!$F:$F,"NOT FOUND",0))</f>
        <v>Ability to plan and sequence work effectively, using schedules, constraints, and lookahead thinking to meet targets.</v>
      </c>
      <c r="K1767" s="31" t="s">
        <v>792</v>
      </c>
      <c r="L1767" s="31">
        <v>2</v>
      </c>
    </row>
    <row r="1768" spans="1:12" ht="16.5" thickBot="1" x14ac:dyDescent="0.3">
      <c r="A1768" t="s">
        <v>1124</v>
      </c>
      <c r="B1768" s="63">
        <v>10302</v>
      </c>
      <c r="C1768" s="63" t="s">
        <v>797</v>
      </c>
      <c r="D1768" s="31">
        <v>5</v>
      </c>
      <c r="E1768" s="31" t="str">
        <f>IF(I1768="","",_xlfn.XLOOKUP(TRIM(I1768),'SkillMasterSkill ID'!$C:$C,'SkillMasterSkill ID'!$D:$D,"NOT FOUND",0))</f>
        <v>PERF</v>
      </c>
      <c r="F1768" s="46" t="str">
        <f>IF(I1768="","",IF(_xlfn.XLOOKUP(TRIM(I1768),'SkillMasterSkill ID'!$C:$C,'SkillMasterSkill ID'!$E:$E,"")=0,"",_xlfn.XLOOKUP(TRIM(I1768),'SkillMasterSkill ID'!$C:$C,'SkillMasterSkill ID'!$E:$E,"")))</f>
        <v/>
      </c>
      <c r="G1768" s="11" t="s">
        <v>921</v>
      </c>
      <c r="H1768" s="42" t="s">
        <v>1192</v>
      </c>
      <c r="I1768" t="s">
        <v>850</v>
      </c>
      <c r="J1768" s="31" t="str">
        <f>IF(I1768="","",_xlfn.XLOOKUP(TRIM(I1768),'SkillMasterSkill ID'!$C:$C,'SkillMasterSkill ID'!$F:$F,"NOT FOUND",0))</f>
        <v>Competency related to recovery scheduling that supports effective field/project leadership and execution.</v>
      </c>
      <c r="K1768" s="31" t="s">
        <v>792</v>
      </c>
      <c r="L1768" s="31">
        <v>2</v>
      </c>
    </row>
    <row r="1769" spans="1:12" ht="16.5" thickBot="1" x14ac:dyDescent="0.3">
      <c r="A1769" t="s">
        <v>1126</v>
      </c>
      <c r="B1769" s="63">
        <v>10302</v>
      </c>
      <c r="C1769" s="63" t="s">
        <v>797</v>
      </c>
      <c r="D1769" s="31">
        <v>5</v>
      </c>
      <c r="E1769" s="31" t="str">
        <f>IF(I1769="","",_xlfn.XLOOKUP(TRIM(I1769),'SkillMasterSkill ID'!$C:$C,'SkillMasterSkill ID'!$D:$D,"NOT FOUND",0))</f>
        <v>COORD</v>
      </c>
      <c r="F1769" s="46" t="str">
        <f>IF(I1769="","",IF(_xlfn.XLOOKUP(TRIM(I1769),'SkillMasterSkill ID'!$C:$C,'SkillMasterSkill ID'!$E:$E,"")=0,"",_xlfn.XLOOKUP(TRIM(I1769),'SkillMasterSkill ID'!$C:$C,'SkillMasterSkill ID'!$E:$E,"")))</f>
        <v/>
      </c>
      <c r="G1769" t="s">
        <v>925</v>
      </c>
      <c r="H1769" s="42" t="s">
        <v>1202</v>
      </c>
      <c r="I1769" t="s">
        <v>880</v>
      </c>
      <c r="J1769" s="31" t="str">
        <f>IF(I1769="","",_xlfn.XLOOKUP(TRIM(I1769),'SkillMasterSkill ID'!$C:$C,'SkillMasterSkill ID'!$F:$F,"NOT FOUND",0))</f>
        <v>Ability to coordinate resources and people (manpower, priorities, and workload) to keep work flowing efficiently.</v>
      </c>
      <c r="K1769" s="31" t="s">
        <v>792</v>
      </c>
      <c r="L1769" s="31">
        <v>2</v>
      </c>
    </row>
    <row r="1770" spans="1:12" ht="16.5" thickBot="1" x14ac:dyDescent="0.3">
      <c r="A1770" t="s">
        <v>1131</v>
      </c>
      <c r="B1770" s="63">
        <v>10302</v>
      </c>
      <c r="C1770" s="63" t="s">
        <v>797</v>
      </c>
      <c r="D1770" s="50">
        <v>5</v>
      </c>
      <c r="E1770" s="46" t="str">
        <f>IF(I1770="","",_xlfn.XLOOKUP(TRIM(I1770),'SkillMasterSkill ID'!$C:$C,'SkillMasterSkill ID'!$D:$D,"",0))</f>
        <v>ACCT</v>
      </c>
      <c r="F1770" s="46" t="str">
        <f>IF(I1770="","",IF(_xlfn.XLOOKUP(TRIM(I1770),'SkillMasterSkill ID'!$C:$C,'SkillMasterSkill ID'!$E:$E,"")=0,"",_xlfn.XLOOKUP(TRIM(I1770),'SkillMasterSkill ID'!$C:$C,'SkillMasterSkill ID'!$E:$E,"")))</f>
        <v/>
      </c>
      <c r="G1770" s="50" t="s">
        <v>1181</v>
      </c>
      <c r="H1770" s="42" t="s">
        <v>935</v>
      </c>
      <c r="I1770" t="s">
        <v>857</v>
      </c>
      <c r="J1770" s="50" t="str">
        <f>IF(I1770="","",_xlfn.XLOOKUP(TRIM(I1770),'SkillMasterSkill ID'!$C:$C,'SkillMasterSkill ID'!$F:$F,"NOT FOUND",0))</f>
        <v>Competency related to role clarity that supports effective field/project leadership and execution.</v>
      </c>
      <c r="K1770" s="50"/>
      <c r="L1770" s="50"/>
    </row>
    <row r="1771" spans="1:12" ht="16.5" thickBot="1" x14ac:dyDescent="0.3">
      <c r="A1771" t="s">
        <v>1131</v>
      </c>
      <c r="B1771" s="63">
        <v>10302</v>
      </c>
      <c r="C1771" s="63" t="s">
        <v>797</v>
      </c>
      <c r="D1771" s="50">
        <v>5</v>
      </c>
      <c r="E1771" s="46" t="str">
        <f>IF(I1771="","",_xlfn.XLOOKUP(TRIM(I1771),'SkillMasterSkill ID'!$C:$C,'SkillMasterSkill ID'!$D:$D,"",0))</f>
        <v>ACCT</v>
      </c>
      <c r="F1771" s="46" t="str">
        <f>IF(I1771="","",IF(_xlfn.XLOOKUP(TRIM(I1771),'SkillMasterSkill ID'!$C:$C,'SkillMasterSkill ID'!$E:$E,"")=0,"",_xlfn.XLOOKUP(TRIM(I1771),'SkillMasterSkill ID'!$C:$C,'SkillMasterSkill ID'!$E:$E,"")))</f>
        <v/>
      </c>
      <c r="G1771" s="50" t="s">
        <v>1181</v>
      </c>
      <c r="H1771" s="42" t="s">
        <v>935</v>
      </c>
      <c r="I1771" t="s">
        <v>857</v>
      </c>
      <c r="J1771" s="50" t="str">
        <f>IF(I1771="","",_xlfn.XLOOKUP(TRIM(I1771),'SkillMasterSkill ID'!$C:$C,'SkillMasterSkill ID'!$F:$F,"NOT FOUND",0))</f>
        <v>Competency related to role clarity that supports effective field/project leadership and execution.</v>
      </c>
      <c r="K1771" s="27"/>
      <c r="L1771" s="27"/>
    </row>
    <row r="1772" spans="1:12" ht="16.5" thickBot="1" x14ac:dyDescent="0.3">
      <c r="A1772" t="s">
        <v>1133</v>
      </c>
      <c r="B1772" s="63">
        <v>10302</v>
      </c>
      <c r="C1772" s="63" t="s">
        <v>797</v>
      </c>
      <c r="D1772" s="31">
        <v>5</v>
      </c>
      <c r="E1772" s="31" t="str">
        <f>IF(I1772="","",_xlfn.XLOOKUP(TRIM(I1772),'SkillMasterSkill ID'!$C:$C,'SkillMasterSkill ID'!$D:$D,"NOT FOUND",0))</f>
        <v>LEAD</v>
      </c>
      <c r="F1772" s="46" t="str">
        <f>IF(I1772="","",IF(_xlfn.XLOOKUP(TRIM(I1772),'SkillMasterSkill ID'!$C:$C,'SkillMasterSkill ID'!$E:$E,"")=0,"",_xlfn.XLOOKUP(TRIM(I1772),'SkillMasterSkill ID'!$C:$C,'SkillMasterSkill ID'!$E:$E,"")))</f>
        <v/>
      </c>
      <c r="G1772" t="s">
        <v>925</v>
      </c>
      <c r="H1772" s="42" t="s">
        <v>1195</v>
      </c>
      <c r="I1772" t="s">
        <v>876</v>
      </c>
      <c r="J1772" s="31" t="str">
        <f>IF(I1772="","",_xlfn.XLOOKUP(TRIM(I1772),'SkillMasterSkill ID'!$C:$C,'SkillMasterSkill ID'!$F:$F,"NOT FOUND",0))</f>
        <v>Ability to communicate clearly and consistently about role clarity.</v>
      </c>
      <c r="K1772" s="31" t="s">
        <v>792</v>
      </c>
      <c r="L1772" s="31">
        <v>2</v>
      </c>
    </row>
    <row r="1773" spans="1:12" ht="16.5" thickBot="1" x14ac:dyDescent="0.3">
      <c r="A1773" t="s">
        <v>1135</v>
      </c>
      <c r="B1773" s="63">
        <v>10302</v>
      </c>
      <c r="C1773" s="63" t="s">
        <v>797</v>
      </c>
      <c r="D1773" s="50">
        <v>5</v>
      </c>
      <c r="E1773" s="46" t="str">
        <f>IF(I1773="","",_xlfn.XLOOKUP(TRIM(I1773),'SkillMasterSkill ID'!$C:$C,'SkillMasterSkill ID'!$D:$D,"",0))</f>
        <v>PMGT</v>
      </c>
      <c r="F1773" s="46" t="str">
        <f>IF(I1773="","",IF(_xlfn.XLOOKUP(TRIM(I1773),'SkillMasterSkill ID'!$C:$C,'SkillMasterSkill ID'!$E:$E,"")=0,"",_xlfn.XLOOKUP(TRIM(I1773),'SkillMasterSkill ID'!$C:$C,'SkillMasterSkill ID'!$E:$E,"")))</f>
        <v/>
      </c>
      <c r="G1773" s="50" t="s">
        <v>1181</v>
      </c>
      <c r="H1773" s="42" t="s">
        <v>938</v>
      </c>
      <c r="I1773" t="s">
        <v>940</v>
      </c>
      <c r="J1773" s="50" t="str">
        <f>IF(I1773="","",_xlfn.XLOOKUP(TRIM(I1773),'SkillMasterSkill ID'!$C:$C,'SkillMasterSkill ID'!$F:$F,"NOT FOUND",0))</f>
        <v>Ability to analyze performance and trends, evaluate execution quality, and identify issues early for action.</v>
      </c>
      <c r="K1773" s="50" t="s">
        <v>795</v>
      </c>
      <c r="L1773" s="50">
        <v>2</v>
      </c>
    </row>
    <row r="1774" spans="1:12" ht="16.5" thickBot="1" x14ac:dyDescent="0.3">
      <c r="A1774" t="s">
        <v>1135</v>
      </c>
      <c r="B1774" s="63">
        <v>10302</v>
      </c>
      <c r="C1774" s="63" t="s">
        <v>797</v>
      </c>
      <c r="D1774" s="50">
        <v>5</v>
      </c>
      <c r="E1774" s="46" t="str">
        <f>IF(I1774="","",_xlfn.XLOOKUP(TRIM(I1774),'SkillMasterSkill ID'!$C:$C,'SkillMasterSkill ID'!$D:$D,"",0))</f>
        <v>PMGT</v>
      </c>
      <c r="F1774" s="46" t="str">
        <f>IF(I1774="","",IF(_xlfn.XLOOKUP(TRIM(I1774),'SkillMasterSkill ID'!$C:$C,'SkillMasterSkill ID'!$E:$E,"")=0,"",_xlfn.XLOOKUP(TRIM(I1774),'SkillMasterSkill ID'!$C:$C,'SkillMasterSkill ID'!$E:$E,"")))</f>
        <v/>
      </c>
      <c r="G1774" s="50" t="s">
        <v>1181</v>
      </c>
      <c r="H1774" s="42" t="s">
        <v>938</v>
      </c>
      <c r="I1774" t="s">
        <v>940</v>
      </c>
      <c r="J1774" s="50" t="str">
        <f>IF(I1774="","",_xlfn.XLOOKUP(TRIM(I1774),'SkillMasterSkill ID'!$C:$C,'SkillMasterSkill ID'!$F:$F,"NOT FOUND",0))</f>
        <v>Ability to analyze performance and trends, evaluate execution quality, and identify issues early for action.</v>
      </c>
      <c r="K1774" s="27"/>
      <c r="L1774" s="27"/>
    </row>
    <row r="1775" spans="1:12" ht="16.5" thickBot="1" x14ac:dyDescent="0.3">
      <c r="A1775" t="s">
        <v>1136</v>
      </c>
      <c r="B1775" s="63">
        <v>10302</v>
      </c>
      <c r="C1775" s="63" t="s">
        <v>797</v>
      </c>
      <c r="D1775" s="50">
        <v>5</v>
      </c>
      <c r="E1775" s="50" t="str">
        <f>IF(I1775="","",_xlfn.XLOOKUP(TRIM(I1775),'SkillMasterSkill ID'!$C:$C,'SkillMasterSkill ID'!$D:$D,"NOT FOUND",0))</f>
        <v>COMM</v>
      </c>
      <c r="F1775" s="46" t="str">
        <f>IF(I1775="","",IF(_xlfn.XLOOKUP(TRIM(I1775),'SkillMasterSkill ID'!$C:$C,'SkillMasterSkill ID'!$E:$E,"")=0,"",_xlfn.XLOOKUP(TRIM(I1775),'SkillMasterSkill ID'!$C:$C,'SkillMasterSkill ID'!$E:$E,"")))</f>
        <v/>
      </c>
      <c r="G1775" s="11" t="s">
        <v>921</v>
      </c>
      <c r="H1775" s="42" t="s">
        <v>1186</v>
      </c>
      <c r="I1775" t="s">
        <v>908</v>
      </c>
      <c r="J1775" s="50" t="str">
        <f>IF(I1775="","",_xlfn.XLOOKUP(TRIM(I1775),'SkillMasterSkill ID'!$C:$C,'SkillMasterSkill ID'!$F:$F,"NOT FOUND",0))</f>
        <v>Ability to communicate clearly and consistently about schedule.</v>
      </c>
      <c r="K1775" s="50" t="s">
        <v>792</v>
      </c>
      <c r="L1775" s="50">
        <v>2</v>
      </c>
    </row>
    <row r="1776" spans="1:12" ht="16.5" thickBot="1" x14ac:dyDescent="0.3">
      <c r="A1776" t="s">
        <v>1136</v>
      </c>
      <c r="B1776" s="63">
        <v>10302</v>
      </c>
      <c r="C1776" s="63" t="s">
        <v>797</v>
      </c>
      <c r="D1776" s="31">
        <v>5</v>
      </c>
      <c r="E1776" s="31" t="str">
        <f>IF(I1776="","",_xlfn.XLOOKUP(TRIM(I1776),'SkillMasterSkill ID'!$C:$C,'SkillMasterSkill ID'!$D:$D,"NOT FOUND",0))</f>
        <v>COMM</v>
      </c>
      <c r="F1776" s="46" t="str">
        <f>IF(I1776="","",IF(_xlfn.XLOOKUP(TRIM(I1776),'SkillMasterSkill ID'!$C:$C,'SkillMasterSkill ID'!$E:$E,"")=0,"",_xlfn.XLOOKUP(TRIM(I1776),'SkillMasterSkill ID'!$C:$C,'SkillMasterSkill ID'!$E:$E,"")))</f>
        <v/>
      </c>
      <c r="G1776" s="11" t="s">
        <v>921</v>
      </c>
      <c r="H1776" s="42" t="s">
        <v>1191</v>
      </c>
      <c r="I1776" t="s">
        <v>908</v>
      </c>
      <c r="J1776" s="31" t="str">
        <f>IF(I1776="","",_xlfn.XLOOKUP(TRIM(I1776),'SkillMasterSkill ID'!$C:$C,'SkillMasterSkill ID'!$F:$F,"NOT FOUND",0))</f>
        <v>Ability to communicate clearly and consistently about schedule.</v>
      </c>
      <c r="K1776" s="31" t="s">
        <v>792</v>
      </c>
      <c r="L1776" s="31">
        <v>2</v>
      </c>
    </row>
    <row r="1777" spans="1:12" ht="16.5" thickBot="1" x14ac:dyDescent="0.3">
      <c r="A1777" t="s">
        <v>1136</v>
      </c>
      <c r="B1777" s="63">
        <v>10302</v>
      </c>
      <c r="C1777" s="63" t="s">
        <v>797</v>
      </c>
      <c r="D1777" s="31">
        <v>5</v>
      </c>
      <c r="E1777" s="31" t="str">
        <f>IF(I1777="","",_xlfn.XLOOKUP(TRIM(I1777),'SkillMasterSkill ID'!$C:$C,'SkillMasterSkill ID'!$D:$D,"NOT FOUND",0))</f>
        <v>COMM</v>
      </c>
      <c r="F1777" s="46" t="str">
        <f>IF(I1777="","",IF(_xlfn.XLOOKUP(TRIM(I1777),'SkillMasterSkill ID'!$C:$C,'SkillMasterSkill ID'!$E:$E,"")=0,"",_xlfn.XLOOKUP(TRIM(I1777),'SkillMasterSkill ID'!$C:$C,'SkillMasterSkill ID'!$E:$E,"")))</f>
        <v/>
      </c>
      <c r="G1777" s="11" t="s">
        <v>921</v>
      </c>
      <c r="H1777" s="42" t="s">
        <v>1193</v>
      </c>
      <c r="I1777" t="s">
        <v>908</v>
      </c>
      <c r="J1777" s="31" t="str">
        <f>IF(I1777="","",_xlfn.XLOOKUP(TRIM(I1777),'SkillMasterSkill ID'!$C:$C,'SkillMasterSkill ID'!$F:$F,"NOT FOUND",0))</f>
        <v>Ability to communicate clearly and consistently about schedule.</v>
      </c>
      <c r="K1777" s="31" t="s">
        <v>792</v>
      </c>
      <c r="L1777" s="31">
        <v>2</v>
      </c>
    </row>
    <row r="1778" spans="1:12" ht="16.5" thickBot="1" x14ac:dyDescent="0.3">
      <c r="A1778" t="s">
        <v>1138</v>
      </c>
      <c r="B1778" s="63">
        <v>10302</v>
      </c>
      <c r="C1778" s="63" t="s">
        <v>797</v>
      </c>
      <c r="D1778" s="50">
        <v>5</v>
      </c>
      <c r="E1778" s="46" t="str">
        <f>IF(I1778="","",_xlfn.XLOOKUP(TRIM(I1778),'SkillMasterSkill ID'!$C:$C,'SkillMasterSkill ID'!$D:$D,"",0))</f>
        <v>PERF</v>
      </c>
      <c r="F1778" s="46" t="str">
        <f>IF(I1778="","",IF(_xlfn.XLOOKUP(TRIM(I1778),'SkillMasterSkill ID'!$C:$C,'SkillMasterSkill ID'!$E:$E,"")=0,"",_xlfn.XLOOKUP(TRIM(I1778),'SkillMasterSkill ID'!$C:$C,'SkillMasterSkill ID'!$E:$E,"")))</f>
        <v>PLAN</v>
      </c>
      <c r="G1778" s="50" t="s">
        <v>798</v>
      </c>
      <c r="H1778" s="51" t="s">
        <v>800</v>
      </c>
      <c r="I1778" t="s">
        <v>826</v>
      </c>
      <c r="J1778" s="50" t="str">
        <f>IF(I1778="","",_xlfn.XLOOKUP(TRIM(I1778),'SkillMasterSkill ID'!$C:$C,'SkillMasterSkill ID'!$F:$F,"NOT FOUND",0))</f>
        <v>Ability to plan and sequence work effectively, using schedules, constraints, and lookahead thinking to meet targets.</v>
      </c>
      <c r="K1778" s="50" t="s">
        <v>795</v>
      </c>
      <c r="L1778" s="50">
        <v>2</v>
      </c>
    </row>
    <row r="1779" spans="1:12" ht="16.5" thickBot="1" x14ac:dyDescent="0.3">
      <c r="A1779" t="s">
        <v>1138</v>
      </c>
      <c r="B1779" s="63">
        <v>10302</v>
      </c>
      <c r="C1779" s="63" t="s">
        <v>797</v>
      </c>
      <c r="D1779" s="50">
        <v>5</v>
      </c>
      <c r="E1779" s="50" t="str">
        <f>IF(I1779="","",_xlfn.XLOOKUP(TRIM(I1779),'SkillMasterSkill ID'!$C:$C,'SkillMasterSkill ID'!$D:$D,"NOT FOUND",0))</f>
        <v>PERF</v>
      </c>
      <c r="F1779" s="46" t="str">
        <f>IF(I1779="","",IF(_xlfn.XLOOKUP(TRIM(I1779),'SkillMasterSkill ID'!$C:$C,'SkillMasterSkill ID'!$E:$E,"")=0,"",_xlfn.XLOOKUP(TRIM(I1779),'SkillMasterSkill ID'!$C:$C,'SkillMasterSkill ID'!$E:$E,"")))</f>
        <v>PLAN</v>
      </c>
      <c r="G1779" s="11" t="s">
        <v>921</v>
      </c>
      <c r="H1779" s="42" t="s">
        <v>1186</v>
      </c>
      <c r="I1779" t="s">
        <v>826</v>
      </c>
      <c r="J1779" s="50" t="str">
        <f>IF(I1779="","",_xlfn.XLOOKUP(TRIM(I1779),'SkillMasterSkill ID'!$C:$C,'SkillMasterSkill ID'!$F:$F,"NOT FOUND",0))</f>
        <v>Ability to plan and sequence work effectively, using schedules, constraints, and lookahead thinking to meet targets.</v>
      </c>
      <c r="K1779" s="50" t="s">
        <v>792</v>
      </c>
      <c r="L1779" s="50">
        <v>2</v>
      </c>
    </row>
    <row r="1780" spans="1:12" ht="16.5" thickBot="1" x14ac:dyDescent="0.3">
      <c r="A1780" t="s">
        <v>1138</v>
      </c>
      <c r="B1780" s="63">
        <v>10302</v>
      </c>
      <c r="C1780" s="63" t="s">
        <v>797</v>
      </c>
      <c r="D1780" s="50">
        <v>5</v>
      </c>
      <c r="E1780" s="50" t="str">
        <f>IF(I1780="","",_xlfn.XLOOKUP(TRIM(I1780),'SkillMasterSkill ID'!$C:$C,'SkillMasterSkill ID'!$D:$D,"NOT FOUND",0))</f>
        <v>PERF</v>
      </c>
      <c r="F1780" s="46" t="str">
        <f>IF(I1780="","",IF(_xlfn.XLOOKUP(TRIM(I1780),'SkillMasterSkill ID'!$C:$C,'SkillMasterSkill ID'!$E:$E,"")=0,"",_xlfn.XLOOKUP(TRIM(I1780),'SkillMasterSkill ID'!$C:$C,'SkillMasterSkill ID'!$E:$E,"")))</f>
        <v>PLAN</v>
      </c>
      <c r="G1780" s="11" t="s">
        <v>921</v>
      </c>
      <c r="H1780" s="42" t="s">
        <v>1187</v>
      </c>
      <c r="I1780" t="s">
        <v>826</v>
      </c>
      <c r="J1780" s="50" t="str">
        <f>IF(I1780="","",_xlfn.XLOOKUP(TRIM(I1780),'SkillMasterSkill ID'!$C:$C,'SkillMasterSkill ID'!$F:$F,"NOT FOUND",0))</f>
        <v>Ability to plan and sequence work effectively, using schedules, constraints, and lookahead thinking to meet targets.</v>
      </c>
      <c r="K1780" s="50" t="s">
        <v>792</v>
      </c>
      <c r="L1780" s="50">
        <v>2</v>
      </c>
    </row>
    <row r="1781" spans="1:12" ht="16.5" thickBot="1" x14ac:dyDescent="0.3">
      <c r="A1781" t="s">
        <v>1139</v>
      </c>
      <c r="B1781" s="63">
        <v>10302</v>
      </c>
      <c r="C1781" s="63" t="s">
        <v>797</v>
      </c>
      <c r="D1781" s="50">
        <v>5</v>
      </c>
      <c r="E1781" s="46" t="str">
        <f>IF(I1781="","",_xlfn.XLOOKUP(TRIM(I1781),'SkillMasterSkill ID'!$C:$C,'SkillMasterSkill ID'!$D:$D,"",0))</f>
        <v>PERF</v>
      </c>
      <c r="F1781" s="46" t="str">
        <f>IF(I1781="","",IF(_xlfn.XLOOKUP(TRIM(I1781),'SkillMasterSkill ID'!$C:$C,'SkillMasterSkill ID'!$E:$E,"")=0,"",_xlfn.XLOOKUP(TRIM(I1781),'SkillMasterSkill ID'!$C:$C,'SkillMasterSkill ID'!$E:$E,"")))</f>
        <v/>
      </c>
      <c r="G1781" s="50" t="s">
        <v>798</v>
      </c>
      <c r="H1781" s="51" t="s">
        <v>800</v>
      </c>
      <c r="I1781" t="s">
        <v>923</v>
      </c>
      <c r="J1781" s="50" t="str">
        <f>IF(I1781="","",_xlfn.XLOOKUP(TRIM(I1781),'SkillMasterSkill ID'!$C:$C,'SkillMasterSkill ID'!$F:$F,"NOT FOUND",0))</f>
        <v>Ability to plan and sequence work effectively, using schedules, constraints, and lookahead thinking to meet targets.</v>
      </c>
      <c r="K1781" s="50" t="s">
        <v>795</v>
      </c>
      <c r="L1781" s="50">
        <v>2</v>
      </c>
    </row>
    <row r="1782" spans="1:12" ht="16.5" thickBot="1" x14ac:dyDescent="0.3">
      <c r="A1782" t="s">
        <v>1140</v>
      </c>
      <c r="B1782" s="63">
        <v>10302</v>
      </c>
      <c r="C1782" s="63" t="s">
        <v>797</v>
      </c>
      <c r="D1782" s="31">
        <v>5</v>
      </c>
      <c r="E1782" s="31" t="str">
        <f>IF(I1782="","",_xlfn.XLOOKUP(TRIM(I1782),'SkillMasterSkill ID'!$C:$C,'SkillMasterSkill ID'!$D:$D,"NOT FOUND",0))</f>
        <v>PLAN</v>
      </c>
      <c r="F1782" s="46" t="str">
        <f>IF(I1782="","",IF(_xlfn.XLOOKUP(TRIM(I1782),'SkillMasterSkill ID'!$C:$C,'SkillMasterSkill ID'!$E:$E,"")=0,"",_xlfn.XLOOKUP(TRIM(I1782),'SkillMasterSkill ID'!$C:$C,'SkillMasterSkill ID'!$E:$E,"")))</f>
        <v/>
      </c>
      <c r="G1782" s="11" t="s">
        <v>921</v>
      </c>
      <c r="H1782" s="42" t="s">
        <v>1190</v>
      </c>
      <c r="I1782" t="s">
        <v>912</v>
      </c>
      <c r="J1782" s="31" t="str">
        <f>IF(I1782="","",_xlfn.XLOOKUP(TRIM(I1782),'SkillMasterSkill ID'!$C:$C,'SkillMasterSkill ID'!$F:$F,"NOT FOUND",0))</f>
        <v>Ability to plan and sequence work effectively, using schedules, constraints, and lookahead thinking to meet targets.</v>
      </c>
      <c r="K1782" s="31" t="s">
        <v>792</v>
      </c>
      <c r="L1782" s="31">
        <v>2</v>
      </c>
    </row>
    <row r="1783" spans="1:12" ht="16.5" thickBot="1" x14ac:dyDescent="0.3">
      <c r="A1783" t="s">
        <v>1141</v>
      </c>
      <c r="B1783" s="63">
        <v>10302</v>
      </c>
      <c r="C1783" s="63" t="s">
        <v>797</v>
      </c>
      <c r="D1783" s="31">
        <v>5</v>
      </c>
      <c r="E1783" s="31" t="str">
        <f>IF(I1783="","",_xlfn.XLOOKUP(TRIM(I1783),'SkillMasterSkill ID'!$C:$C,'SkillMasterSkill ID'!$D:$D,"NOT FOUND",0))</f>
        <v>COMM</v>
      </c>
      <c r="F1783" s="46" t="str">
        <f>IF(I1783="","",IF(_xlfn.XLOOKUP(TRIM(I1783),'SkillMasterSkill ID'!$C:$C,'SkillMasterSkill ID'!$E:$E,"")=0,"",_xlfn.XLOOKUP(TRIM(I1783),'SkillMasterSkill ID'!$C:$C,'SkillMasterSkill ID'!$E:$E,"")))</f>
        <v/>
      </c>
      <c r="G1783" s="11" t="s">
        <v>921</v>
      </c>
      <c r="H1783" s="42" t="s">
        <v>1189</v>
      </c>
      <c r="I1783" t="s">
        <v>904</v>
      </c>
      <c r="J1783" s="31" t="str">
        <f>IF(I1783="","",_xlfn.XLOOKUP(TRIM(I1783),'SkillMasterSkill ID'!$C:$C,'SkillMasterSkill ID'!$F:$F,"NOT FOUND",0))</f>
        <v>Ability to communicate clearly and consistently about scope change.</v>
      </c>
      <c r="K1783" s="31" t="s">
        <v>792</v>
      </c>
      <c r="L1783" s="31">
        <v>2</v>
      </c>
    </row>
    <row r="1784" spans="1:12" ht="16.5" thickBot="1" x14ac:dyDescent="0.3">
      <c r="A1784" t="s">
        <v>1145</v>
      </c>
      <c r="B1784" s="63">
        <v>10302</v>
      </c>
      <c r="C1784" s="63" t="s">
        <v>797</v>
      </c>
      <c r="D1784" s="31">
        <v>5</v>
      </c>
      <c r="E1784" s="31" t="str">
        <f>IF(I1784="","",_xlfn.XLOOKUP(TRIM(I1784),'SkillMasterSkill ID'!$C:$C,'SkillMasterSkill ID'!$D:$D,"NOT FOUND",0))</f>
        <v>PLAN</v>
      </c>
      <c r="F1784" s="46" t="str">
        <f>IF(I1784="","",IF(_xlfn.XLOOKUP(TRIM(I1784),'SkillMasterSkill ID'!$C:$C,'SkillMasterSkill ID'!$E:$E,"")=0,"",_xlfn.XLOOKUP(TRIM(I1784),'SkillMasterSkill ID'!$C:$C,'SkillMasterSkill ID'!$E:$E,"")))</f>
        <v/>
      </c>
      <c r="G1784" s="11" t="s">
        <v>921</v>
      </c>
      <c r="H1784" s="42" t="s">
        <v>1191</v>
      </c>
      <c r="I1784" t="s">
        <v>913</v>
      </c>
      <c r="J1784" s="31" t="str">
        <f>IF(I1784="","",_xlfn.XLOOKUP(TRIM(I1784),'SkillMasterSkill ID'!$C:$C,'SkillMasterSkill ID'!$F:$F,"NOT FOUND",0))</f>
        <v>Ability to plan and sequence work effectively, using schedules, constraints, and lookahead thinking to meet targets.</v>
      </c>
      <c r="K1784" s="31" t="s">
        <v>792</v>
      </c>
      <c r="L1784" s="31">
        <v>2</v>
      </c>
    </row>
    <row r="1785" spans="1:12" ht="16.5" thickBot="1" x14ac:dyDescent="0.3">
      <c r="A1785" t="s">
        <v>1148</v>
      </c>
      <c r="B1785" s="63">
        <v>10302</v>
      </c>
      <c r="C1785" s="63" t="s">
        <v>797</v>
      </c>
      <c r="D1785" s="31">
        <v>5</v>
      </c>
      <c r="E1785" s="31" t="str">
        <f>IF(I1785="","",_xlfn.XLOOKUP(TRIM(I1785),'SkillMasterSkill ID'!$C:$C,'SkillMasterSkill ID'!$D:$D,"NOT FOUND",0))</f>
        <v>PLAN</v>
      </c>
      <c r="F1785" s="46" t="str">
        <f>IF(I1785="","",IF(_xlfn.XLOOKUP(TRIM(I1785),'SkillMasterSkill ID'!$C:$C,'SkillMasterSkill ID'!$E:$E,"")=0,"",_xlfn.XLOOKUP(TRIM(I1785),'SkillMasterSkill ID'!$C:$C,'SkillMasterSkill ID'!$E:$E,"")))</f>
        <v/>
      </c>
      <c r="G1785" s="11" t="s">
        <v>921</v>
      </c>
      <c r="H1785" s="42" t="s">
        <v>1190</v>
      </c>
      <c r="I1785" t="s">
        <v>825</v>
      </c>
      <c r="J1785" s="31" t="str">
        <f>IF(I1785="","",_xlfn.XLOOKUP(TRIM(I1785),'SkillMasterSkill ID'!$C:$C,'SkillMasterSkill ID'!$F:$F,"NOT FOUND",0))</f>
        <v>Competency related to skill mix optimization that supports effective field/project leadership and execution.</v>
      </c>
      <c r="K1785" s="31" t="s">
        <v>792</v>
      </c>
      <c r="L1785" s="31">
        <v>2</v>
      </c>
    </row>
    <row r="1786" spans="1:12" ht="16.5" thickBot="1" x14ac:dyDescent="0.3">
      <c r="A1786" t="s">
        <v>1148</v>
      </c>
      <c r="B1786" s="63">
        <v>10302</v>
      </c>
      <c r="C1786" s="63" t="s">
        <v>797</v>
      </c>
      <c r="D1786" s="31">
        <v>5</v>
      </c>
      <c r="E1786" s="31" t="str">
        <f>IF(I1786="","",_xlfn.XLOOKUP(TRIM(I1786),'SkillMasterSkill ID'!$C:$C,'SkillMasterSkill ID'!$D:$D,"NOT FOUND",0))</f>
        <v>PLAN</v>
      </c>
      <c r="F1786" s="46" t="str">
        <f>IF(I1786="","",IF(_xlfn.XLOOKUP(TRIM(I1786),'SkillMasterSkill ID'!$C:$C,'SkillMasterSkill ID'!$E:$E,"")=0,"",_xlfn.XLOOKUP(TRIM(I1786),'SkillMasterSkill ID'!$C:$C,'SkillMasterSkill ID'!$E:$E,"")))</f>
        <v/>
      </c>
      <c r="G1786" t="s">
        <v>925</v>
      </c>
      <c r="H1786" s="42" t="s">
        <v>1202</v>
      </c>
      <c r="I1786" t="s">
        <v>825</v>
      </c>
      <c r="J1786" s="31" t="str">
        <f>IF(I1786="","",_xlfn.XLOOKUP(TRIM(I1786),'SkillMasterSkill ID'!$C:$C,'SkillMasterSkill ID'!$F:$F,"NOT FOUND",0))</f>
        <v>Competency related to skill mix optimization that supports effective field/project leadership and execution.</v>
      </c>
      <c r="K1786" s="31" t="s">
        <v>792</v>
      </c>
      <c r="L1786" s="31">
        <v>2</v>
      </c>
    </row>
    <row r="1787" spans="1:12" ht="16.5" thickBot="1" x14ac:dyDescent="0.3">
      <c r="A1787" t="s">
        <v>1150</v>
      </c>
      <c r="B1787" s="63">
        <v>10302</v>
      </c>
      <c r="C1787" s="63" t="s">
        <v>797</v>
      </c>
      <c r="D1787" s="31">
        <v>5</v>
      </c>
      <c r="E1787" s="31" t="str">
        <f>IF(I1787="","",_xlfn.XLOOKUP(TRIM(I1787),'SkillMasterSkill ID'!$C:$C,'SkillMasterSkill ID'!$D:$D,"NOT FOUND",0))</f>
        <v>ADAPT</v>
      </c>
      <c r="F1787" s="46" t="str">
        <f>IF(I1787="","",IF(_xlfn.XLOOKUP(TRIM(I1787),'SkillMasterSkill ID'!$C:$C,'SkillMasterSkill ID'!$E:$E,"")=0,"",_xlfn.XLOOKUP(TRIM(I1787),'SkillMasterSkill ID'!$C:$C,'SkillMasterSkill ID'!$E:$E,"")))</f>
        <v/>
      </c>
      <c r="G1787" t="s">
        <v>925</v>
      </c>
      <c r="H1787" s="42" t="s">
        <v>1196</v>
      </c>
      <c r="I1787" t="s">
        <v>809</v>
      </c>
      <c r="J1787" s="31" t="str">
        <f>IF(I1787="","",_xlfn.XLOOKUP(TRIM(I1787),'SkillMasterSkill ID'!$C:$C,'SkillMasterSkill ID'!$F:$F,"NOT FOUND",0))</f>
        <v>Competency related to stakeholder awareness that supports effective field/project leadership and execution.</v>
      </c>
      <c r="K1787" s="31" t="s">
        <v>792</v>
      </c>
      <c r="L1787" s="31">
        <v>2</v>
      </c>
    </row>
    <row r="1788" spans="1:12" ht="16.5" thickBot="1" x14ac:dyDescent="0.3">
      <c r="A1788" t="s">
        <v>1152</v>
      </c>
      <c r="B1788" s="63">
        <v>10302</v>
      </c>
      <c r="C1788" s="63" t="s">
        <v>797</v>
      </c>
      <c r="D1788" s="50">
        <v>5</v>
      </c>
      <c r="E1788" s="46" t="str">
        <f>IF(I1788="","",_xlfn.XLOOKUP(TRIM(I1788),'SkillMasterSkill ID'!$C:$C,'SkillMasterSkill ID'!$D:$D,"",0))</f>
        <v>ADAPT</v>
      </c>
      <c r="F1788" s="46" t="str">
        <f>IF(I1788="","",IF(_xlfn.XLOOKUP(TRIM(I1788),'SkillMasterSkill ID'!$C:$C,'SkillMasterSkill ID'!$E:$E,"")=0,"",_xlfn.XLOOKUP(TRIM(I1788),'SkillMasterSkill ID'!$C:$C,'SkillMasterSkill ID'!$E:$E,"")))</f>
        <v/>
      </c>
      <c r="G1788" s="50" t="s">
        <v>1181</v>
      </c>
      <c r="H1788" s="42" t="s">
        <v>925</v>
      </c>
      <c r="I1788" t="s">
        <v>810</v>
      </c>
      <c r="J1788" s="50" t="str">
        <f>IF(I1788="","",_xlfn.XLOOKUP(TRIM(I1788),'SkillMasterSkill ID'!$C:$C,'SkillMasterSkill ID'!$F:$F,"NOT FOUND",0))</f>
        <v>Ability to analyze performance and trends, evaluate execution quality, and identify issues early for action.</v>
      </c>
      <c r="K1788" s="50"/>
      <c r="L1788" s="50"/>
    </row>
    <row r="1789" spans="1:12" ht="16.5" thickBot="1" x14ac:dyDescent="0.3">
      <c r="A1789" t="s">
        <v>1153</v>
      </c>
      <c r="B1789" s="63">
        <v>10302</v>
      </c>
      <c r="C1789" s="63" t="s">
        <v>797</v>
      </c>
      <c r="D1789" s="31">
        <v>5</v>
      </c>
      <c r="E1789" s="31" t="str">
        <f>IF(I1789="","",_xlfn.XLOOKUP(TRIM(I1789),'SkillMasterSkill ID'!$C:$C,'SkillMasterSkill ID'!$D:$D,"NOT FOUND",0))</f>
        <v>PLAN</v>
      </c>
      <c r="F1789" s="46" t="str">
        <f>IF(I1789="","",IF(_xlfn.XLOOKUP(TRIM(I1789),'SkillMasterSkill ID'!$C:$C,'SkillMasterSkill ID'!$E:$E,"")=0,"",_xlfn.XLOOKUP(TRIM(I1789),'SkillMasterSkill ID'!$C:$C,'SkillMasterSkill ID'!$E:$E,"")))</f>
        <v/>
      </c>
      <c r="G1789" s="11" t="s">
        <v>921</v>
      </c>
      <c r="H1789" s="42" t="s">
        <v>1192</v>
      </c>
      <c r="I1789" t="s">
        <v>837</v>
      </c>
      <c r="J1789" s="31" t="str">
        <f>IF(I1789="","",_xlfn.XLOOKUP(TRIM(I1789),'SkillMasterSkill ID'!$C:$C,'SkillMasterSkill ID'!$F:$F,"NOT FOUND",0))</f>
        <v>Ability to coordinate resources and people (manpower, priorities, and workload) to keep work flowing efficiently.</v>
      </c>
      <c r="K1789" s="31" t="s">
        <v>792</v>
      </c>
      <c r="L1789" s="31">
        <v>2</v>
      </c>
    </row>
    <row r="1790" spans="1:12" ht="16.5" thickBot="1" x14ac:dyDescent="0.3">
      <c r="A1790" t="s">
        <v>1154</v>
      </c>
      <c r="B1790" s="63">
        <v>10302</v>
      </c>
      <c r="C1790" s="63" t="s">
        <v>797</v>
      </c>
      <c r="D1790" s="50">
        <v>5</v>
      </c>
      <c r="E1790" s="46" t="str">
        <f>IF(I1790="","",_xlfn.XLOOKUP(TRIM(I1790),'SkillMasterSkill ID'!$C:$C,'SkillMasterSkill ID'!$D:$D,"",0))</f>
        <v>DOC</v>
      </c>
      <c r="F1790" s="46" t="str">
        <f>IF(I1790="","",IF(_xlfn.XLOOKUP(TRIM(I1790),'SkillMasterSkill ID'!$C:$C,'SkillMasterSkill ID'!$E:$E,"")=0,"",_xlfn.XLOOKUP(TRIM(I1790),'SkillMasterSkill ID'!$C:$C,'SkillMasterSkill ID'!$E:$E,"")))</f>
        <v/>
      </c>
      <c r="G1790" s="50" t="s">
        <v>1181</v>
      </c>
      <c r="H1790" s="42" t="s">
        <v>930</v>
      </c>
      <c r="I1790" t="s">
        <v>916</v>
      </c>
      <c r="J1790" s="50" t="str">
        <f>IF(I1790="","",_xlfn.XLOOKUP(TRIM(I1790),'SkillMasterSkill ID'!$C:$C,'SkillMasterSkill ID'!$F:$F,"NOT FOUND",0))</f>
        <v>Ability to maintain accurate, timely documentation and verify compliance to support accountability and project controls.</v>
      </c>
      <c r="K1790" s="50"/>
      <c r="L1790" s="50"/>
    </row>
    <row r="1791" spans="1:12" ht="16.5" thickBot="1" x14ac:dyDescent="0.3">
      <c r="A1791" t="s">
        <v>1154</v>
      </c>
      <c r="B1791" s="63">
        <v>10302</v>
      </c>
      <c r="C1791" s="63" t="s">
        <v>797</v>
      </c>
      <c r="D1791" s="50">
        <v>5</v>
      </c>
      <c r="E1791" s="46" t="str">
        <f>IF(I1791="","",_xlfn.XLOOKUP(TRIM(I1791),'SkillMasterSkill ID'!$C:$C,'SkillMasterSkill ID'!$D:$D,"",0))</f>
        <v>DOC</v>
      </c>
      <c r="F1791" s="46" t="str">
        <f>IF(I1791="","",IF(_xlfn.XLOOKUP(TRIM(I1791),'SkillMasterSkill ID'!$C:$C,'SkillMasterSkill ID'!$E:$E,"")=0,"",_xlfn.XLOOKUP(TRIM(I1791),'SkillMasterSkill ID'!$C:$C,'SkillMasterSkill ID'!$E:$E,"")))</f>
        <v/>
      </c>
      <c r="G1791" s="50" t="s">
        <v>1181</v>
      </c>
      <c r="H1791" s="42" t="s">
        <v>930</v>
      </c>
      <c r="I1791" t="s">
        <v>916</v>
      </c>
      <c r="J1791" s="50" t="str">
        <f>IF(I1791="","",_xlfn.XLOOKUP(TRIM(I1791),'SkillMasterSkill ID'!$C:$C,'SkillMasterSkill ID'!$F:$F,"NOT FOUND",0))</f>
        <v>Ability to maintain accurate, timely documentation and verify compliance to support accountability and project controls.</v>
      </c>
      <c r="K1791" s="27"/>
      <c r="L1791" s="27"/>
    </row>
    <row r="1792" spans="1:12" ht="16.5" thickBot="1" x14ac:dyDescent="0.3">
      <c r="A1792" t="s">
        <v>1156</v>
      </c>
      <c r="B1792" s="63">
        <v>10302</v>
      </c>
      <c r="C1792" s="63" t="s">
        <v>797</v>
      </c>
      <c r="D1792" s="50">
        <v>5</v>
      </c>
      <c r="E1792" s="46" t="str">
        <f>IF(I1792="","",_xlfn.XLOOKUP(TRIM(I1792),'SkillMasterSkill ID'!$C:$C,'SkillMasterSkill ID'!$D:$D,"NOT FOUND",0))</f>
        <v>FIN</v>
      </c>
      <c r="F1792" s="46" t="str">
        <f>IF(I1792="","",IF(_xlfn.XLOOKUP(TRIM(I1792),'SkillMasterSkill ID'!$C:$C,'SkillMasterSkill ID'!$E:$E,"")=0,"",_xlfn.XLOOKUP(TRIM(I1792),'SkillMasterSkill ID'!$C:$C,'SkillMasterSkill ID'!$E:$E,"")))</f>
        <v/>
      </c>
      <c r="G1792" s="11" t="s">
        <v>921</v>
      </c>
      <c r="H1792" s="42" t="s">
        <v>1183</v>
      </c>
      <c r="I1792" t="s">
        <v>895</v>
      </c>
      <c r="J1792" s="50" t="str">
        <f>IF(I1792="","",_xlfn.XLOOKUP(TRIM(I1792),'SkillMasterSkill ID'!$C:$C,'SkillMasterSkill ID'!$F:$F,"NOT FOUND",0))</f>
        <v>Ability to analyze performance and trends, evaluate execution quality, and identify issues early for action.</v>
      </c>
      <c r="K1792" s="27"/>
      <c r="L1792" s="27"/>
    </row>
    <row r="1793" spans="1:12" ht="16.5" thickBot="1" x14ac:dyDescent="0.3">
      <c r="A1793" t="s">
        <v>1156</v>
      </c>
      <c r="B1793" s="63">
        <v>10302</v>
      </c>
      <c r="C1793" s="63" t="s">
        <v>797</v>
      </c>
      <c r="D1793" s="50">
        <v>5</v>
      </c>
      <c r="E1793" s="50" t="str">
        <f>IF(I1793="","",_xlfn.XLOOKUP(TRIM(I1793),'SkillMasterSkill ID'!$C:$C,'SkillMasterSkill ID'!$D:$D,"NOT FOUND",0))</f>
        <v>FIN</v>
      </c>
      <c r="F1793" s="46" t="str">
        <f>IF(I1793="","",IF(_xlfn.XLOOKUP(TRIM(I1793),'SkillMasterSkill ID'!$C:$C,'SkillMasterSkill ID'!$E:$E,"")=0,"",_xlfn.XLOOKUP(TRIM(I1793),'SkillMasterSkill ID'!$C:$C,'SkillMasterSkill ID'!$E:$E,"")))</f>
        <v/>
      </c>
      <c r="G1793" s="11" t="s">
        <v>921</v>
      </c>
      <c r="H1793" s="42" t="s">
        <v>1185</v>
      </c>
      <c r="I1793" t="s">
        <v>895</v>
      </c>
      <c r="J1793" s="50" t="str">
        <f>IF(I1793="","",_xlfn.XLOOKUP(TRIM(I1793),'SkillMasterSkill ID'!$C:$C,'SkillMasterSkill ID'!$F:$F,"NOT FOUND",0))</f>
        <v>Ability to analyze performance and trends, evaluate execution quality, and identify issues early for action.</v>
      </c>
      <c r="K1793" s="50" t="s">
        <v>792</v>
      </c>
      <c r="L1793" s="50">
        <v>2</v>
      </c>
    </row>
    <row r="1794" spans="1:12" ht="16.5" thickBot="1" x14ac:dyDescent="0.3">
      <c r="A1794" t="s">
        <v>1157</v>
      </c>
      <c r="B1794" s="63">
        <v>10302</v>
      </c>
      <c r="C1794" s="63" t="s">
        <v>797</v>
      </c>
      <c r="D1794" s="50">
        <v>5</v>
      </c>
      <c r="E1794" s="46" t="str">
        <f>IF(I1794="","",_xlfn.XLOOKUP(TRIM(I1794),'SkillMasterSkill ID'!$C:$C,'SkillMasterSkill ID'!$D:$D,"",0))</f>
        <v>OVST</v>
      </c>
      <c r="F1794" s="46" t="str">
        <f>IF(I1794="","",IF(_xlfn.XLOOKUP(TRIM(I1794),'SkillMasterSkill ID'!$C:$C,'SkillMasterSkill ID'!$E:$E,"")=0,"",_xlfn.XLOOKUP(TRIM(I1794),'SkillMasterSkill ID'!$C:$C,'SkillMasterSkill ID'!$E:$E,"")))</f>
        <v/>
      </c>
      <c r="G1794" s="50" t="s">
        <v>798</v>
      </c>
      <c r="H1794" s="51" t="s">
        <v>799</v>
      </c>
      <c r="I1794" t="s">
        <v>883</v>
      </c>
      <c r="J1794" s="50" t="str">
        <f>IF(I1794="","",_xlfn.XLOOKUP(TRIM(I1794),'SkillMasterSkill ID'!$C:$C,'SkillMasterSkill ID'!$F:$F,"NOT FOUND",0))</f>
        <v>Ability to analyze performance and trends, evaluate execution quality, and identify issues early for action.</v>
      </c>
      <c r="K1794" s="50" t="s">
        <v>795</v>
      </c>
      <c r="L1794" s="50">
        <v>2</v>
      </c>
    </row>
    <row r="1795" spans="1:12" ht="16.5" thickBot="1" x14ac:dyDescent="0.3">
      <c r="A1795" t="s">
        <v>1157</v>
      </c>
      <c r="B1795" s="63">
        <v>10302</v>
      </c>
      <c r="C1795" s="63" t="s">
        <v>797</v>
      </c>
      <c r="D1795" s="50">
        <v>5</v>
      </c>
      <c r="E1795" s="46" t="str">
        <f>IF(I1795="","",_xlfn.XLOOKUP(TRIM(I1795),'SkillMasterSkill ID'!$C:$C,'SkillMasterSkill ID'!$D:$D,"",0))</f>
        <v>OVST</v>
      </c>
      <c r="F1795" s="46" t="str">
        <f>IF(I1795="","",IF(_xlfn.XLOOKUP(TRIM(I1795),'SkillMasterSkill ID'!$C:$C,'SkillMasterSkill ID'!$E:$E,"")=0,"",_xlfn.XLOOKUP(TRIM(I1795),'SkillMasterSkill ID'!$C:$C,'SkillMasterSkill ID'!$E:$E,"")))</f>
        <v/>
      </c>
      <c r="G1795" s="50" t="s">
        <v>1181</v>
      </c>
      <c r="H1795" s="42" t="s">
        <v>930</v>
      </c>
      <c r="I1795" t="s">
        <v>883</v>
      </c>
      <c r="J1795" s="50" t="str">
        <f>IF(I1795="","",_xlfn.XLOOKUP(TRIM(I1795),'SkillMasterSkill ID'!$C:$C,'SkillMasterSkill ID'!$F:$F,"NOT FOUND",0))</f>
        <v>Ability to analyze performance and trends, evaluate execution quality, and identify issues early for action.</v>
      </c>
      <c r="K1795" s="50"/>
      <c r="L1795" s="50"/>
    </row>
    <row r="1796" spans="1:12" ht="16.5" thickBot="1" x14ac:dyDescent="0.3">
      <c r="A1796" t="s">
        <v>1157</v>
      </c>
      <c r="B1796" s="63">
        <v>10302</v>
      </c>
      <c r="C1796" s="63" t="s">
        <v>797</v>
      </c>
      <c r="D1796" s="50">
        <v>5</v>
      </c>
      <c r="E1796" s="46" t="str">
        <f>IF(I1796="","",_xlfn.XLOOKUP(TRIM(I1796),'SkillMasterSkill ID'!$C:$C,'SkillMasterSkill ID'!$D:$D,"",0))</f>
        <v>OVST</v>
      </c>
      <c r="F1796" s="46" t="str">
        <f>IF(I1796="","",IF(_xlfn.XLOOKUP(TRIM(I1796),'SkillMasterSkill ID'!$C:$C,'SkillMasterSkill ID'!$E:$E,"")=0,"",_xlfn.XLOOKUP(TRIM(I1796),'SkillMasterSkill ID'!$C:$C,'SkillMasterSkill ID'!$E:$E,"")))</f>
        <v/>
      </c>
      <c r="G1796" s="50" t="s">
        <v>1181</v>
      </c>
      <c r="H1796" s="42" t="s">
        <v>938</v>
      </c>
      <c r="I1796" t="s">
        <v>883</v>
      </c>
      <c r="J1796" s="50" t="str">
        <f>IF(I1796="","",_xlfn.XLOOKUP(TRIM(I1796),'SkillMasterSkill ID'!$C:$C,'SkillMasterSkill ID'!$F:$F,"NOT FOUND",0))</f>
        <v>Ability to analyze performance and trends, evaluate execution quality, and identify issues early for action.</v>
      </c>
      <c r="K1796" s="50" t="s">
        <v>795</v>
      </c>
      <c r="L1796" s="50">
        <v>2</v>
      </c>
    </row>
    <row r="1797" spans="1:12" ht="16.5" thickBot="1" x14ac:dyDescent="0.3">
      <c r="A1797" t="s">
        <v>1157</v>
      </c>
      <c r="B1797" s="63">
        <v>10302</v>
      </c>
      <c r="C1797" s="63" t="s">
        <v>797</v>
      </c>
      <c r="D1797" s="50">
        <v>5</v>
      </c>
      <c r="E1797" s="46" t="str">
        <f>IF(I1797="","",_xlfn.XLOOKUP(TRIM(I1797),'SkillMasterSkill ID'!$C:$C,'SkillMasterSkill ID'!$D:$D,"",0))</f>
        <v>OVST</v>
      </c>
      <c r="F1797" s="46" t="str">
        <f>IF(I1797="","",IF(_xlfn.XLOOKUP(TRIM(I1797),'SkillMasterSkill ID'!$C:$C,'SkillMasterSkill ID'!$E:$E,"")=0,"",_xlfn.XLOOKUP(TRIM(I1797),'SkillMasterSkill ID'!$C:$C,'SkillMasterSkill ID'!$E:$E,"")))</f>
        <v/>
      </c>
      <c r="G1797" s="50" t="s">
        <v>1181</v>
      </c>
      <c r="H1797" s="42" t="s">
        <v>930</v>
      </c>
      <c r="I1797" t="s">
        <v>883</v>
      </c>
      <c r="J1797" s="50" t="str">
        <f>IF(I1797="","",_xlfn.XLOOKUP(TRIM(I1797),'SkillMasterSkill ID'!$C:$C,'SkillMasterSkill ID'!$F:$F,"NOT FOUND",0))</f>
        <v>Ability to analyze performance and trends, evaluate execution quality, and identify issues early for action.</v>
      </c>
      <c r="K1797" s="27"/>
      <c r="L1797" s="27"/>
    </row>
    <row r="1798" spans="1:12" ht="16.5" thickBot="1" x14ac:dyDescent="0.3">
      <c r="A1798" t="s">
        <v>1157</v>
      </c>
      <c r="B1798" s="63">
        <v>10302</v>
      </c>
      <c r="C1798" s="63" t="s">
        <v>797</v>
      </c>
      <c r="D1798" s="50">
        <v>5</v>
      </c>
      <c r="E1798" s="46" t="str">
        <f>IF(I1798="","",_xlfn.XLOOKUP(TRIM(I1798),'SkillMasterSkill ID'!$C:$C,'SkillMasterSkill ID'!$D:$D,"",0))</f>
        <v>OVST</v>
      </c>
      <c r="F1798" s="46" t="str">
        <f>IF(I1798="","",IF(_xlfn.XLOOKUP(TRIM(I1798),'SkillMasterSkill ID'!$C:$C,'SkillMasterSkill ID'!$E:$E,"")=0,"",_xlfn.XLOOKUP(TRIM(I1798),'SkillMasterSkill ID'!$C:$C,'SkillMasterSkill ID'!$E:$E,"")))</f>
        <v/>
      </c>
      <c r="G1798" s="50" t="s">
        <v>1181</v>
      </c>
      <c r="H1798" s="42" t="s">
        <v>938</v>
      </c>
      <c r="I1798" t="s">
        <v>883</v>
      </c>
      <c r="J1798" s="50" t="str">
        <f>IF(I1798="","",_xlfn.XLOOKUP(TRIM(I1798),'SkillMasterSkill ID'!$C:$C,'SkillMasterSkill ID'!$F:$F,"NOT FOUND",0))</f>
        <v>Ability to analyze performance and trends, evaluate execution quality, and identify issues early for action.</v>
      </c>
      <c r="K1798" s="27"/>
      <c r="L1798" s="27"/>
    </row>
    <row r="1799" spans="1:12" ht="16.5" thickBot="1" x14ac:dyDescent="0.3">
      <c r="A1799" t="s">
        <v>1157</v>
      </c>
      <c r="B1799" s="63">
        <v>10302</v>
      </c>
      <c r="C1799" s="63" t="s">
        <v>797</v>
      </c>
      <c r="D1799" s="50">
        <v>5</v>
      </c>
      <c r="E1799" s="50" t="str">
        <f>IF(I1799="","",_xlfn.XLOOKUP(TRIM(I1799),'SkillMasterSkill ID'!$C:$C,'SkillMasterSkill ID'!$D:$D,"NOT FOUND",0))</f>
        <v>OVST</v>
      </c>
      <c r="F1799" s="46" t="str">
        <f>IF(I1799="","",IF(_xlfn.XLOOKUP(TRIM(I1799),'SkillMasterSkill ID'!$C:$C,'SkillMasterSkill ID'!$E:$E,"")=0,"",_xlfn.XLOOKUP(TRIM(I1799),'SkillMasterSkill ID'!$C:$C,'SkillMasterSkill ID'!$E:$E,"")))</f>
        <v/>
      </c>
      <c r="G1799" s="11" t="s">
        <v>921</v>
      </c>
      <c r="H1799" s="42" t="s">
        <v>1186</v>
      </c>
      <c r="I1799" t="s">
        <v>883</v>
      </c>
      <c r="J1799" s="50" t="str">
        <f>IF(I1799="","",_xlfn.XLOOKUP(TRIM(I1799),'SkillMasterSkill ID'!$C:$C,'SkillMasterSkill ID'!$F:$F,"NOT FOUND",0))</f>
        <v>Ability to analyze performance and trends, evaluate execution quality, and identify issues early for action.</v>
      </c>
      <c r="K1799" s="50" t="s">
        <v>792</v>
      </c>
      <c r="L1799" s="50">
        <v>2</v>
      </c>
    </row>
    <row r="1800" spans="1:12" ht="16.5" thickBot="1" x14ac:dyDescent="0.3">
      <c r="A1800" t="s">
        <v>1157</v>
      </c>
      <c r="B1800" s="63">
        <v>10302</v>
      </c>
      <c r="C1800" s="63" t="s">
        <v>797</v>
      </c>
      <c r="D1800" s="31">
        <v>5</v>
      </c>
      <c r="E1800" s="31" t="str">
        <f>IF(I1800="","",_xlfn.XLOOKUP(TRIM(I1800),'SkillMasterSkill ID'!$C:$C,'SkillMasterSkill ID'!$D:$D,"NOT FOUND",0))</f>
        <v>OVST</v>
      </c>
      <c r="F1800" s="46" t="str">
        <f>IF(I1800="","",IF(_xlfn.XLOOKUP(TRIM(I1800),'SkillMasterSkill ID'!$C:$C,'SkillMasterSkill ID'!$E:$E,"")=0,"",_xlfn.XLOOKUP(TRIM(I1800),'SkillMasterSkill ID'!$C:$C,'SkillMasterSkill ID'!$E:$E,"")))</f>
        <v/>
      </c>
      <c r="G1800" t="s">
        <v>925</v>
      </c>
      <c r="H1800" s="42" t="s">
        <v>1198</v>
      </c>
      <c r="I1800" t="s">
        <v>883</v>
      </c>
      <c r="J1800" s="31" t="str">
        <f>IF(I1800="","",_xlfn.XLOOKUP(TRIM(I1800),'SkillMasterSkill ID'!$C:$C,'SkillMasterSkill ID'!$F:$F,"NOT FOUND",0))</f>
        <v>Ability to analyze performance and trends, evaluate execution quality, and identify issues early for action.</v>
      </c>
      <c r="K1800" s="31" t="s">
        <v>792</v>
      </c>
      <c r="L1800" s="31">
        <v>2</v>
      </c>
    </row>
    <row r="1801" spans="1:12" ht="16.5" thickBot="1" x14ac:dyDescent="0.3">
      <c r="A1801" t="s">
        <v>1157</v>
      </c>
      <c r="B1801" s="63">
        <v>10302</v>
      </c>
      <c r="C1801" s="63" t="s">
        <v>797</v>
      </c>
      <c r="D1801" s="31">
        <v>5</v>
      </c>
      <c r="E1801" s="31" t="str">
        <f>IF(I1801="","",_xlfn.XLOOKUP(TRIM(I1801),'SkillMasterSkill ID'!$C:$C,'SkillMasterSkill ID'!$D:$D,"NOT FOUND",0))</f>
        <v>OVST</v>
      </c>
      <c r="F1801" s="46" t="str">
        <f>IF(I1801="","",IF(_xlfn.XLOOKUP(TRIM(I1801),'SkillMasterSkill ID'!$C:$C,'SkillMasterSkill ID'!$E:$E,"")=0,"",_xlfn.XLOOKUP(TRIM(I1801),'SkillMasterSkill ID'!$C:$C,'SkillMasterSkill ID'!$E:$E,"")))</f>
        <v/>
      </c>
      <c r="G1801" t="s">
        <v>925</v>
      </c>
      <c r="H1801" s="42" t="s">
        <v>1199</v>
      </c>
      <c r="I1801" t="s">
        <v>883</v>
      </c>
      <c r="J1801" s="31" t="str">
        <f>IF(I1801="","",_xlfn.XLOOKUP(TRIM(I1801),'SkillMasterSkill ID'!$C:$C,'SkillMasterSkill ID'!$F:$F,"NOT FOUND",0))</f>
        <v>Ability to analyze performance and trends, evaluate execution quality, and identify issues early for action.</v>
      </c>
      <c r="K1801" s="31" t="s">
        <v>792</v>
      </c>
      <c r="L1801" s="31">
        <v>2</v>
      </c>
    </row>
    <row r="1802" spans="1:12" ht="16.5" thickBot="1" x14ac:dyDescent="0.3">
      <c r="A1802" s="48" t="str">
        <f>IF(I1802="","",_xlfn.XLOOKUP(TRIM(I1802),'SkillMasterSkill ID'!$C:$C,'SkillMasterSkill ID'!$B:$B,"NOT FOUND",0))</f>
        <v>SKL-0128</v>
      </c>
      <c r="B1802" s="62">
        <v>10802</v>
      </c>
      <c r="C1802" s="62" t="s">
        <v>1677</v>
      </c>
      <c r="D1802" s="50"/>
      <c r="E1802" t="s">
        <v>1610</v>
      </c>
      <c r="F1802" s="46" t="str">
        <f>IF(I1802="","",IF(_xlfn.XLOOKUP(TRIM(I1802),'SkillMasterSkill ID'!$C:$C,'SkillMasterSkill ID'!$E:$E,"")=0,"",_xlfn.XLOOKUP(TRIM(I1802),'SkillMasterSkill ID'!$C:$C,'SkillMasterSkill ID'!$E:$E,"")))</f>
        <v/>
      </c>
      <c r="G1802" t="s">
        <v>1622</v>
      </c>
      <c r="H1802" t="s">
        <v>1612</v>
      </c>
      <c r="I1802" t="s">
        <v>1613</v>
      </c>
      <c r="J1802" s="50" t="str">
        <f>IF(I1802="","",_xlfn.XLOOKUP(TRIM(I1802),'SkillMasterSkill ID'!$C:$C,'SkillMasterSkill ID'!$F:$F,"NOT FOUND",0))</f>
        <v>Competency related to waste identification that supports effective field/project leadership and execution.</v>
      </c>
      <c r="K1802" s="50"/>
      <c r="L1802" s="50"/>
    </row>
    <row r="1803" spans="1:12" ht="16.5" thickBot="1" x14ac:dyDescent="0.3">
      <c r="A1803" t="s">
        <v>1162</v>
      </c>
      <c r="B1803" s="63">
        <v>10302</v>
      </c>
      <c r="C1803" s="63" t="s">
        <v>797</v>
      </c>
      <c r="D1803" s="50">
        <v>5</v>
      </c>
      <c r="E1803" s="50" t="str">
        <f>IF(I1803="","",_xlfn.XLOOKUP(TRIM(I1803),'SkillMasterSkill ID'!$C:$C,'SkillMasterSkill ID'!$D:$D,"NOT FOUND",0))</f>
        <v>PLAN</v>
      </c>
      <c r="F1803" s="46" t="str">
        <f>IF(I1803="","",IF(_xlfn.XLOOKUP(TRIM(I1803),'SkillMasterSkill ID'!$C:$C,'SkillMasterSkill ID'!$E:$E,"")=0,"",_xlfn.XLOOKUP(TRIM(I1803),'SkillMasterSkill ID'!$C:$C,'SkillMasterSkill ID'!$E:$E,"")))</f>
        <v/>
      </c>
      <c r="G1803" s="11" t="s">
        <v>921</v>
      </c>
      <c r="H1803" s="42" t="s">
        <v>1188</v>
      </c>
      <c r="I1803" t="s">
        <v>831</v>
      </c>
      <c r="J1803" s="50" t="str">
        <f>IF(I1803="","",_xlfn.XLOOKUP(TRIM(I1803),'SkillMasterSkill ID'!$C:$C,'SkillMasterSkill ID'!$F:$F,"NOT FOUND",0))</f>
        <v>Ability to plan and sequence work effectively, using schedules, constraints, and lookahead thinking to meet targets.</v>
      </c>
      <c r="K1803" s="50" t="s">
        <v>792</v>
      </c>
      <c r="L1803" s="50">
        <v>2</v>
      </c>
    </row>
    <row r="1804" spans="1:12" ht="16.5" thickBot="1" x14ac:dyDescent="0.3">
      <c r="A1804" t="s">
        <v>1163</v>
      </c>
      <c r="B1804" s="63">
        <v>10302</v>
      </c>
      <c r="C1804" s="63" t="s">
        <v>797</v>
      </c>
      <c r="D1804" s="31">
        <v>5</v>
      </c>
      <c r="E1804" s="31" t="str">
        <f>IF(I1804="","",_xlfn.XLOOKUP(TRIM(I1804),'SkillMasterSkill ID'!$C:$C,'SkillMasterSkill ID'!$D:$D,"NOT FOUND",0))</f>
        <v>PLAN</v>
      </c>
      <c r="F1804" s="46" t="str">
        <f>IF(I1804="","",IF(_xlfn.XLOOKUP(TRIM(I1804),'SkillMasterSkill ID'!$C:$C,'SkillMasterSkill ID'!$E:$E,"")=0,"",_xlfn.XLOOKUP(TRIM(I1804),'SkillMasterSkill ID'!$C:$C,'SkillMasterSkill ID'!$E:$E,"")))</f>
        <v/>
      </c>
      <c r="G1804" s="11" t="s">
        <v>921</v>
      </c>
      <c r="H1804" s="42" t="s">
        <v>1191</v>
      </c>
      <c r="I1804" t="s">
        <v>821</v>
      </c>
      <c r="J1804" s="31" t="str">
        <f>IF(I1804="","",_xlfn.XLOOKUP(TRIM(I1804),'SkillMasterSkill ID'!$C:$C,'SkillMasterSkill ID'!$F:$F,"NOT FOUND",0))</f>
        <v>Ability to plan and sequence work effectively, using schedules, constraints, and lookahead thinking to meet targets.</v>
      </c>
      <c r="K1804" s="31" t="s">
        <v>792</v>
      </c>
      <c r="L1804" s="31">
        <v>2</v>
      </c>
    </row>
    <row r="1805" spans="1:12" ht="16.5" thickBot="1" x14ac:dyDescent="0.3">
      <c r="A1805" s="48" t="str">
        <f>IF(JobCodeSkills[[#This Row],[Secondary  Skills  Categories]]="","",
"SK-" &amp;
UPPER(JobCodeSkills[[#This Row],[Secondary  Skills  Categories]]) &amp;
"-" &amp;
TEXT(
COUNTIFS(
JobCodeSkills[Secondary  Skills  Categories],JobCodeSkills[[#This Row],[Secondary  Skills  Categories]],
JobCodeSkills[Skill],"&lt;="&amp;JobCodeSkills[[#This Row],[Skill]]
),
"000")
)</f>
        <v>SK-PLAN-001</v>
      </c>
      <c r="B1805" s="62">
        <v>10803</v>
      </c>
      <c r="C1805" s="62" t="s">
        <v>1846</v>
      </c>
      <c r="D1805" s="50"/>
      <c r="E1805" t="s">
        <v>1716</v>
      </c>
      <c r="F1805" s="46" t="str">
        <f>IF(I1805="","",IF(_xlfn.XLOOKUP(TRIM(I1805),'SkillMasterSkill ID'!$C:$C,'SkillMasterSkill ID'!$E:$E,"")=0,"",_xlfn.XLOOKUP(TRIM(I1805),'SkillMasterSkill ID'!$C:$C,'SkillMasterSkill ID'!$E:$E,"")))</f>
        <v>PLAN</v>
      </c>
      <c r="G1805" t="s">
        <v>1519</v>
      </c>
      <c r="H1805" t="s">
        <v>1870</v>
      </c>
      <c r="I1805" t="s">
        <v>1871</v>
      </c>
      <c r="J1805" s="50" t="str">
        <f>IF(I1805="","",_xlfn.XLOOKUP(TRIM(I1805),'SkillMasterSkill ID'!$C:$C,'SkillMasterSkill ID'!$F:$F,"NOT FOUND",0))</f>
        <v>Ability to plan and sequence work effectively, using schedules, constraints, and lookahead thinking to meet targets.</v>
      </c>
      <c r="K1805" s="50"/>
      <c r="L1805" s="50"/>
    </row>
    <row r="1806" spans="1:12" ht="16.5" thickBot="1" x14ac:dyDescent="0.3">
      <c r="B1806" s="62">
        <v>10801</v>
      </c>
      <c r="C1806" s="62" t="s">
        <v>1597</v>
      </c>
      <c r="D1806" s="50"/>
      <c r="E1806" t="s">
        <v>1671</v>
      </c>
      <c r="F1806" s="46"/>
      <c r="G1806" t="s">
        <v>1495</v>
      </c>
      <c r="H1806" t="s">
        <v>1673</v>
      </c>
      <c r="I1806" t="s">
        <v>1674</v>
      </c>
      <c r="J1806" s="50"/>
      <c r="K1806" s="50"/>
      <c r="L1806" s="50"/>
    </row>
    <row r="1807" spans="1:12" ht="16.5" thickBot="1" x14ac:dyDescent="0.3">
      <c r="B1807" s="62">
        <v>10801</v>
      </c>
      <c r="C1807" s="62" t="s">
        <v>1597</v>
      </c>
      <c r="D1807" s="50"/>
      <c r="E1807" t="s">
        <v>1671</v>
      </c>
      <c r="F1807" s="46"/>
      <c r="G1807" t="s">
        <v>1495</v>
      </c>
      <c r="H1807" t="s">
        <v>1675</v>
      </c>
      <c r="I1807" t="s">
        <v>1676</v>
      </c>
      <c r="J1807" s="50"/>
      <c r="K1807" s="50"/>
      <c r="L1807" s="50"/>
    </row>
    <row r="1808" spans="1:12" ht="16.5" thickBot="1" x14ac:dyDescent="0.3">
      <c r="B1808" s="62">
        <v>10801</v>
      </c>
      <c r="C1808" s="62" t="s">
        <v>1597</v>
      </c>
      <c r="D1808" s="31"/>
      <c r="E1808" t="s">
        <v>1618</v>
      </c>
      <c r="F1808" s="46"/>
      <c r="G1808" t="s">
        <v>1622</v>
      </c>
      <c r="H1808" t="s">
        <v>1620</v>
      </c>
      <c r="I1808" t="s">
        <v>1621</v>
      </c>
      <c r="J1808" s="31"/>
      <c r="K1808" s="31"/>
      <c r="L1808" s="31"/>
    </row>
    <row r="1809" spans="2:12" ht="16.5" thickBot="1" x14ac:dyDescent="0.3">
      <c r="B1809" s="62">
        <v>10801</v>
      </c>
      <c r="C1809" s="62" t="s">
        <v>1597</v>
      </c>
      <c r="D1809" s="31"/>
      <c r="E1809" t="s">
        <v>1614</v>
      </c>
      <c r="F1809" s="46"/>
      <c r="G1809" t="s">
        <v>1622</v>
      </c>
      <c r="H1809" t="s">
        <v>1616</v>
      </c>
      <c r="I1809" t="s">
        <v>1617</v>
      </c>
      <c r="J1809" s="31"/>
      <c r="K1809" s="31"/>
      <c r="L1809" s="31"/>
    </row>
    <row r="1810" spans="2:12" ht="16.5" thickBot="1" x14ac:dyDescent="0.3">
      <c r="B1810" s="62">
        <v>10801</v>
      </c>
      <c r="C1810" s="62" t="s">
        <v>1597</v>
      </c>
      <c r="D1810" s="50"/>
      <c r="E1810" t="s">
        <v>1659</v>
      </c>
      <c r="F1810" s="46"/>
      <c r="G1810" t="s">
        <v>1492</v>
      </c>
      <c r="H1810" t="s">
        <v>1663</v>
      </c>
      <c r="I1810" t="s">
        <v>1664</v>
      </c>
      <c r="J1810" s="50"/>
      <c r="K1810" s="50"/>
      <c r="L1810" s="50"/>
    </row>
    <row r="1811" spans="2:12" ht="16.5" thickBot="1" x14ac:dyDescent="0.3">
      <c r="B1811" s="62">
        <v>10801</v>
      </c>
      <c r="C1811" s="62" t="s">
        <v>1597</v>
      </c>
      <c r="D1811" s="50"/>
      <c r="E1811" t="s">
        <v>1659</v>
      </c>
      <c r="F1811" s="46"/>
      <c r="G1811" t="s">
        <v>1492</v>
      </c>
      <c r="H1811" t="s">
        <v>1665</v>
      </c>
      <c r="I1811" t="s">
        <v>1666</v>
      </c>
      <c r="J1811" s="50"/>
      <c r="K1811" s="50"/>
      <c r="L1811" s="50"/>
    </row>
    <row r="1812" spans="2:12" ht="16.5" thickBot="1" x14ac:dyDescent="0.3">
      <c r="B1812" s="62">
        <v>10801</v>
      </c>
      <c r="C1812" s="62" t="s">
        <v>1597</v>
      </c>
      <c r="D1812" s="31"/>
      <c r="E1812" t="s">
        <v>1623</v>
      </c>
      <c r="F1812" s="46"/>
      <c r="G1812" t="s">
        <v>1482</v>
      </c>
      <c r="H1812" t="s">
        <v>1625</v>
      </c>
      <c r="I1812" t="s">
        <v>1626</v>
      </c>
      <c r="J1812" s="31"/>
      <c r="K1812" s="31"/>
      <c r="L1812" s="31"/>
    </row>
    <row r="1813" spans="2:12" ht="16.5" thickBot="1" x14ac:dyDescent="0.3">
      <c r="B1813" s="62">
        <v>10801</v>
      </c>
      <c r="C1813" s="62" t="s">
        <v>1597</v>
      </c>
      <c r="D1813" s="50"/>
      <c r="E1813" t="s">
        <v>1655</v>
      </c>
      <c r="F1813" s="46"/>
      <c r="G1813" t="s">
        <v>1492</v>
      </c>
      <c r="H1813" t="s">
        <v>1657</v>
      </c>
      <c r="I1813" t="s">
        <v>1658</v>
      </c>
      <c r="J1813" s="50"/>
      <c r="K1813" s="50"/>
      <c r="L1813" s="50"/>
    </row>
    <row r="1814" spans="2:12" ht="16.5" thickBot="1" x14ac:dyDescent="0.3">
      <c r="B1814" s="62">
        <v>10801</v>
      </c>
      <c r="C1814" s="62" t="s">
        <v>1597</v>
      </c>
      <c r="D1814" s="50"/>
      <c r="E1814" t="s">
        <v>1637</v>
      </c>
      <c r="F1814" s="46"/>
      <c r="G1814" t="s">
        <v>1486</v>
      </c>
      <c r="H1814" t="s">
        <v>1639</v>
      </c>
      <c r="I1814" t="s">
        <v>1640</v>
      </c>
      <c r="J1814" s="50"/>
      <c r="K1814" s="50"/>
      <c r="L1814" s="50"/>
    </row>
    <row r="1815" spans="2:12" ht="16.5" thickBot="1" x14ac:dyDescent="0.3">
      <c r="B1815" s="62">
        <v>10801</v>
      </c>
      <c r="C1815" s="62" t="s">
        <v>1597</v>
      </c>
      <c r="D1815" s="50"/>
      <c r="E1815" t="s">
        <v>1623</v>
      </c>
      <c r="F1815" s="46"/>
      <c r="G1815" t="s">
        <v>1482</v>
      </c>
      <c r="H1815" t="s">
        <v>1631</v>
      </c>
      <c r="I1815" t="s">
        <v>1632</v>
      </c>
      <c r="J1815" s="50"/>
      <c r="K1815" s="50"/>
      <c r="L1815" s="50"/>
    </row>
    <row r="1816" spans="2:12" ht="16.5" thickBot="1" x14ac:dyDescent="0.3">
      <c r="B1816" s="62">
        <v>10801</v>
      </c>
      <c r="C1816" s="62" t="s">
        <v>1597</v>
      </c>
      <c r="D1816" s="50"/>
      <c r="E1816" t="s">
        <v>1651</v>
      </c>
      <c r="F1816" s="46"/>
      <c r="G1816" t="s">
        <v>1486</v>
      </c>
      <c r="H1816" t="s">
        <v>1653</v>
      </c>
      <c r="I1816" t="s">
        <v>1654</v>
      </c>
      <c r="J1816" s="50"/>
      <c r="K1816" s="50"/>
      <c r="L1816" s="50"/>
    </row>
    <row r="1817" spans="2:12" ht="16.5" thickBot="1" x14ac:dyDescent="0.3">
      <c r="B1817" s="62">
        <v>10801</v>
      </c>
      <c r="C1817" s="62" t="s">
        <v>1597</v>
      </c>
      <c r="D1817" s="50"/>
      <c r="E1817" t="s">
        <v>1643</v>
      </c>
      <c r="F1817" s="46"/>
      <c r="G1817" t="s">
        <v>1486</v>
      </c>
      <c r="H1817" t="s">
        <v>1645</v>
      </c>
      <c r="I1817" t="s">
        <v>1646</v>
      </c>
      <c r="J1817" s="50"/>
      <c r="K1817" s="50"/>
      <c r="L1817" s="50"/>
    </row>
    <row r="1818" spans="2:12" ht="16.5" thickBot="1" x14ac:dyDescent="0.3">
      <c r="B1818" s="62">
        <v>10801</v>
      </c>
      <c r="C1818" s="62" t="s">
        <v>1597</v>
      </c>
      <c r="D1818" s="31"/>
      <c r="E1818" t="s">
        <v>1623</v>
      </c>
      <c r="F1818" s="46"/>
      <c r="G1818" t="s">
        <v>1482</v>
      </c>
      <c r="H1818" t="s">
        <v>1627</v>
      </c>
      <c r="I1818" t="s">
        <v>1628</v>
      </c>
      <c r="J1818" s="31"/>
      <c r="K1818" s="31"/>
      <c r="L1818" s="31"/>
    </row>
    <row r="1819" spans="2:12" ht="16.5" thickBot="1" x14ac:dyDescent="0.3">
      <c r="B1819" s="62">
        <v>10801</v>
      </c>
      <c r="C1819" s="62" t="s">
        <v>1597</v>
      </c>
      <c r="D1819" s="50"/>
      <c r="E1819" t="s">
        <v>1647</v>
      </c>
      <c r="F1819" s="46"/>
      <c r="G1819" t="s">
        <v>1486</v>
      </c>
      <c r="H1819" t="s">
        <v>1649</v>
      </c>
      <c r="I1819" t="s">
        <v>1650</v>
      </c>
      <c r="J1819" s="50"/>
      <c r="K1819" s="50"/>
      <c r="L1819" s="50"/>
    </row>
    <row r="1820" spans="2:12" ht="16.5" thickBot="1" x14ac:dyDescent="0.3">
      <c r="B1820" s="62">
        <v>10801</v>
      </c>
      <c r="C1820" s="62" t="s">
        <v>1597</v>
      </c>
      <c r="D1820" s="50"/>
      <c r="E1820" t="s">
        <v>1623</v>
      </c>
      <c r="F1820" s="46"/>
      <c r="G1820" t="s">
        <v>1482</v>
      </c>
      <c r="H1820" t="s">
        <v>1629</v>
      </c>
      <c r="I1820" t="s">
        <v>1630</v>
      </c>
      <c r="J1820" s="50"/>
      <c r="K1820" s="50"/>
      <c r="L1820" s="50"/>
    </row>
    <row r="1821" spans="2:12" ht="16.5" thickBot="1" x14ac:dyDescent="0.3">
      <c r="B1821" s="62">
        <v>10801</v>
      </c>
      <c r="C1821" s="62" t="s">
        <v>1597</v>
      </c>
      <c r="D1821" s="31"/>
      <c r="E1821" t="s">
        <v>1598</v>
      </c>
      <c r="F1821" s="46"/>
      <c r="G1821" t="s">
        <v>1622</v>
      </c>
      <c r="H1821" t="s">
        <v>1600</v>
      </c>
      <c r="I1821" t="s">
        <v>1601</v>
      </c>
      <c r="J1821" s="31"/>
      <c r="K1821" s="31"/>
      <c r="L1821" s="31"/>
    </row>
    <row r="1822" spans="2:12" ht="16.5" thickBot="1" x14ac:dyDescent="0.3">
      <c r="B1822" s="62">
        <v>10801</v>
      </c>
      <c r="C1822" s="62" t="s">
        <v>1597</v>
      </c>
      <c r="D1822" s="31"/>
      <c r="E1822" t="s">
        <v>1606</v>
      </c>
      <c r="F1822" s="46"/>
      <c r="G1822" t="s">
        <v>1622</v>
      </c>
      <c r="H1822" t="s">
        <v>1608</v>
      </c>
      <c r="I1822" t="s">
        <v>1609</v>
      </c>
      <c r="J1822" s="31"/>
      <c r="K1822" s="31"/>
      <c r="L1822" s="31"/>
    </row>
    <row r="1823" spans="2:12" ht="16.5" thickBot="1" x14ac:dyDescent="0.3">
      <c r="B1823" s="62">
        <v>10801</v>
      </c>
      <c r="C1823" s="62" t="s">
        <v>1597</v>
      </c>
      <c r="D1823" s="50"/>
      <c r="E1823" t="s">
        <v>1633</v>
      </c>
      <c r="F1823" s="46"/>
      <c r="G1823" t="s">
        <v>1482</v>
      </c>
      <c r="H1823" t="s">
        <v>1635</v>
      </c>
      <c r="I1823" t="s">
        <v>1636</v>
      </c>
      <c r="J1823" s="50"/>
      <c r="K1823" s="50"/>
      <c r="L1823" s="50"/>
    </row>
    <row r="1824" spans="2:12" ht="16.5" thickBot="1" x14ac:dyDescent="0.3">
      <c r="B1824" s="62">
        <v>10801</v>
      </c>
      <c r="C1824" s="62" t="s">
        <v>1597</v>
      </c>
      <c r="D1824" s="50"/>
      <c r="E1824" t="s">
        <v>1637</v>
      </c>
      <c r="F1824" s="46"/>
      <c r="G1824" t="s">
        <v>1486</v>
      </c>
      <c r="H1824" t="s">
        <v>1641</v>
      </c>
      <c r="I1824" t="s">
        <v>1642</v>
      </c>
      <c r="J1824" s="50"/>
      <c r="K1824" s="50"/>
      <c r="L1824" s="50"/>
    </row>
    <row r="1825" spans="2:12" ht="16.5" thickBot="1" x14ac:dyDescent="0.3">
      <c r="B1825" s="62">
        <v>10801</v>
      </c>
      <c r="C1825" s="62" t="s">
        <v>1597</v>
      </c>
      <c r="D1825" s="50"/>
      <c r="E1825" t="s">
        <v>1659</v>
      </c>
      <c r="F1825" s="46"/>
      <c r="G1825" t="s">
        <v>1492</v>
      </c>
      <c r="H1825" t="s">
        <v>1661</v>
      </c>
      <c r="I1825" t="s">
        <v>1662</v>
      </c>
      <c r="J1825" s="50"/>
      <c r="K1825" s="50"/>
      <c r="L1825" s="50"/>
    </row>
    <row r="1826" spans="2:12" ht="16.5" thickBot="1" x14ac:dyDescent="0.3">
      <c r="B1826" s="62">
        <v>10801</v>
      </c>
      <c r="C1826" s="62" t="s">
        <v>1597</v>
      </c>
      <c r="D1826" s="31"/>
      <c r="E1826" t="s">
        <v>1610</v>
      </c>
      <c r="F1826" s="46"/>
      <c r="G1826" t="s">
        <v>1622</v>
      </c>
      <c r="H1826" t="s">
        <v>1612</v>
      </c>
      <c r="I1826" t="s">
        <v>1613</v>
      </c>
      <c r="J1826" s="31"/>
      <c r="K1826" s="31"/>
      <c r="L1826" s="31"/>
    </row>
    <row r="1827" spans="2:12" ht="16.5" thickBot="1" x14ac:dyDescent="0.3">
      <c r="B1827" s="62">
        <v>10801</v>
      </c>
      <c r="C1827" s="62" t="s">
        <v>1597</v>
      </c>
      <c r="D1827" s="50"/>
      <c r="E1827" t="s">
        <v>1667</v>
      </c>
      <c r="F1827" s="46"/>
      <c r="G1827" t="s">
        <v>1492</v>
      </c>
      <c r="H1827" t="s">
        <v>1669</v>
      </c>
      <c r="I1827" t="s">
        <v>1670</v>
      </c>
      <c r="J1827" s="50"/>
      <c r="K1827" s="50"/>
      <c r="L1827" s="50"/>
    </row>
    <row r="1828" spans="2:12" ht="16.5" thickBot="1" x14ac:dyDescent="0.3">
      <c r="B1828" s="62">
        <v>10801</v>
      </c>
      <c r="C1828" s="62" t="s">
        <v>1597</v>
      </c>
      <c r="D1828" s="31"/>
      <c r="E1828" t="s">
        <v>1602</v>
      </c>
      <c r="F1828" s="46"/>
      <c r="G1828" t="s">
        <v>1622</v>
      </c>
      <c r="H1828" t="s">
        <v>1604</v>
      </c>
      <c r="I1828" t="s">
        <v>1605</v>
      </c>
      <c r="J1828" s="31"/>
      <c r="K1828" s="31"/>
      <c r="L1828" s="31"/>
    </row>
    <row r="1829" spans="2:12" ht="16.5" thickBot="1" x14ac:dyDescent="0.3">
      <c r="B1829" s="62">
        <v>10811</v>
      </c>
      <c r="C1829" s="62" t="s">
        <v>1725</v>
      </c>
      <c r="D1829" s="50"/>
      <c r="E1829" t="s">
        <v>1618</v>
      </c>
      <c r="F1829" s="46"/>
      <c r="G1829" t="s">
        <v>1622</v>
      </c>
      <c r="H1829" t="s">
        <v>1620</v>
      </c>
      <c r="I1829" t="s">
        <v>1621</v>
      </c>
      <c r="J1829" s="50"/>
      <c r="K1829" s="50"/>
      <c r="L1829" s="50"/>
    </row>
    <row r="1830" spans="2:12" ht="16.5" thickBot="1" x14ac:dyDescent="0.3">
      <c r="B1830" s="62">
        <v>10811</v>
      </c>
      <c r="C1830" s="62" t="s">
        <v>1725</v>
      </c>
      <c r="D1830" s="50"/>
      <c r="E1830" t="s">
        <v>1614</v>
      </c>
      <c r="F1830" s="46"/>
      <c r="G1830" t="s">
        <v>1622</v>
      </c>
      <c r="H1830" t="s">
        <v>1616</v>
      </c>
      <c r="I1830" t="s">
        <v>1617</v>
      </c>
      <c r="J1830" s="50"/>
      <c r="K1830" s="50"/>
      <c r="L1830" s="50"/>
    </row>
    <row r="1831" spans="2:12" ht="16.5" thickBot="1" x14ac:dyDescent="0.3">
      <c r="B1831" s="62">
        <v>10811</v>
      </c>
      <c r="C1831" s="62" t="s">
        <v>1725</v>
      </c>
      <c r="D1831" s="50"/>
      <c r="E1831" t="s">
        <v>1602</v>
      </c>
      <c r="F1831" s="46" t="str">
        <f>IF(I1831="","",IF(_xlfn.XLOOKUP(TRIM(I1831),'SkillMasterSkill ID'!$C:$C,'SkillMasterSkill ID'!$E:$E,"")=0,"",_xlfn.XLOOKUP(TRIM(I1831),'SkillMasterSkill ID'!$C:$C,'SkillMasterSkill ID'!$E:$E,"")))</f>
        <v/>
      </c>
      <c r="G1831" t="s">
        <v>1735</v>
      </c>
      <c r="H1831" t="s">
        <v>1742</v>
      </c>
      <c r="I1831" t="s">
        <v>1743</v>
      </c>
      <c r="J1831" s="50" t="str">
        <f>IF(I1831="","",_xlfn.XLOOKUP(TRIM(I1831),'SkillMasterSkill ID'!$C:$C,'SkillMasterSkill ID'!$F:$F,"NOT FOUND",0))</f>
        <v>NOT FOUND</v>
      </c>
      <c r="K1831" s="50"/>
      <c r="L1831" s="50"/>
    </row>
    <row r="1832" spans="2:12" ht="16.5" thickBot="1" x14ac:dyDescent="0.3">
      <c r="B1832" s="62">
        <v>10811</v>
      </c>
      <c r="C1832" s="62" t="s">
        <v>1725</v>
      </c>
      <c r="D1832" s="50"/>
      <c r="E1832" t="s">
        <v>1602</v>
      </c>
      <c r="F1832" s="46"/>
      <c r="G1832" t="s">
        <v>1735</v>
      </c>
      <c r="H1832" t="s">
        <v>1739</v>
      </c>
      <c r="I1832" t="s">
        <v>1740</v>
      </c>
      <c r="J1832" s="50"/>
      <c r="K1832" s="50"/>
      <c r="L1832" s="50"/>
    </row>
    <row r="1833" spans="2:12" ht="16.5" thickBot="1" x14ac:dyDescent="0.3">
      <c r="B1833" s="62">
        <v>10811</v>
      </c>
      <c r="C1833" s="62" t="s">
        <v>1725</v>
      </c>
      <c r="D1833" s="50"/>
      <c r="E1833" t="s">
        <v>1598</v>
      </c>
      <c r="F1833" s="46"/>
      <c r="G1833" t="s">
        <v>1724</v>
      </c>
      <c r="H1833" t="s">
        <v>1730</v>
      </c>
      <c r="I1833" t="s">
        <v>1731</v>
      </c>
      <c r="J1833" s="50"/>
      <c r="K1833" s="50"/>
      <c r="L1833" s="50"/>
    </row>
    <row r="1834" spans="2:12" ht="16.5" thickBot="1" x14ac:dyDescent="0.3">
      <c r="B1834" s="62">
        <v>10811</v>
      </c>
      <c r="C1834" s="62" t="s">
        <v>1725</v>
      </c>
      <c r="D1834" s="50"/>
      <c r="E1834" t="s">
        <v>1598</v>
      </c>
      <c r="F1834" s="46"/>
      <c r="G1834" t="s">
        <v>1724</v>
      </c>
      <c r="H1834" t="s">
        <v>1727</v>
      </c>
      <c r="I1834" t="s">
        <v>1728</v>
      </c>
      <c r="J1834" s="50"/>
      <c r="K1834" s="50"/>
      <c r="L1834" s="50"/>
    </row>
    <row r="1835" spans="2:12" ht="16.5" thickBot="1" x14ac:dyDescent="0.3">
      <c r="B1835" s="62">
        <v>10811</v>
      </c>
      <c r="C1835" s="62" t="s">
        <v>1725</v>
      </c>
      <c r="D1835" s="50"/>
      <c r="E1835" t="s">
        <v>1598</v>
      </c>
      <c r="F1835" s="46"/>
      <c r="G1835" t="s">
        <v>1724</v>
      </c>
      <c r="H1835" t="s">
        <v>1733</v>
      </c>
      <c r="I1835" t="s">
        <v>1734</v>
      </c>
      <c r="J1835" s="50"/>
      <c r="K1835" s="50"/>
      <c r="L1835" s="50"/>
    </row>
    <row r="1836" spans="2:12" ht="16.5" thickBot="1" x14ac:dyDescent="0.3">
      <c r="B1836" s="62">
        <v>10811</v>
      </c>
      <c r="C1836" s="62" t="s">
        <v>1725</v>
      </c>
      <c r="D1836" s="50"/>
      <c r="E1836" t="s">
        <v>1602</v>
      </c>
      <c r="F1836" s="46"/>
      <c r="G1836" t="s">
        <v>1735</v>
      </c>
      <c r="H1836" t="s">
        <v>1736</v>
      </c>
      <c r="I1836" t="s">
        <v>1737</v>
      </c>
      <c r="J1836" s="50"/>
      <c r="K1836" s="50"/>
      <c r="L1836" s="50"/>
    </row>
    <row r="1837" spans="2:12" ht="16.5" thickBot="1" x14ac:dyDescent="0.3">
      <c r="B1837" s="62">
        <v>10811</v>
      </c>
      <c r="C1837" s="62" t="s">
        <v>1725</v>
      </c>
      <c r="D1837" s="50"/>
      <c r="E1837" t="s">
        <v>1598</v>
      </c>
      <c r="F1837" s="46"/>
      <c r="G1837" t="s">
        <v>1622</v>
      </c>
      <c r="H1837" t="s">
        <v>1600</v>
      </c>
      <c r="I1837" t="s">
        <v>1601</v>
      </c>
      <c r="J1837" s="50"/>
      <c r="K1837" s="50"/>
      <c r="L1837" s="50"/>
    </row>
    <row r="1838" spans="2:12" ht="16.5" thickBot="1" x14ac:dyDescent="0.3">
      <c r="B1838" s="62">
        <v>10811</v>
      </c>
      <c r="C1838" s="62" t="s">
        <v>1725</v>
      </c>
      <c r="D1838" s="50"/>
      <c r="E1838" t="s">
        <v>1606</v>
      </c>
      <c r="F1838" s="46"/>
      <c r="G1838" t="s">
        <v>1622</v>
      </c>
      <c r="H1838" t="s">
        <v>1608</v>
      </c>
      <c r="I1838" t="s">
        <v>1609</v>
      </c>
      <c r="J1838" s="50"/>
      <c r="K1838" s="50"/>
      <c r="L1838" s="50"/>
    </row>
    <row r="1839" spans="2:12" ht="16.5" thickBot="1" x14ac:dyDescent="0.3">
      <c r="B1839" s="62">
        <v>10811</v>
      </c>
      <c r="C1839" s="62" t="s">
        <v>1725</v>
      </c>
      <c r="D1839" s="50"/>
      <c r="E1839" t="s">
        <v>1610</v>
      </c>
      <c r="F1839" s="46"/>
      <c r="G1839" t="s">
        <v>1622</v>
      </c>
      <c r="H1839" t="s">
        <v>1612</v>
      </c>
      <c r="I1839" t="s">
        <v>1613</v>
      </c>
      <c r="J1839" s="50"/>
      <c r="K1839" s="50"/>
      <c r="L1839" s="50"/>
    </row>
    <row r="1840" spans="2:12" x14ac:dyDescent="0.25">
      <c r="B1840" s="64">
        <v>10811</v>
      </c>
      <c r="C1840" s="64" t="s">
        <v>1725</v>
      </c>
      <c r="D1840" s="50"/>
      <c r="E1840" t="s">
        <v>1602</v>
      </c>
      <c r="F1840" s="46"/>
      <c r="G1840" t="s">
        <v>1622</v>
      </c>
      <c r="H1840" t="s">
        <v>1604</v>
      </c>
      <c r="I1840" t="s">
        <v>1605</v>
      </c>
      <c r="J1840" s="50"/>
      <c r="K1840" s="50"/>
      <c r="L1840" s="50"/>
    </row>
  </sheetData>
  <phoneticPr fontId="2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4B091-5E01-4E27-8B49-2366B2DE4FB1}">
  <dimension ref="A1:G504"/>
  <sheetViews>
    <sheetView workbookViewId="0">
      <selection activeCell="F1" sqref="F1:F1048576"/>
    </sheetView>
  </sheetViews>
  <sheetFormatPr defaultColWidth="37.5703125" defaultRowHeight="15" x14ac:dyDescent="0.25"/>
  <cols>
    <col min="1" max="1" width="58.140625" customWidth="1"/>
    <col min="2" max="2" width="50.42578125" customWidth="1"/>
    <col min="3" max="3" width="34.7109375" bestFit="1" customWidth="1"/>
    <col min="4" max="4" width="24.85546875" customWidth="1"/>
    <col min="5" max="5" width="15.85546875" bestFit="1" customWidth="1"/>
    <col min="6" max="6" width="107.140625" bestFit="1" customWidth="1"/>
    <col min="7" max="7" width="107.140625" customWidth="1"/>
  </cols>
  <sheetData>
    <row r="1" spans="2:7" x14ac:dyDescent="0.25">
      <c r="B1" s="30" t="s">
        <v>967</v>
      </c>
      <c r="C1" s="30" t="s">
        <v>768</v>
      </c>
      <c r="D1" s="30" t="s">
        <v>968</v>
      </c>
      <c r="E1" s="30" t="s">
        <v>1167</v>
      </c>
      <c r="F1" s="30" t="s">
        <v>966</v>
      </c>
      <c r="G1" s="30"/>
    </row>
    <row r="2" spans="2:7" x14ac:dyDescent="0.25">
      <c r="B2" t="s">
        <v>969</v>
      </c>
      <c r="C2" t="s">
        <v>820</v>
      </c>
      <c r="D2" t="s">
        <v>816</v>
      </c>
      <c r="F2" t="s">
        <v>970</v>
      </c>
    </row>
    <row r="3" spans="2:7" x14ac:dyDescent="0.25">
      <c r="B3" t="s">
        <v>971</v>
      </c>
      <c r="C3" t="s">
        <v>885</v>
      </c>
      <c r="D3" t="s">
        <v>934</v>
      </c>
      <c r="E3" t="s">
        <v>929</v>
      </c>
      <c r="F3" t="s">
        <v>972</v>
      </c>
    </row>
    <row r="4" spans="2:7" x14ac:dyDescent="0.25">
      <c r="B4" t="s">
        <v>973</v>
      </c>
      <c r="C4" t="s">
        <v>915</v>
      </c>
      <c r="D4" t="s">
        <v>947</v>
      </c>
      <c r="F4" t="s">
        <v>974</v>
      </c>
    </row>
    <row r="5" spans="2:7" x14ac:dyDescent="0.25">
      <c r="B5" t="s">
        <v>975</v>
      </c>
      <c r="C5" t="s">
        <v>862</v>
      </c>
      <c r="D5" t="s">
        <v>873</v>
      </c>
      <c r="F5" t="s">
        <v>976</v>
      </c>
    </row>
    <row r="6" spans="2:7" x14ac:dyDescent="0.25">
      <c r="B6" t="s">
        <v>977</v>
      </c>
      <c r="C6" t="s">
        <v>954</v>
      </c>
      <c r="D6" t="s">
        <v>953</v>
      </c>
      <c r="F6" t="s">
        <v>978</v>
      </c>
    </row>
    <row r="7" spans="2:7" x14ac:dyDescent="0.25">
      <c r="B7" t="s">
        <v>979</v>
      </c>
      <c r="C7" t="s">
        <v>859</v>
      </c>
      <c r="D7" t="s">
        <v>934</v>
      </c>
      <c r="F7" t="s">
        <v>980</v>
      </c>
    </row>
    <row r="8" spans="2:7" x14ac:dyDescent="0.25">
      <c r="B8" t="s">
        <v>981</v>
      </c>
      <c r="C8" t="s">
        <v>853</v>
      </c>
      <c r="D8" t="s">
        <v>872</v>
      </c>
      <c r="F8" t="s">
        <v>980</v>
      </c>
    </row>
    <row r="9" spans="2:7" x14ac:dyDescent="0.25">
      <c r="B9" t="s">
        <v>982</v>
      </c>
      <c r="C9" t="s">
        <v>869</v>
      </c>
      <c r="D9" t="s">
        <v>874</v>
      </c>
      <c r="F9" t="s">
        <v>983</v>
      </c>
    </row>
    <row r="10" spans="2:7" x14ac:dyDescent="0.25">
      <c r="B10" t="s">
        <v>984</v>
      </c>
      <c r="C10" t="s">
        <v>843</v>
      </c>
      <c r="D10" t="s">
        <v>871</v>
      </c>
      <c r="F10" t="s">
        <v>985</v>
      </c>
    </row>
    <row r="11" spans="2:7" x14ac:dyDescent="0.25">
      <c r="B11" t="s">
        <v>986</v>
      </c>
      <c r="C11" t="s">
        <v>890</v>
      </c>
      <c r="D11" t="s">
        <v>962</v>
      </c>
      <c r="F11" t="s">
        <v>985</v>
      </c>
    </row>
    <row r="12" spans="2:7" x14ac:dyDescent="0.25">
      <c r="B12" t="s">
        <v>987</v>
      </c>
      <c r="C12" t="s">
        <v>902</v>
      </c>
      <c r="D12" t="s">
        <v>947</v>
      </c>
      <c r="F12" t="s">
        <v>974</v>
      </c>
    </row>
    <row r="13" spans="2:7" x14ac:dyDescent="0.25">
      <c r="B13" t="s">
        <v>988</v>
      </c>
      <c r="C13" t="s">
        <v>812</v>
      </c>
      <c r="D13" t="s">
        <v>803</v>
      </c>
      <c r="F13" t="s">
        <v>989</v>
      </c>
    </row>
    <row r="14" spans="2:7" x14ac:dyDescent="0.25">
      <c r="B14" t="s">
        <v>990</v>
      </c>
      <c r="C14" t="s">
        <v>901</v>
      </c>
      <c r="D14" t="s">
        <v>964</v>
      </c>
      <c r="F14" t="s">
        <v>991</v>
      </c>
    </row>
    <row r="15" spans="2:7" x14ac:dyDescent="0.25">
      <c r="B15" t="s">
        <v>992</v>
      </c>
      <c r="C15" t="s">
        <v>860</v>
      </c>
      <c r="D15" t="s">
        <v>873</v>
      </c>
      <c r="F15" t="s">
        <v>993</v>
      </c>
    </row>
    <row r="16" spans="2:7" x14ac:dyDescent="0.25">
      <c r="B16" t="s">
        <v>994</v>
      </c>
      <c r="C16" t="s">
        <v>905</v>
      </c>
      <c r="D16" t="s">
        <v>873</v>
      </c>
      <c r="F16" t="s">
        <v>995</v>
      </c>
    </row>
    <row r="17" spans="2:6" x14ac:dyDescent="0.25">
      <c r="B17" t="s">
        <v>996</v>
      </c>
      <c r="C17" t="s">
        <v>867</v>
      </c>
      <c r="D17" t="s">
        <v>874</v>
      </c>
      <c r="F17" t="s">
        <v>997</v>
      </c>
    </row>
    <row r="18" spans="2:6" x14ac:dyDescent="0.25">
      <c r="B18" t="s">
        <v>998</v>
      </c>
      <c r="C18" t="s">
        <v>808</v>
      </c>
      <c r="D18" t="s">
        <v>803</v>
      </c>
      <c r="F18" t="s">
        <v>999</v>
      </c>
    </row>
    <row r="19" spans="2:6" x14ac:dyDescent="0.25">
      <c r="B19" t="s">
        <v>1000</v>
      </c>
      <c r="C19" t="s">
        <v>933</v>
      </c>
      <c r="D19" t="s">
        <v>929</v>
      </c>
      <c r="F19" t="s">
        <v>974</v>
      </c>
    </row>
    <row r="20" spans="2:6" x14ac:dyDescent="0.25">
      <c r="B20" t="s">
        <v>1001</v>
      </c>
      <c r="C20" t="s">
        <v>811</v>
      </c>
      <c r="D20" t="s">
        <v>803</v>
      </c>
      <c r="F20" t="s">
        <v>1002</v>
      </c>
    </row>
    <row r="21" spans="2:6" x14ac:dyDescent="0.25">
      <c r="B21" t="s">
        <v>1003</v>
      </c>
      <c r="C21" t="s">
        <v>910</v>
      </c>
      <c r="D21" t="s">
        <v>965</v>
      </c>
      <c r="F21" t="s">
        <v>1004</v>
      </c>
    </row>
    <row r="22" spans="2:6" x14ac:dyDescent="0.25">
      <c r="B22" t="s">
        <v>1005</v>
      </c>
      <c r="C22" t="s">
        <v>877</v>
      </c>
      <c r="D22" t="s">
        <v>872</v>
      </c>
      <c r="F22" t="s">
        <v>1006</v>
      </c>
    </row>
    <row r="23" spans="2:6" x14ac:dyDescent="0.25">
      <c r="B23" t="s">
        <v>1007</v>
      </c>
      <c r="C23" t="s">
        <v>854</v>
      </c>
      <c r="D23" t="s">
        <v>872</v>
      </c>
      <c r="F23" t="s">
        <v>980</v>
      </c>
    </row>
    <row r="24" spans="2:6" x14ac:dyDescent="0.25">
      <c r="B24" t="s">
        <v>1008</v>
      </c>
      <c r="C24" t="s">
        <v>822</v>
      </c>
      <c r="D24" t="s">
        <v>816</v>
      </c>
      <c r="F24" t="s">
        <v>1009</v>
      </c>
    </row>
    <row r="25" spans="2:6" x14ac:dyDescent="0.25">
      <c r="B25" t="s">
        <v>1010</v>
      </c>
      <c r="C25" t="s">
        <v>851</v>
      </c>
      <c r="D25" t="s">
        <v>871</v>
      </c>
      <c r="F25" t="s">
        <v>1011</v>
      </c>
    </row>
    <row r="26" spans="2:6" x14ac:dyDescent="0.25">
      <c r="B26" t="s">
        <v>1012</v>
      </c>
      <c r="C26" t="s">
        <v>868</v>
      </c>
      <c r="D26" t="s">
        <v>874</v>
      </c>
      <c r="F26" t="s">
        <v>997</v>
      </c>
    </row>
    <row r="27" spans="2:6" x14ac:dyDescent="0.25">
      <c r="B27" t="s">
        <v>1013</v>
      </c>
      <c r="C27" t="s">
        <v>952</v>
      </c>
      <c r="D27" t="s">
        <v>951</v>
      </c>
      <c r="F27" t="s">
        <v>1014</v>
      </c>
    </row>
    <row r="28" spans="2:6" x14ac:dyDescent="0.25">
      <c r="B28" t="s">
        <v>1015</v>
      </c>
      <c r="C28" t="s">
        <v>900</v>
      </c>
      <c r="D28" t="s">
        <v>964</v>
      </c>
      <c r="F28" t="s">
        <v>1016</v>
      </c>
    </row>
    <row r="29" spans="2:6" x14ac:dyDescent="0.25">
      <c r="B29" t="s">
        <v>1017</v>
      </c>
      <c r="C29" t="s">
        <v>936</v>
      </c>
      <c r="D29" t="s">
        <v>934</v>
      </c>
      <c r="F29" t="s">
        <v>972</v>
      </c>
    </row>
    <row r="30" spans="2:6" x14ac:dyDescent="0.25">
      <c r="B30" t="s">
        <v>1018</v>
      </c>
      <c r="C30" t="s">
        <v>847</v>
      </c>
      <c r="D30" t="s">
        <v>871</v>
      </c>
      <c r="F30" t="s">
        <v>970</v>
      </c>
    </row>
    <row r="31" spans="2:6" x14ac:dyDescent="0.25">
      <c r="B31" t="s">
        <v>1019</v>
      </c>
      <c r="C31" t="s">
        <v>893</v>
      </c>
      <c r="D31" t="s">
        <v>962</v>
      </c>
      <c r="F31" t="s">
        <v>970</v>
      </c>
    </row>
    <row r="32" spans="2:6" x14ac:dyDescent="0.25">
      <c r="B32" t="s">
        <v>1020</v>
      </c>
      <c r="C32" t="s">
        <v>888</v>
      </c>
      <c r="D32" t="s">
        <v>962</v>
      </c>
      <c r="F32" t="s">
        <v>985</v>
      </c>
    </row>
    <row r="33" spans="2:6" x14ac:dyDescent="0.25">
      <c r="B33" t="s">
        <v>1021</v>
      </c>
      <c r="C33" t="s">
        <v>894</v>
      </c>
      <c r="D33" t="s">
        <v>963</v>
      </c>
      <c r="F33" t="s">
        <v>985</v>
      </c>
    </row>
    <row r="34" spans="2:6" x14ac:dyDescent="0.25">
      <c r="B34" t="s">
        <v>1022</v>
      </c>
      <c r="C34" t="s">
        <v>844</v>
      </c>
      <c r="D34" t="s">
        <v>871</v>
      </c>
      <c r="F34" t="s">
        <v>985</v>
      </c>
    </row>
    <row r="35" spans="2:6" x14ac:dyDescent="0.25">
      <c r="B35" t="s">
        <v>1023</v>
      </c>
      <c r="C35" t="s">
        <v>824</v>
      </c>
      <c r="D35" t="s">
        <v>816</v>
      </c>
      <c r="F35" t="s">
        <v>1024</v>
      </c>
    </row>
    <row r="36" spans="2:6" x14ac:dyDescent="0.25">
      <c r="B36" t="s">
        <v>1025</v>
      </c>
      <c r="C36" t="s">
        <v>881</v>
      </c>
      <c r="D36" t="s">
        <v>961</v>
      </c>
      <c r="F36" t="s">
        <v>1024</v>
      </c>
    </row>
    <row r="37" spans="2:6" x14ac:dyDescent="0.25">
      <c r="B37" t="s">
        <v>1026</v>
      </c>
      <c r="C37" t="s">
        <v>827</v>
      </c>
      <c r="D37" t="s">
        <v>816</v>
      </c>
      <c r="F37" t="s">
        <v>1027</v>
      </c>
    </row>
    <row r="38" spans="2:6" x14ac:dyDescent="0.25">
      <c r="B38" t="s">
        <v>1028</v>
      </c>
      <c r="C38" t="s">
        <v>919</v>
      </c>
      <c r="D38" t="s">
        <v>871</v>
      </c>
      <c r="F38" t="s">
        <v>1029</v>
      </c>
    </row>
    <row r="39" spans="2:6" x14ac:dyDescent="0.25">
      <c r="B39" t="s">
        <v>1030</v>
      </c>
      <c r="C39" t="s">
        <v>815</v>
      </c>
      <c r="D39" t="s">
        <v>803</v>
      </c>
      <c r="F39" t="s">
        <v>1031</v>
      </c>
    </row>
    <row r="40" spans="2:6" x14ac:dyDescent="0.25">
      <c r="B40" t="s">
        <v>1032</v>
      </c>
      <c r="C40" t="s">
        <v>842</v>
      </c>
      <c r="D40" t="s">
        <v>959</v>
      </c>
      <c r="F40" t="s">
        <v>1033</v>
      </c>
    </row>
    <row r="41" spans="2:6" x14ac:dyDescent="0.25">
      <c r="B41" t="s">
        <v>1034</v>
      </c>
      <c r="C41" t="s">
        <v>814</v>
      </c>
      <c r="D41" t="s">
        <v>803</v>
      </c>
      <c r="F41" t="s">
        <v>1035</v>
      </c>
    </row>
    <row r="42" spans="2:6" x14ac:dyDescent="0.25">
      <c r="B42" t="s">
        <v>1036</v>
      </c>
      <c r="C42" t="s">
        <v>909</v>
      </c>
      <c r="D42" t="s">
        <v>873</v>
      </c>
      <c r="F42" t="s">
        <v>970</v>
      </c>
    </row>
    <row r="43" spans="2:6" x14ac:dyDescent="0.25">
      <c r="B43" t="s">
        <v>1037</v>
      </c>
      <c r="C43" t="s">
        <v>945</v>
      </c>
      <c r="D43" t="s">
        <v>874</v>
      </c>
      <c r="F43" t="s">
        <v>970</v>
      </c>
    </row>
    <row r="44" spans="2:6" x14ac:dyDescent="0.25">
      <c r="B44" t="s">
        <v>1038</v>
      </c>
      <c r="C44" t="s">
        <v>887</v>
      </c>
      <c r="D44" t="s">
        <v>874</v>
      </c>
      <c r="F44" t="s">
        <v>970</v>
      </c>
    </row>
    <row r="45" spans="2:6" x14ac:dyDescent="0.25">
      <c r="B45" t="s">
        <v>1039</v>
      </c>
      <c r="C45" t="s">
        <v>949</v>
      </c>
      <c r="D45" t="s">
        <v>947</v>
      </c>
      <c r="F45" t="s">
        <v>974</v>
      </c>
    </row>
    <row r="46" spans="2:6" x14ac:dyDescent="0.25">
      <c r="B46" t="s">
        <v>1040</v>
      </c>
      <c r="C46" t="s">
        <v>884</v>
      </c>
      <c r="D46" t="s">
        <v>929</v>
      </c>
      <c r="F46" t="s">
        <v>1041</v>
      </c>
    </row>
    <row r="47" spans="2:6" x14ac:dyDescent="0.25">
      <c r="B47" t="s">
        <v>1042</v>
      </c>
      <c r="C47" t="s">
        <v>892</v>
      </c>
      <c r="D47" t="s">
        <v>962</v>
      </c>
      <c r="F47" t="s">
        <v>985</v>
      </c>
    </row>
    <row r="48" spans="2:6" x14ac:dyDescent="0.25">
      <c r="B48" t="s">
        <v>1043</v>
      </c>
      <c r="C48" t="s">
        <v>807</v>
      </c>
      <c r="D48" t="s">
        <v>803</v>
      </c>
      <c r="F48" t="s">
        <v>1044</v>
      </c>
    </row>
    <row r="49" spans="2:6" x14ac:dyDescent="0.25">
      <c r="B49" t="s">
        <v>1045</v>
      </c>
      <c r="C49" t="s">
        <v>943</v>
      </c>
      <c r="D49" t="s">
        <v>937</v>
      </c>
      <c r="F49" t="s">
        <v>972</v>
      </c>
    </row>
    <row r="50" spans="2:6" x14ac:dyDescent="0.25">
      <c r="B50" t="s">
        <v>1046</v>
      </c>
      <c r="C50" t="s">
        <v>942</v>
      </c>
      <c r="D50" t="s">
        <v>937</v>
      </c>
      <c r="F50" t="s">
        <v>980</v>
      </c>
    </row>
    <row r="51" spans="2:6" x14ac:dyDescent="0.25">
      <c r="B51" t="s">
        <v>1047</v>
      </c>
      <c r="C51" t="s">
        <v>932</v>
      </c>
      <c r="D51" t="s">
        <v>929</v>
      </c>
      <c r="F51" t="s">
        <v>1048</v>
      </c>
    </row>
    <row r="52" spans="2:6" x14ac:dyDescent="0.25">
      <c r="B52" t="s">
        <v>1049</v>
      </c>
      <c r="C52" t="s">
        <v>927</v>
      </c>
      <c r="D52" t="s">
        <v>872</v>
      </c>
      <c r="F52" t="s">
        <v>1050</v>
      </c>
    </row>
    <row r="53" spans="2:6" x14ac:dyDescent="0.25">
      <c r="B53" t="s">
        <v>1051</v>
      </c>
      <c r="C53" t="s">
        <v>833</v>
      </c>
      <c r="D53" t="s">
        <v>934</v>
      </c>
      <c r="E53" t="s">
        <v>1171</v>
      </c>
      <c r="F53" t="s">
        <v>1052</v>
      </c>
    </row>
    <row r="54" spans="2:6" x14ac:dyDescent="0.25">
      <c r="B54" t="s">
        <v>1053</v>
      </c>
      <c r="C54" t="s">
        <v>863</v>
      </c>
      <c r="D54" t="s">
        <v>873</v>
      </c>
      <c r="F54" t="s">
        <v>997</v>
      </c>
    </row>
    <row r="55" spans="2:6" x14ac:dyDescent="0.25">
      <c r="B55" t="s">
        <v>1054</v>
      </c>
      <c r="C55" t="s">
        <v>914</v>
      </c>
      <c r="D55" t="s">
        <v>874</v>
      </c>
      <c r="F55" t="s">
        <v>997</v>
      </c>
    </row>
    <row r="56" spans="2:6" x14ac:dyDescent="0.25">
      <c r="B56" t="s">
        <v>1055</v>
      </c>
      <c r="C56" t="s">
        <v>897</v>
      </c>
      <c r="D56" t="s">
        <v>873</v>
      </c>
      <c r="F56" t="s">
        <v>1056</v>
      </c>
    </row>
    <row r="57" spans="2:6" x14ac:dyDescent="0.25">
      <c r="B57" t="s">
        <v>1057</v>
      </c>
      <c r="C57" t="s">
        <v>813</v>
      </c>
      <c r="D57" t="s">
        <v>803</v>
      </c>
      <c r="F57" t="s">
        <v>980</v>
      </c>
    </row>
    <row r="58" spans="2:6" x14ac:dyDescent="0.25">
      <c r="B58" t="s">
        <v>1058</v>
      </c>
      <c r="C58" t="s">
        <v>828</v>
      </c>
      <c r="D58" t="s">
        <v>816</v>
      </c>
      <c r="F58" t="s">
        <v>1059</v>
      </c>
    </row>
    <row r="59" spans="2:6" x14ac:dyDescent="0.25">
      <c r="B59" t="s">
        <v>1060</v>
      </c>
      <c r="C59" t="s">
        <v>946</v>
      </c>
      <c r="D59" t="s">
        <v>874</v>
      </c>
      <c r="F59" t="s">
        <v>972</v>
      </c>
    </row>
    <row r="60" spans="2:6" x14ac:dyDescent="0.25">
      <c r="B60" t="s">
        <v>1061</v>
      </c>
      <c r="C60" t="s">
        <v>896</v>
      </c>
      <c r="D60" t="s">
        <v>963</v>
      </c>
      <c r="F60" t="s">
        <v>1062</v>
      </c>
    </row>
    <row r="61" spans="2:6" x14ac:dyDescent="0.25">
      <c r="B61" t="s">
        <v>1063</v>
      </c>
      <c r="C61" t="s">
        <v>819</v>
      </c>
      <c r="D61" t="s">
        <v>816</v>
      </c>
      <c r="F61" t="s">
        <v>1064</v>
      </c>
    </row>
    <row r="62" spans="2:6" x14ac:dyDescent="0.25">
      <c r="B62" t="s">
        <v>1065</v>
      </c>
      <c r="C62" t="s">
        <v>855</v>
      </c>
      <c r="D62" t="s">
        <v>872</v>
      </c>
      <c r="F62" t="s">
        <v>980</v>
      </c>
    </row>
    <row r="63" spans="2:6" x14ac:dyDescent="0.25">
      <c r="B63" t="s">
        <v>1066</v>
      </c>
      <c r="C63" t="s">
        <v>840</v>
      </c>
      <c r="D63" t="s">
        <v>957</v>
      </c>
      <c r="F63" t="s">
        <v>1067</v>
      </c>
    </row>
    <row r="64" spans="2:6" x14ac:dyDescent="0.25">
      <c r="B64" t="s">
        <v>1068</v>
      </c>
      <c r="C64" t="s">
        <v>866</v>
      </c>
      <c r="D64" t="s">
        <v>960</v>
      </c>
      <c r="F64" t="s">
        <v>1069</v>
      </c>
    </row>
    <row r="65" spans="2:6" x14ac:dyDescent="0.25">
      <c r="B65" t="s">
        <v>1070</v>
      </c>
      <c r="C65" t="s">
        <v>898</v>
      </c>
      <c r="D65" t="s">
        <v>873</v>
      </c>
      <c r="F65" t="s">
        <v>1071</v>
      </c>
    </row>
    <row r="66" spans="2:6" x14ac:dyDescent="0.25">
      <c r="B66" t="s">
        <v>1072</v>
      </c>
      <c r="C66" t="s">
        <v>907</v>
      </c>
      <c r="D66" t="s">
        <v>961</v>
      </c>
      <c r="F66" t="s">
        <v>1073</v>
      </c>
    </row>
    <row r="67" spans="2:6" x14ac:dyDescent="0.25">
      <c r="B67" t="s">
        <v>1074</v>
      </c>
      <c r="C67" t="s">
        <v>838</v>
      </c>
      <c r="D67" t="s">
        <v>955</v>
      </c>
      <c r="F67" t="s">
        <v>1031</v>
      </c>
    </row>
    <row r="68" spans="2:6" x14ac:dyDescent="0.25">
      <c r="B68" t="s">
        <v>1075</v>
      </c>
      <c r="C68" t="s">
        <v>889</v>
      </c>
      <c r="D68" t="s">
        <v>962</v>
      </c>
      <c r="F68" t="s">
        <v>985</v>
      </c>
    </row>
    <row r="69" spans="2:6" x14ac:dyDescent="0.25">
      <c r="B69" t="s">
        <v>1076</v>
      </c>
      <c r="C69" t="s">
        <v>856</v>
      </c>
      <c r="D69" t="s">
        <v>872</v>
      </c>
      <c r="F69" t="s">
        <v>980</v>
      </c>
    </row>
    <row r="70" spans="2:6" x14ac:dyDescent="0.25">
      <c r="B70" t="s">
        <v>1077</v>
      </c>
      <c r="C70" t="s">
        <v>928</v>
      </c>
      <c r="D70" t="s">
        <v>872</v>
      </c>
      <c r="F70" t="s">
        <v>980</v>
      </c>
    </row>
    <row r="71" spans="2:6" x14ac:dyDescent="0.25">
      <c r="B71" t="s">
        <v>1078</v>
      </c>
      <c r="C71" t="s">
        <v>926</v>
      </c>
      <c r="D71" t="s">
        <v>872</v>
      </c>
      <c r="F71" t="s">
        <v>980</v>
      </c>
    </row>
    <row r="72" spans="2:6" x14ac:dyDescent="0.25">
      <c r="B72" t="s">
        <v>1079</v>
      </c>
      <c r="C72" t="s">
        <v>922</v>
      </c>
      <c r="D72" t="s">
        <v>871</v>
      </c>
      <c r="F72" t="s">
        <v>985</v>
      </c>
    </row>
    <row r="73" spans="2:6" x14ac:dyDescent="0.25">
      <c r="B73" t="s">
        <v>1080</v>
      </c>
      <c r="C73" t="s">
        <v>849</v>
      </c>
      <c r="D73" t="s">
        <v>871</v>
      </c>
      <c r="F73" t="s">
        <v>970</v>
      </c>
    </row>
    <row r="74" spans="2:6" x14ac:dyDescent="0.25">
      <c r="B74" t="s">
        <v>1081</v>
      </c>
      <c r="C74" t="s">
        <v>878</v>
      </c>
      <c r="D74" t="s">
        <v>961</v>
      </c>
      <c r="F74" t="s">
        <v>1024</v>
      </c>
    </row>
    <row r="75" spans="2:6" x14ac:dyDescent="0.25">
      <c r="B75" t="s">
        <v>1082</v>
      </c>
      <c r="C75" t="s">
        <v>823</v>
      </c>
      <c r="D75" t="s">
        <v>816</v>
      </c>
      <c r="F75" t="s">
        <v>1083</v>
      </c>
    </row>
    <row r="76" spans="2:6" x14ac:dyDescent="0.25">
      <c r="B76" t="s">
        <v>1084</v>
      </c>
      <c r="C76" t="s">
        <v>906</v>
      </c>
      <c r="D76" t="s">
        <v>961</v>
      </c>
      <c r="F76" t="s">
        <v>1085</v>
      </c>
    </row>
    <row r="77" spans="2:6" x14ac:dyDescent="0.25">
      <c r="B77" t="s">
        <v>1086</v>
      </c>
      <c r="C77" t="s">
        <v>861</v>
      </c>
      <c r="D77" t="s">
        <v>873</v>
      </c>
      <c r="F77" t="s">
        <v>1087</v>
      </c>
    </row>
    <row r="78" spans="2:6" x14ac:dyDescent="0.25">
      <c r="B78" t="s">
        <v>1088</v>
      </c>
      <c r="C78" t="s">
        <v>848</v>
      </c>
      <c r="D78" t="s">
        <v>871</v>
      </c>
      <c r="F78" t="s">
        <v>1089</v>
      </c>
    </row>
    <row r="79" spans="2:6" x14ac:dyDescent="0.25">
      <c r="B79" t="s">
        <v>1090</v>
      </c>
      <c r="C79" t="s">
        <v>852</v>
      </c>
      <c r="D79" t="s">
        <v>872</v>
      </c>
      <c r="F79" t="s">
        <v>1024</v>
      </c>
    </row>
    <row r="80" spans="2:6" x14ac:dyDescent="0.25">
      <c r="B80" t="s">
        <v>1091</v>
      </c>
      <c r="C80" t="s">
        <v>918</v>
      </c>
      <c r="D80" t="s">
        <v>871</v>
      </c>
      <c r="F80" t="s">
        <v>1092</v>
      </c>
    </row>
    <row r="81" spans="2:6" x14ac:dyDescent="0.25">
      <c r="B81" t="s">
        <v>1093</v>
      </c>
      <c r="C81" t="s">
        <v>911</v>
      </c>
      <c r="D81" t="s">
        <v>965</v>
      </c>
      <c r="F81" t="s">
        <v>1094</v>
      </c>
    </row>
    <row r="82" spans="2:6" x14ac:dyDescent="0.25">
      <c r="B82" t="s">
        <v>1095</v>
      </c>
      <c r="C82" t="s">
        <v>939</v>
      </c>
      <c r="D82" t="s">
        <v>937</v>
      </c>
      <c r="F82" t="s">
        <v>1096</v>
      </c>
    </row>
    <row r="83" spans="2:6" x14ac:dyDescent="0.25">
      <c r="B83" t="s">
        <v>1097</v>
      </c>
      <c r="C83" t="s">
        <v>870</v>
      </c>
      <c r="D83" t="s">
        <v>874</v>
      </c>
      <c r="F83" t="s">
        <v>997</v>
      </c>
    </row>
    <row r="84" spans="2:6" x14ac:dyDescent="0.25">
      <c r="B84" t="s">
        <v>1098</v>
      </c>
      <c r="C84" t="s">
        <v>886</v>
      </c>
      <c r="D84" t="s">
        <v>874</v>
      </c>
      <c r="F84" t="s">
        <v>1099</v>
      </c>
    </row>
    <row r="85" spans="2:6" x14ac:dyDescent="0.25">
      <c r="B85" t="s">
        <v>1100</v>
      </c>
      <c r="C85" t="s">
        <v>882</v>
      </c>
      <c r="D85" t="s">
        <v>929</v>
      </c>
      <c r="F85" t="s">
        <v>1048</v>
      </c>
    </row>
    <row r="86" spans="2:6" x14ac:dyDescent="0.25">
      <c r="B86" t="s">
        <v>1101</v>
      </c>
      <c r="C86" t="s">
        <v>875</v>
      </c>
      <c r="D86" t="s">
        <v>872</v>
      </c>
      <c r="F86" t="s">
        <v>1102</v>
      </c>
    </row>
    <row r="87" spans="2:6" x14ac:dyDescent="0.25">
      <c r="B87" t="s">
        <v>1103</v>
      </c>
      <c r="C87" t="s">
        <v>920</v>
      </c>
      <c r="D87" t="s">
        <v>871</v>
      </c>
      <c r="F87" t="s">
        <v>1048</v>
      </c>
    </row>
    <row r="88" spans="2:6" x14ac:dyDescent="0.25">
      <c r="B88" t="s">
        <v>1104</v>
      </c>
      <c r="C88" t="s">
        <v>834</v>
      </c>
      <c r="D88" t="s">
        <v>816</v>
      </c>
      <c r="F88" t="s">
        <v>970</v>
      </c>
    </row>
    <row r="89" spans="2:6" x14ac:dyDescent="0.25">
      <c r="B89" t="s">
        <v>1105</v>
      </c>
      <c r="C89" t="s">
        <v>931</v>
      </c>
      <c r="D89" t="s">
        <v>929</v>
      </c>
      <c r="F89" t="s">
        <v>970</v>
      </c>
    </row>
    <row r="90" spans="2:6" x14ac:dyDescent="0.25">
      <c r="B90" t="s">
        <v>1106</v>
      </c>
      <c r="C90" t="s">
        <v>832</v>
      </c>
      <c r="D90" t="s">
        <v>816</v>
      </c>
      <c r="F90" t="s">
        <v>1107</v>
      </c>
    </row>
    <row r="91" spans="2:6" x14ac:dyDescent="0.25">
      <c r="B91" t="s">
        <v>1108</v>
      </c>
      <c r="C91" t="s">
        <v>804</v>
      </c>
      <c r="D91" t="s">
        <v>816</v>
      </c>
      <c r="F91" t="s">
        <v>1109</v>
      </c>
    </row>
    <row r="92" spans="2:6" x14ac:dyDescent="0.25">
      <c r="B92" t="s">
        <v>1110</v>
      </c>
      <c r="C92" t="s">
        <v>879</v>
      </c>
      <c r="D92" t="s">
        <v>961</v>
      </c>
      <c r="F92" t="s">
        <v>1111</v>
      </c>
    </row>
    <row r="93" spans="2:6" x14ac:dyDescent="0.25">
      <c r="B93" t="s">
        <v>1112</v>
      </c>
      <c r="C93" t="s">
        <v>924</v>
      </c>
      <c r="D93" t="s">
        <v>871</v>
      </c>
      <c r="F93" t="s">
        <v>1031</v>
      </c>
    </row>
    <row r="94" spans="2:6" x14ac:dyDescent="0.25">
      <c r="B94" t="s">
        <v>1113</v>
      </c>
      <c r="C94" t="s">
        <v>829</v>
      </c>
      <c r="D94" t="s">
        <v>816</v>
      </c>
      <c r="F94" t="s">
        <v>1048</v>
      </c>
    </row>
    <row r="95" spans="2:6" x14ac:dyDescent="0.25">
      <c r="B95" t="s">
        <v>1114</v>
      </c>
      <c r="C95" t="s">
        <v>891</v>
      </c>
      <c r="D95" t="s">
        <v>962</v>
      </c>
      <c r="F95" t="s">
        <v>1115</v>
      </c>
    </row>
    <row r="96" spans="2:6" x14ac:dyDescent="0.25">
      <c r="B96" t="s">
        <v>1116</v>
      </c>
      <c r="C96" t="s">
        <v>845</v>
      </c>
      <c r="D96" t="s">
        <v>871</v>
      </c>
      <c r="F96" t="s">
        <v>985</v>
      </c>
    </row>
    <row r="97" spans="2:6" x14ac:dyDescent="0.25">
      <c r="B97" t="s">
        <v>1117</v>
      </c>
      <c r="C97" t="s">
        <v>864</v>
      </c>
      <c r="D97" t="s">
        <v>960</v>
      </c>
      <c r="F97" t="s">
        <v>1118</v>
      </c>
    </row>
    <row r="98" spans="2:6" x14ac:dyDescent="0.25">
      <c r="B98" t="s">
        <v>1119</v>
      </c>
      <c r="C98" t="s">
        <v>817</v>
      </c>
      <c r="D98" t="s">
        <v>816</v>
      </c>
      <c r="F98" t="s">
        <v>1048</v>
      </c>
    </row>
    <row r="99" spans="2:6" x14ac:dyDescent="0.25">
      <c r="B99" t="s">
        <v>1120</v>
      </c>
      <c r="C99" t="s">
        <v>950</v>
      </c>
      <c r="D99" t="s">
        <v>947</v>
      </c>
      <c r="F99" t="s">
        <v>1048</v>
      </c>
    </row>
    <row r="100" spans="2:6" x14ac:dyDescent="0.25">
      <c r="B100" t="s">
        <v>1121</v>
      </c>
      <c r="C100" t="s">
        <v>818</v>
      </c>
      <c r="D100" t="s">
        <v>816</v>
      </c>
      <c r="F100" t="s">
        <v>1048</v>
      </c>
    </row>
    <row r="101" spans="2:6" x14ac:dyDescent="0.25">
      <c r="B101" t="s">
        <v>1122</v>
      </c>
      <c r="C101" t="s">
        <v>903</v>
      </c>
      <c r="D101" t="s">
        <v>947</v>
      </c>
      <c r="F101" t="s">
        <v>974</v>
      </c>
    </row>
    <row r="102" spans="2:6" x14ac:dyDescent="0.25">
      <c r="B102" t="s">
        <v>1123</v>
      </c>
      <c r="C102" t="s">
        <v>830</v>
      </c>
      <c r="D102" t="s">
        <v>816</v>
      </c>
      <c r="F102" t="s">
        <v>970</v>
      </c>
    </row>
    <row r="103" spans="2:6" x14ac:dyDescent="0.25">
      <c r="B103" t="s">
        <v>1124</v>
      </c>
      <c r="C103" t="s">
        <v>850</v>
      </c>
      <c r="D103" t="s">
        <v>871</v>
      </c>
      <c r="F103" t="s">
        <v>1125</v>
      </c>
    </row>
    <row r="104" spans="2:6" x14ac:dyDescent="0.25">
      <c r="B104" t="s">
        <v>1126</v>
      </c>
      <c r="C104" t="s">
        <v>880</v>
      </c>
      <c r="D104" t="s">
        <v>961</v>
      </c>
      <c r="F104" t="s">
        <v>1024</v>
      </c>
    </row>
    <row r="105" spans="2:6" x14ac:dyDescent="0.25">
      <c r="B105" t="s">
        <v>1127</v>
      </c>
      <c r="C105" t="s">
        <v>858</v>
      </c>
      <c r="D105" t="s">
        <v>934</v>
      </c>
      <c r="F105" t="s">
        <v>1128</v>
      </c>
    </row>
    <row r="106" spans="2:6" x14ac:dyDescent="0.25">
      <c r="B106" t="s">
        <v>1129</v>
      </c>
      <c r="C106" t="s">
        <v>839</v>
      </c>
      <c r="D106" t="s">
        <v>956</v>
      </c>
      <c r="F106" t="s">
        <v>1031</v>
      </c>
    </row>
    <row r="107" spans="2:6" x14ac:dyDescent="0.25">
      <c r="B107" t="s">
        <v>1130</v>
      </c>
      <c r="C107" t="s">
        <v>836</v>
      </c>
      <c r="D107" t="s">
        <v>816</v>
      </c>
      <c r="F107" t="s">
        <v>970</v>
      </c>
    </row>
    <row r="108" spans="2:6" x14ac:dyDescent="0.25">
      <c r="B108" t="s">
        <v>1131</v>
      </c>
      <c r="C108" t="s">
        <v>857</v>
      </c>
      <c r="D108" t="s">
        <v>934</v>
      </c>
      <c r="F108" t="s">
        <v>1132</v>
      </c>
    </row>
    <row r="109" spans="2:6" x14ac:dyDescent="0.25">
      <c r="B109" t="s">
        <v>1133</v>
      </c>
      <c r="C109" t="s">
        <v>876</v>
      </c>
      <c r="D109" t="s">
        <v>872</v>
      </c>
      <c r="F109" t="s">
        <v>1134</v>
      </c>
    </row>
    <row r="110" spans="2:6" x14ac:dyDescent="0.25">
      <c r="B110" t="s">
        <v>1135</v>
      </c>
      <c r="C110" t="s">
        <v>940</v>
      </c>
      <c r="D110" t="s">
        <v>937</v>
      </c>
      <c r="F110" t="s">
        <v>1048</v>
      </c>
    </row>
    <row r="111" spans="2:6" x14ac:dyDescent="0.25">
      <c r="B111" t="s">
        <v>1136</v>
      </c>
      <c r="C111" t="s">
        <v>908</v>
      </c>
      <c r="D111" t="s">
        <v>873</v>
      </c>
      <c r="F111" t="s">
        <v>1137</v>
      </c>
    </row>
    <row r="112" spans="2:6" x14ac:dyDescent="0.25">
      <c r="B112" t="s">
        <v>1138</v>
      </c>
      <c r="C112" t="s">
        <v>826</v>
      </c>
      <c r="D112" t="s">
        <v>871</v>
      </c>
      <c r="E112" t="s">
        <v>816</v>
      </c>
      <c r="F112" t="s">
        <v>970</v>
      </c>
    </row>
    <row r="113" spans="2:6" x14ac:dyDescent="0.25">
      <c r="B113" t="s">
        <v>1139</v>
      </c>
      <c r="C113" t="s">
        <v>923</v>
      </c>
      <c r="D113" t="s">
        <v>871</v>
      </c>
      <c r="F113" t="s">
        <v>970</v>
      </c>
    </row>
    <row r="114" spans="2:6" x14ac:dyDescent="0.25">
      <c r="B114" t="s">
        <v>1140</v>
      </c>
      <c r="C114" t="s">
        <v>912</v>
      </c>
      <c r="D114" t="s">
        <v>816</v>
      </c>
      <c r="F114" t="s">
        <v>970</v>
      </c>
    </row>
    <row r="115" spans="2:6" x14ac:dyDescent="0.25">
      <c r="B115" t="s">
        <v>1141</v>
      </c>
      <c r="C115" t="s">
        <v>904</v>
      </c>
      <c r="D115" t="s">
        <v>873</v>
      </c>
      <c r="F115" t="s">
        <v>1142</v>
      </c>
    </row>
    <row r="116" spans="2:6" x14ac:dyDescent="0.25">
      <c r="B116" t="s">
        <v>1143</v>
      </c>
      <c r="C116" t="s">
        <v>899</v>
      </c>
      <c r="D116" t="s">
        <v>964</v>
      </c>
      <c r="F116" t="s">
        <v>1144</v>
      </c>
    </row>
    <row r="117" spans="2:6" x14ac:dyDescent="0.25">
      <c r="B117" t="s">
        <v>1145</v>
      </c>
      <c r="C117" t="s">
        <v>913</v>
      </c>
      <c r="D117" t="s">
        <v>816</v>
      </c>
      <c r="F117" t="s">
        <v>970</v>
      </c>
    </row>
    <row r="118" spans="2:6" x14ac:dyDescent="0.25">
      <c r="B118" t="s">
        <v>1146</v>
      </c>
      <c r="C118" t="s">
        <v>835</v>
      </c>
      <c r="D118" t="s">
        <v>816</v>
      </c>
      <c r="F118" t="s">
        <v>1048</v>
      </c>
    </row>
    <row r="119" spans="2:6" x14ac:dyDescent="0.25">
      <c r="B119" t="s">
        <v>1147</v>
      </c>
      <c r="C119" t="s">
        <v>806</v>
      </c>
      <c r="D119" t="s">
        <v>803</v>
      </c>
      <c r="F119" t="s">
        <v>980</v>
      </c>
    </row>
    <row r="120" spans="2:6" x14ac:dyDescent="0.25">
      <c r="B120" t="s">
        <v>1148</v>
      </c>
      <c r="C120" t="s">
        <v>825</v>
      </c>
      <c r="D120" t="s">
        <v>816</v>
      </c>
      <c r="F120" t="s">
        <v>1149</v>
      </c>
    </row>
    <row r="121" spans="2:6" x14ac:dyDescent="0.25">
      <c r="B121" t="s">
        <v>1150</v>
      </c>
      <c r="C121" t="s">
        <v>809</v>
      </c>
      <c r="D121" t="s">
        <v>803</v>
      </c>
      <c r="F121" t="s">
        <v>1151</v>
      </c>
    </row>
    <row r="122" spans="2:6" x14ac:dyDescent="0.25">
      <c r="B122" t="s">
        <v>1152</v>
      </c>
      <c r="C122" t="s">
        <v>810</v>
      </c>
      <c r="D122" t="s">
        <v>803</v>
      </c>
      <c r="F122" t="s">
        <v>1048</v>
      </c>
    </row>
    <row r="123" spans="2:6" x14ac:dyDescent="0.25">
      <c r="B123" t="s">
        <v>1153</v>
      </c>
      <c r="C123" t="s">
        <v>837</v>
      </c>
      <c r="D123" t="s">
        <v>816</v>
      </c>
      <c r="F123" t="s">
        <v>1024</v>
      </c>
    </row>
    <row r="124" spans="2:6" x14ac:dyDescent="0.25">
      <c r="B124" t="s">
        <v>1154</v>
      </c>
      <c r="C124" t="s">
        <v>916</v>
      </c>
      <c r="D124" t="s">
        <v>947</v>
      </c>
      <c r="F124" t="s">
        <v>974</v>
      </c>
    </row>
    <row r="125" spans="2:6" x14ac:dyDescent="0.25">
      <c r="B125" t="s">
        <v>1155</v>
      </c>
      <c r="C125" t="s">
        <v>841</v>
      </c>
      <c r="D125" t="s">
        <v>958</v>
      </c>
      <c r="F125" t="s">
        <v>1048</v>
      </c>
    </row>
    <row r="126" spans="2:6" x14ac:dyDescent="0.25">
      <c r="B126" t="s">
        <v>1156</v>
      </c>
      <c r="C126" t="s">
        <v>895</v>
      </c>
      <c r="D126" t="s">
        <v>963</v>
      </c>
      <c r="F126" t="s">
        <v>1048</v>
      </c>
    </row>
    <row r="127" spans="2:6" x14ac:dyDescent="0.25">
      <c r="B127" t="s">
        <v>1157</v>
      </c>
      <c r="C127" t="s">
        <v>883</v>
      </c>
      <c r="D127" t="s">
        <v>929</v>
      </c>
      <c r="F127" t="s">
        <v>1048</v>
      </c>
    </row>
    <row r="128" spans="2:6" x14ac:dyDescent="0.25">
      <c r="B128" t="s">
        <v>1158</v>
      </c>
      <c r="C128" t="s">
        <v>865</v>
      </c>
      <c r="D128" t="s">
        <v>960</v>
      </c>
      <c r="F128" t="s">
        <v>1159</v>
      </c>
    </row>
    <row r="129" spans="1:6" x14ac:dyDescent="0.25">
      <c r="B129" t="s">
        <v>1160</v>
      </c>
      <c r="C129" t="s">
        <v>846</v>
      </c>
      <c r="D129" t="s">
        <v>871</v>
      </c>
      <c r="F129" t="s">
        <v>1161</v>
      </c>
    </row>
    <row r="130" spans="1:6" x14ac:dyDescent="0.25">
      <c r="B130" t="s">
        <v>1162</v>
      </c>
      <c r="C130" t="s">
        <v>831</v>
      </c>
      <c r="D130" t="s">
        <v>816</v>
      </c>
      <c r="F130" t="s">
        <v>970</v>
      </c>
    </row>
    <row r="131" spans="1:6" x14ac:dyDescent="0.25">
      <c r="B131" t="s">
        <v>1163</v>
      </c>
      <c r="C131" t="s">
        <v>821</v>
      </c>
      <c r="D131" t="s">
        <v>816</v>
      </c>
      <c r="F131" t="s">
        <v>970</v>
      </c>
    </row>
    <row r="132" spans="1:6" x14ac:dyDescent="0.25">
      <c r="A132" t="s">
        <v>917</v>
      </c>
      <c r="B132" t="s">
        <v>1091</v>
      </c>
      <c r="C132" t="s">
        <v>918</v>
      </c>
      <c r="D132" t="s">
        <v>871</v>
      </c>
      <c r="F132" t="s">
        <v>1092</v>
      </c>
    </row>
    <row r="133" spans="1:6" x14ac:dyDescent="0.25">
      <c r="A133" t="s">
        <v>917</v>
      </c>
      <c r="B133" t="s">
        <v>1077</v>
      </c>
      <c r="C133" t="s">
        <v>928</v>
      </c>
      <c r="D133" t="s">
        <v>872</v>
      </c>
      <c r="F133" t="s">
        <v>1174</v>
      </c>
    </row>
    <row r="134" spans="1:6" x14ac:dyDescent="0.25">
      <c r="A134" t="s">
        <v>917</v>
      </c>
      <c r="B134" t="s">
        <v>1028</v>
      </c>
      <c r="C134" t="s">
        <v>919</v>
      </c>
      <c r="D134" t="s">
        <v>871</v>
      </c>
      <c r="F134" t="s">
        <v>1029</v>
      </c>
    </row>
    <row r="135" spans="1:6" x14ac:dyDescent="0.25">
      <c r="A135" t="s">
        <v>917</v>
      </c>
      <c r="B135" t="s">
        <v>1103</v>
      </c>
      <c r="C135" t="s">
        <v>920</v>
      </c>
      <c r="D135" t="s">
        <v>871</v>
      </c>
      <c r="F135" t="s">
        <v>1175</v>
      </c>
    </row>
    <row r="136" spans="1:6" x14ac:dyDescent="0.25">
      <c r="A136" t="s">
        <v>917</v>
      </c>
      <c r="B136" t="s">
        <v>1095</v>
      </c>
      <c r="C136" t="s">
        <v>939</v>
      </c>
      <c r="D136" t="s">
        <v>937</v>
      </c>
      <c r="F136" t="s">
        <v>1096</v>
      </c>
    </row>
    <row r="137" spans="1:6" x14ac:dyDescent="0.25">
      <c r="A137" t="s">
        <v>917</v>
      </c>
      <c r="B137" t="s">
        <v>1157</v>
      </c>
      <c r="C137" t="s">
        <v>883</v>
      </c>
      <c r="D137" t="s">
        <v>929</v>
      </c>
      <c r="F137" t="s">
        <v>1175</v>
      </c>
    </row>
    <row r="138" spans="1:6" x14ac:dyDescent="0.25">
      <c r="A138" t="s">
        <v>921</v>
      </c>
      <c r="B138" t="s">
        <v>1079</v>
      </c>
      <c r="C138" t="s">
        <v>922</v>
      </c>
      <c r="D138" t="s">
        <v>871</v>
      </c>
      <c r="F138" t="s">
        <v>1176</v>
      </c>
    </row>
    <row r="139" spans="1:6" x14ac:dyDescent="0.25">
      <c r="A139" t="s">
        <v>921</v>
      </c>
      <c r="B139" t="s">
        <v>1139</v>
      </c>
      <c r="C139" t="s">
        <v>923</v>
      </c>
      <c r="D139" t="s">
        <v>871</v>
      </c>
      <c r="F139" t="s">
        <v>1177</v>
      </c>
    </row>
    <row r="140" spans="1:6" x14ac:dyDescent="0.25">
      <c r="A140" t="s">
        <v>921</v>
      </c>
      <c r="B140" t="s">
        <v>1022</v>
      </c>
      <c r="C140" t="s">
        <v>844</v>
      </c>
      <c r="D140" t="s">
        <v>871</v>
      </c>
      <c r="F140" t="s">
        <v>1176</v>
      </c>
    </row>
    <row r="141" spans="1:6" x14ac:dyDescent="0.25">
      <c r="A141" t="s">
        <v>921</v>
      </c>
      <c r="B141" t="s">
        <v>1061</v>
      </c>
      <c r="C141" t="s">
        <v>896</v>
      </c>
      <c r="D141" t="s">
        <v>963</v>
      </c>
      <c r="F141" t="s">
        <v>1062</v>
      </c>
    </row>
    <row r="142" spans="1:6" x14ac:dyDescent="0.25">
      <c r="A142" t="s">
        <v>921</v>
      </c>
      <c r="B142" t="s">
        <v>1138</v>
      </c>
      <c r="C142" t="s">
        <v>826</v>
      </c>
      <c r="D142" t="s">
        <v>871</v>
      </c>
      <c r="E142" t="s">
        <v>816</v>
      </c>
      <c r="F142" t="s">
        <v>1177</v>
      </c>
    </row>
    <row r="143" spans="1:6" x14ac:dyDescent="0.25">
      <c r="A143" t="s">
        <v>921</v>
      </c>
      <c r="B143" t="s">
        <v>1026</v>
      </c>
      <c r="C143" t="s">
        <v>827</v>
      </c>
      <c r="D143" t="s">
        <v>816</v>
      </c>
      <c r="F143" t="s">
        <v>1027</v>
      </c>
    </row>
    <row r="144" spans="1:6" x14ac:dyDescent="0.25">
      <c r="A144" t="s">
        <v>921</v>
      </c>
      <c r="B144" t="s">
        <v>1058</v>
      </c>
      <c r="C144" t="s">
        <v>828</v>
      </c>
      <c r="D144" t="s">
        <v>816</v>
      </c>
      <c r="F144" t="s">
        <v>1059</v>
      </c>
    </row>
    <row r="145" spans="1:6" x14ac:dyDescent="0.25">
      <c r="A145" t="s">
        <v>921</v>
      </c>
      <c r="B145" t="s">
        <v>1116</v>
      </c>
      <c r="C145" t="s">
        <v>845</v>
      </c>
      <c r="D145" t="s">
        <v>871</v>
      </c>
      <c r="F145" t="s">
        <v>1176</v>
      </c>
    </row>
    <row r="146" spans="1:6" x14ac:dyDescent="0.25">
      <c r="A146" t="s">
        <v>925</v>
      </c>
      <c r="B146" t="s">
        <v>1078</v>
      </c>
      <c r="C146" t="s">
        <v>926</v>
      </c>
      <c r="D146" t="s">
        <v>872</v>
      </c>
      <c r="F146" t="s">
        <v>1174</v>
      </c>
    </row>
    <row r="147" spans="1:6" x14ac:dyDescent="0.25">
      <c r="A147" t="s">
        <v>925</v>
      </c>
      <c r="B147" t="s">
        <v>1005</v>
      </c>
      <c r="C147" t="s">
        <v>877</v>
      </c>
      <c r="D147" t="s">
        <v>872</v>
      </c>
      <c r="F147" t="s">
        <v>1006</v>
      </c>
    </row>
    <row r="148" spans="1:6" x14ac:dyDescent="0.25">
      <c r="A148" t="s">
        <v>925</v>
      </c>
      <c r="B148" t="s">
        <v>1049</v>
      </c>
      <c r="C148" t="s">
        <v>927</v>
      </c>
      <c r="D148" t="s">
        <v>872</v>
      </c>
      <c r="F148" t="s">
        <v>1050</v>
      </c>
    </row>
    <row r="149" spans="1:6" x14ac:dyDescent="0.25">
      <c r="A149" t="s">
        <v>925</v>
      </c>
      <c r="B149" t="s">
        <v>1051</v>
      </c>
      <c r="C149" t="s">
        <v>833</v>
      </c>
      <c r="D149" t="s">
        <v>934</v>
      </c>
      <c r="E149" t="s">
        <v>1171</v>
      </c>
      <c r="F149" t="s">
        <v>1052</v>
      </c>
    </row>
    <row r="150" spans="1:6" x14ac:dyDescent="0.25">
      <c r="A150" t="s">
        <v>925</v>
      </c>
      <c r="B150" t="s">
        <v>971</v>
      </c>
      <c r="C150" t="s">
        <v>885</v>
      </c>
      <c r="D150" t="s">
        <v>934</v>
      </c>
      <c r="E150" t="s">
        <v>929</v>
      </c>
      <c r="F150" t="s">
        <v>1178</v>
      </c>
    </row>
    <row r="151" spans="1:6" x14ac:dyDescent="0.25">
      <c r="A151" t="s">
        <v>925</v>
      </c>
      <c r="B151" t="s">
        <v>1097</v>
      </c>
      <c r="C151" t="s">
        <v>870</v>
      </c>
      <c r="D151" t="s">
        <v>874</v>
      </c>
      <c r="F151" t="s">
        <v>1179</v>
      </c>
    </row>
    <row r="152" spans="1:6" x14ac:dyDescent="0.25">
      <c r="A152" t="s">
        <v>925</v>
      </c>
      <c r="B152" t="s">
        <v>1152</v>
      </c>
      <c r="C152" t="s">
        <v>810</v>
      </c>
      <c r="D152" t="s">
        <v>803</v>
      </c>
      <c r="F152" t="s">
        <v>1175</v>
      </c>
    </row>
    <row r="153" spans="1:6" x14ac:dyDescent="0.25">
      <c r="A153" t="s">
        <v>925</v>
      </c>
      <c r="B153" t="s">
        <v>1001</v>
      </c>
      <c r="C153" t="s">
        <v>811</v>
      </c>
      <c r="D153" t="s">
        <v>803</v>
      </c>
      <c r="F153" t="s">
        <v>1002</v>
      </c>
    </row>
    <row r="154" spans="1:6" x14ac:dyDescent="0.25">
      <c r="A154" t="s">
        <v>925</v>
      </c>
      <c r="B154" t="s">
        <v>1043</v>
      </c>
      <c r="C154" t="s">
        <v>807</v>
      </c>
      <c r="D154" t="s">
        <v>803</v>
      </c>
      <c r="F154" t="s">
        <v>1044</v>
      </c>
    </row>
    <row r="155" spans="1:6" x14ac:dyDescent="0.25">
      <c r="A155" t="s">
        <v>930</v>
      </c>
      <c r="B155" t="s">
        <v>1105</v>
      </c>
      <c r="C155" t="s">
        <v>931</v>
      </c>
      <c r="D155" t="s">
        <v>929</v>
      </c>
      <c r="F155" t="s">
        <v>1177</v>
      </c>
    </row>
    <row r="156" spans="1:6" x14ac:dyDescent="0.25">
      <c r="A156" t="s">
        <v>930</v>
      </c>
      <c r="B156" t="s">
        <v>1047</v>
      </c>
      <c r="C156" t="s">
        <v>932</v>
      </c>
      <c r="D156" t="s">
        <v>929</v>
      </c>
      <c r="F156" t="s">
        <v>1175</v>
      </c>
    </row>
    <row r="157" spans="1:6" x14ac:dyDescent="0.25">
      <c r="A157" t="s">
        <v>930</v>
      </c>
      <c r="B157" t="s">
        <v>1000</v>
      </c>
      <c r="C157" t="s">
        <v>933</v>
      </c>
      <c r="D157" t="s">
        <v>929</v>
      </c>
      <c r="F157" t="s">
        <v>1180</v>
      </c>
    </row>
    <row r="158" spans="1:6" x14ac:dyDescent="0.25">
      <c r="A158" t="s">
        <v>930</v>
      </c>
      <c r="B158" t="s">
        <v>1122</v>
      </c>
      <c r="C158" t="s">
        <v>903</v>
      </c>
      <c r="D158" t="s">
        <v>947</v>
      </c>
      <c r="F158" t="s">
        <v>1180</v>
      </c>
    </row>
    <row r="159" spans="1:6" x14ac:dyDescent="0.25">
      <c r="A159" t="s">
        <v>930</v>
      </c>
      <c r="B159" t="s">
        <v>1154</v>
      </c>
      <c r="C159" t="s">
        <v>916</v>
      </c>
      <c r="D159" t="s">
        <v>947</v>
      </c>
      <c r="F159" t="s">
        <v>1180</v>
      </c>
    </row>
    <row r="160" spans="1:6" x14ac:dyDescent="0.25">
      <c r="A160" t="s">
        <v>930</v>
      </c>
      <c r="B160" t="s">
        <v>1117</v>
      </c>
      <c r="C160" t="s">
        <v>864</v>
      </c>
      <c r="D160" t="s">
        <v>960</v>
      </c>
      <c r="F160" t="s">
        <v>1118</v>
      </c>
    </row>
    <row r="161" spans="1:6" x14ac:dyDescent="0.25">
      <c r="A161" t="s">
        <v>930</v>
      </c>
      <c r="B161" t="s">
        <v>1157</v>
      </c>
      <c r="C161" t="s">
        <v>883</v>
      </c>
      <c r="D161" t="s">
        <v>929</v>
      </c>
      <c r="F161" t="s">
        <v>1175</v>
      </c>
    </row>
    <row r="162" spans="1:6" x14ac:dyDescent="0.25">
      <c r="A162" t="s">
        <v>935</v>
      </c>
      <c r="B162" t="s">
        <v>971</v>
      </c>
      <c r="C162" t="s">
        <v>885</v>
      </c>
      <c r="D162" t="s">
        <v>934</v>
      </c>
      <c r="E162" t="s">
        <v>929</v>
      </c>
      <c r="F162" t="s">
        <v>1178</v>
      </c>
    </row>
    <row r="163" spans="1:6" x14ac:dyDescent="0.25">
      <c r="A163" t="s">
        <v>935</v>
      </c>
      <c r="B163" t="s">
        <v>1017</v>
      </c>
      <c r="C163" t="s">
        <v>936</v>
      </c>
      <c r="D163" t="s">
        <v>934</v>
      </c>
      <c r="F163" t="s">
        <v>1178</v>
      </c>
    </row>
    <row r="164" spans="1:6" x14ac:dyDescent="0.25">
      <c r="A164" t="s">
        <v>935</v>
      </c>
      <c r="B164" t="s">
        <v>1060</v>
      </c>
      <c r="C164" t="s">
        <v>946</v>
      </c>
      <c r="D164" t="s">
        <v>874</v>
      </c>
      <c r="F164" t="s">
        <v>1178</v>
      </c>
    </row>
    <row r="165" spans="1:6" x14ac:dyDescent="0.25">
      <c r="A165" t="s">
        <v>935</v>
      </c>
      <c r="B165" t="s">
        <v>1131</v>
      </c>
      <c r="C165" t="s">
        <v>857</v>
      </c>
      <c r="D165" t="s">
        <v>934</v>
      </c>
      <c r="F165" t="s">
        <v>1132</v>
      </c>
    </row>
    <row r="166" spans="1:6" x14ac:dyDescent="0.25">
      <c r="A166" t="s">
        <v>935</v>
      </c>
      <c r="B166" t="s">
        <v>1051</v>
      </c>
      <c r="C166" t="s">
        <v>833</v>
      </c>
      <c r="D166" t="s">
        <v>934</v>
      </c>
      <c r="E166" t="s">
        <v>1171</v>
      </c>
      <c r="F166" t="s">
        <v>1052</v>
      </c>
    </row>
    <row r="167" spans="1:6" x14ac:dyDescent="0.25">
      <c r="A167" t="s">
        <v>935</v>
      </c>
      <c r="B167" t="s">
        <v>1012</v>
      </c>
      <c r="C167" t="s">
        <v>868</v>
      </c>
      <c r="D167" t="s">
        <v>874</v>
      </c>
      <c r="F167" t="s">
        <v>1179</v>
      </c>
    </row>
    <row r="168" spans="1:6" x14ac:dyDescent="0.25">
      <c r="A168" t="s">
        <v>1173</v>
      </c>
      <c r="B168" t="s">
        <v>996</v>
      </c>
      <c r="C168" t="s">
        <v>867</v>
      </c>
      <c r="D168" t="s">
        <v>874</v>
      </c>
      <c r="F168" t="s">
        <v>1179</v>
      </c>
    </row>
    <row r="169" spans="1:6" x14ac:dyDescent="0.25">
      <c r="A169" t="s">
        <v>1173</v>
      </c>
      <c r="B169" t="s">
        <v>1012</v>
      </c>
      <c r="C169" t="s">
        <v>868</v>
      </c>
      <c r="D169" t="s">
        <v>874</v>
      </c>
      <c r="F169" t="s">
        <v>1179</v>
      </c>
    </row>
    <row r="170" spans="1:6" x14ac:dyDescent="0.25">
      <c r="A170" t="s">
        <v>1173</v>
      </c>
      <c r="B170" t="s">
        <v>982</v>
      </c>
      <c r="C170" t="s">
        <v>869</v>
      </c>
      <c r="D170" t="s">
        <v>874</v>
      </c>
      <c r="F170" t="s">
        <v>983</v>
      </c>
    </row>
    <row r="171" spans="1:6" x14ac:dyDescent="0.25">
      <c r="A171" t="s">
        <v>1173</v>
      </c>
      <c r="B171" t="s">
        <v>1098</v>
      </c>
      <c r="C171" t="s">
        <v>886</v>
      </c>
      <c r="D171" t="s">
        <v>874</v>
      </c>
      <c r="F171" t="s">
        <v>1099</v>
      </c>
    </row>
    <row r="172" spans="1:6" x14ac:dyDescent="0.25">
      <c r="A172" t="s">
        <v>1173</v>
      </c>
      <c r="B172" t="s">
        <v>1038</v>
      </c>
      <c r="C172" t="s">
        <v>887</v>
      </c>
      <c r="D172" t="s">
        <v>874</v>
      </c>
      <c r="F172" t="s">
        <v>1177</v>
      </c>
    </row>
    <row r="173" spans="1:6" x14ac:dyDescent="0.25">
      <c r="A173" t="s">
        <v>1173</v>
      </c>
      <c r="B173" t="s">
        <v>1037</v>
      </c>
      <c r="C173" t="s">
        <v>945</v>
      </c>
      <c r="D173" t="s">
        <v>874</v>
      </c>
      <c r="F173" t="s">
        <v>1177</v>
      </c>
    </row>
    <row r="174" spans="1:6" x14ac:dyDescent="0.25">
      <c r="A174" t="s">
        <v>1173</v>
      </c>
      <c r="B174" t="s">
        <v>1043</v>
      </c>
      <c r="C174" t="s">
        <v>807</v>
      </c>
      <c r="D174" t="s">
        <v>803</v>
      </c>
      <c r="F174" t="s">
        <v>1044</v>
      </c>
    </row>
    <row r="175" spans="1:6" x14ac:dyDescent="0.25">
      <c r="A175" t="s">
        <v>1173</v>
      </c>
      <c r="B175" t="s">
        <v>998</v>
      </c>
      <c r="C175" t="s">
        <v>808</v>
      </c>
      <c r="D175" t="s">
        <v>803</v>
      </c>
      <c r="F175" t="s">
        <v>999</v>
      </c>
    </row>
    <row r="176" spans="1:6" x14ac:dyDescent="0.25">
      <c r="A176" t="s">
        <v>938</v>
      </c>
      <c r="B176" t="s">
        <v>1095</v>
      </c>
      <c r="C176" t="s">
        <v>939</v>
      </c>
      <c r="D176" t="s">
        <v>937</v>
      </c>
      <c r="F176" t="s">
        <v>1096</v>
      </c>
    </row>
    <row r="177" spans="1:6" x14ac:dyDescent="0.25">
      <c r="A177" t="s">
        <v>938</v>
      </c>
      <c r="B177" t="s">
        <v>1157</v>
      </c>
      <c r="C177" t="s">
        <v>883</v>
      </c>
      <c r="D177" t="s">
        <v>929</v>
      </c>
      <c r="F177" t="s">
        <v>1175</v>
      </c>
    </row>
    <row r="178" spans="1:6" x14ac:dyDescent="0.25">
      <c r="A178" t="s">
        <v>938</v>
      </c>
      <c r="B178" t="s">
        <v>1100</v>
      </c>
      <c r="C178" t="s">
        <v>882</v>
      </c>
      <c r="D178" t="s">
        <v>929</v>
      </c>
      <c r="F178" t="s">
        <v>1175</v>
      </c>
    </row>
    <row r="179" spans="1:6" x14ac:dyDescent="0.25">
      <c r="A179" t="s">
        <v>938</v>
      </c>
      <c r="B179" t="s">
        <v>1103</v>
      </c>
      <c r="C179" t="s">
        <v>920</v>
      </c>
      <c r="D179" t="s">
        <v>871</v>
      </c>
      <c r="F179" t="s">
        <v>1175</v>
      </c>
    </row>
    <row r="180" spans="1:6" x14ac:dyDescent="0.25">
      <c r="A180" t="s">
        <v>938</v>
      </c>
      <c r="B180" t="s">
        <v>1135</v>
      </c>
      <c r="C180" t="s">
        <v>940</v>
      </c>
      <c r="D180" t="s">
        <v>937</v>
      </c>
      <c r="F180" t="s">
        <v>1175</v>
      </c>
    </row>
    <row r="181" spans="1:6" x14ac:dyDescent="0.25">
      <c r="A181" t="s">
        <v>938</v>
      </c>
      <c r="B181" t="s">
        <v>1040</v>
      </c>
      <c r="C181" t="s">
        <v>884</v>
      </c>
      <c r="D181" t="s">
        <v>929</v>
      </c>
      <c r="F181" t="s">
        <v>1041</v>
      </c>
    </row>
    <row r="182" spans="1:6" x14ac:dyDescent="0.25">
      <c r="A182" t="s">
        <v>941</v>
      </c>
      <c r="B182" t="s">
        <v>1046</v>
      </c>
      <c r="C182" t="s">
        <v>942</v>
      </c>
      <c r="D182" t="s">
        <v>937</v>
      </c>
      <c r="F182" t="s">
        <v>1174</v>
      </c>
    </row>
    <row r="183" spans="1:6" x14ac:dyDescent="0.25">
      <c r="A183" t="s">
        <v>941</v>
      </c>
      <c r="B183" t="s">
        <v>1100</v>
      </c>
      <c r="C183" t="s">
        <v>882</v>
      </c>
      <c r="D183" t="s">
        <v>929</v>
      </c>
      <c r="F183" t="s">
        <v>1175</v>
      </c>
    </row>
    <row r="184" spans="1:6" x14ac:dyDescent="0.25">
      <c r="A184" t="s">
        <v>941</v>
      </c>
      <c r="B184" t="s">
        <v>1101</v>
      </c>
      <c r="C184" t="s">
        <v>875</v>
      </c>
      <c r="D184" t="s">
        <v>872</v>
      </c>
      <c r="F184" t="s">
        <v>1102</v>
      </c>
    </row>
    <row r="185" spans="1:6" x14ac:dyDescent="0.25">
      <c r="A185" t="s">
        <v>941</v>
      </c>
      <c r="B185" t="s">
        <v>1054</v>
      </c>
      <c r="C185" t="s">
        <v>914</v>
      </c>
      <c r="D185" t="s">
        <v>874</v>
      </c>
      <c r="F185" t="s">
        <v>1179</v>
      </c>
    </row>
    <row r="186" spans="1:6" x14ac:dyDescent="0.25">
      <c r="A186" t="s">
        <v>941</v>
      </c>
      <c r="B186" t="s">
        <v>1120</v>
      </c>
      <c r="C186" t="s">
        <v>950</v>
      </c>
      <c r="D186" t="s">
        <v>947</v>
      </c>
      <c r="F186" t="s">
        <v>1175</v>
      </c>
    </row>
    <row r="187" spans="1:6" x14ac:dyDescent="0.25">
      <c r="A187" t="s">
        <v>941</v>
      </c>
      <c r="B187" t="s">
        <v>1122</v>
      </c>
      <c r="C187" t="s">
        <v>903</v>
      </c>
      <c r="D187" t="s">
        <v>947</v>
      </c>
      <c r="F187" t="s">
        <v>1180</v>
      </c>
    </row>
    <row r="188" spans="1:6" x14ac:dyDescent="0.25">
      <c r="A188" t="s">
        <v>944</v>
      </c>
      <c r="B188" t="s">
        <v>1037</v>
      </c>
      <c r="C188" t="s">
        <v>945</v>
      </c>
      <c r="D188" t="s">
        <v>874</v>
      </c>
      <c r="F188" t="s">
        <v>1177</v>
      </c>
    </row>
    <row r="189" spans="1:6" x14ac:dyDescent="0.25">
      <c r="A189" t="s">
        <v>944</v>
      </c>
      <c r="B189" t="s">
        <v>1038</v>
      </c>
      <c r="C189" t="s">
        <v>887</v>
      </c>
      <c r="D189" t="s">
        <v>874</v>
      </c>
      <c r="F189" t="s">
        <v>1177</v>
      </c>
    </row>
    <row r="190" spans="1:6" x14ac:dyDescent="0.25">
      <c r="A190" t="s">
        <v>944</v>
      </c>
      <c r="B190" t="s">
        <v>1098</v>
      </c>
      <c r="C190" t="s">
        <v>886</v>
      </c>
      <c r="D190" t="s">
        <v>874</v>
      </c>
      <c r="F190" t="s">
        <v>1099</v>
      </c>
    </row>
    <row r="191" spans="1:6" x14ac:dyDescent="0.25">
      <c r="A191" t="s">
        <v>944</v>
      </c>
      <c r="B191" t="s">
        <v>1060</v>
      </c>
      <c r="C191" t="s">
        <v>946</v>
      </c>
      <c r="D191" t="s">
        <v>874</v>
      </c>
      <c r="F191" t="s">
        <v>1178</v>
      </c>
    </row>
    <row r="192" spans="1:6" x14ac:dyDescent="0.25">
      <c r="A192" t="s">
        <v>944</v>
      </c>
      <c r="B192" t="s">
        <v>996</v>
      </c>
      <c r="C192" t="s">
        <v>867</v>
      </c>
      <c r="D192" t="s">
        <v>874</v>
      </c>
      <c r="F192" t="s">
        <v>1179</v>
      </c>
    </row>
    <row r="193" spans="1:6" x14ac:dyDescent="0.25">
      <c r="A193" t="s">
        <v>944</v>
      </c>
      <c r="B193" t="s">
        <v>1097</v>
      </c>
      <c r="C193" t="s">
        <v>870</v>
      </c>
      <c r="D193" t="s">
        <v>874</v>
      </c>
      <c r="F193" t="s">
        <v>1179</v>
      </c>
    </row>
    <row r="194" spans="1:6" x14ac:dyDescent="0.25">
      <c r="A194" t="s">
        <v>948</v>
      </c>
      <c r="B194" t="s">
        <v>1045</v>
      </c>
      <c r="C194" t="s">
        <v>943</v>
      </c>
      <c r="D194" t="s">
        <v>937</v>
      </c>
      <c r="F194" t="s">
        <v>1178</v>
      </c>
    </row>
    <row r="195" spans="1:6" x14ac:dyDescent="0.25">
      <c r="A195" t="s">
        <v>948</v>
      </c>
      <c r="B195" t="s">
        <v>1120</v>
      </c>
      <c r="C195" t="s">
        <v>950</v>
      </c>
      <c r="D195" t="s">
        <v>947</v>
      </c>
      <c r="F195" t="s">
        <v>1175</v>
      </c>
    </row>
    <row r="196" spans="1:6" x14ac:dyDescent="0.25">
      <c r="A196" t="s">
        <v>948</v>
      </c>
      <c r="B196" t="s">
        <v>1039</v>
      </c>
      <c r="C196" t="s">
        <v>949</v>
      </c>
      <c r="D196" t="s">
        <v>947</v>
      </c>
      <c r="F196" t="s">
        <v>1180</v>
      </c>
    </row>
    <row r="197" spans="1:6" x14ac:dyDescent="0.25">
      <c r="A197" t="s">
        <v>948</v>
      </c>
      <c r="B197" t="s">
        <v>1122</v>
      </c>
      <c r="C197" t="s">
        <v>903</v>
      </c>
      <c r="D197" t="s">
        <v>947</v>
      </c>
      <c r="F197" t="s">
        <v>1180</v>
      </c>
    </row>
    <row r="198" spans="1:6" x14ac:dyDescent="0.25">
      <c r="A198" t="s">
        <v>948</v>
      </c>
      <c r="B198" t="s">
        <v>1000</v>
      </c>
      <c r="C198" t="s">
        <v>933</v>
      </c>
      <c r="D198" t="s">
        <v>929</v>
      </c>
      <c r="F198" t="s">
        <v>1180</v>
      </c>
    </row>
    <row r="199" spans="1:6" x14ac:dyDescent="0.25">
      <c r="A199" t="s">
        <v>930</v>
      </c>
      <c r="B199" t="s">
        <v>1105</v>
      </c>
      <c r="C199" t="s">
        <v>931</v>
      </c>
      <c r="D199" t="s">
        <v>929</v>
      </c>
      <c r="F199" t="s">
        <v>1177</v>
      </c>
    </row>
    <row r="200" spans="1:6" x14ac:dyDescent="0.25">
      <c r="A200" t="s">
        <v>930</v>
      </c>
      <c r="B200" t="s">
        <v>1047</v>
      </c>
      <c r="C200" t="s">
        <v>932</v>
      </c>
      <c r="D200" t="s">
        <v>929</v>
      </c>
      <c r="F200" t="s">
        <v>1175</v>
      </c>
    </row>
    <row r="201" spans="1:6" x14ac:dyDescent="0.25">
      <c r="A201" t="s">
        <v>930</v>
      </c>
      <c r="B201" t="s">
        <v>1000</v>
      </c>
      <c r="C201" t="s">
        <v>933</v>
      </c>
      <c r="D201" t="s">
        <v>929</v>
      </c>
      <c r="F201" t="s">
        <v>1180</v>
      </c>
    </row>
    <row r="202" spans="1:6" x14ac:dyDescent="0.25">
      <c r="A202" t="s">
        <v>930</v>
      </c>
      <c r="B202" t="s">
        <v>1122</v>
      </c>
      <c r="C202" t="s">
        <v>903</v>
      </c>
      <c r="D202" t="s">
        <v>947</v>
      </c>
      <c r="F202" t="s">
        <v>1180</v>
      </c>
    </row>
    <row r="203" spans="1:6" x14ac:dyDescent="0.25">
      <c r="A203" t="s">
        <v>930</v>
      </c>
      <c r="B203" t="s">
        <v>1154</v>
      </c>
      <c r="C203" t="s">
        <v>916</v>
      </c>
      <c r="D203" t="s">
        <v>947</v>
      </c>
      <c r="F203" t="s">
        <v>1180</v>
      </c>
    </row>
    <row r="204" spans="1:6" x14ac:dyDescent="0.25">
      <c r="A204" t="s">
        <v>930</v>
      </c>
      <c r="B204" t="s">
        <v>1117</v>
      </c>
      <c r="C204" t="s">
        <v>864</v>
      </c>
      <c r="D204" t="s">
        <v>960</v>
      </c>
      <c r="F204" t="s">
        <v>1118</v>
      </c>
    </row>
    <row r="205" spans="1:6" x14ac:dyDescent="0.25">
      <c r="A205" t="s">
        <v>930</v>
      </c>
      <c r="B205" t="s">
        <v>1157</v>
      </c>
      <c r="C205" t="s">
        <v>883</v>
      </c>
      <c r="D205" t="s">
        <v>929</v>
      </c>
      <c r="F205" t="s">
        <v>1175</v>
      </c>
    </row>
    <row r="206" spans="1:6" x14ac:dyDescent="0.25">
      <c r="A206" t="s">
        <v>935</v>
      </c>
      <c r="B206" t="s">
        <v>971</v>
      </c>
      <c r="C206" t="s">
        <v>885</v>
      </c>
      <c r="D206" t="s">
        <v>934</v>
      </c>
      <c r="E206" t="s">
        <v>929</v>
      </c>
      <c r="F206" t="s">
        <v>1178</v>
      </c>
    </row>
    <row r="207" spans="1:6" x14ac:dyDescent="0.25">
      <c r="A207" t="s">
        <v>935</v>
      </c>
      <c r="B207" t="s">
        <v>1017</v>
      </c>
      <c r="C207" t="s">
        <v>936</v>
      </c>
      <c r="D207" t="s">
        <v>934</v>
      </c>
      <c r="F207" t="s">
        <v>1178</v>
      </c>
    </row>
    <row r="208" spans="1:6" x14ac:dyDescent="0.25">
      <c r="A208" t="s">
        <v>935</v>
      </c>
      <c r="B208" t="s">
        <v>1060</v>
      </c>
      <c r="C208" t="s">
        <v>946</v>
      </c>
      <c r="D208" t="s">
        <v>874</v>
      </c>
      <c r="F208" t="s">
        <v>1178</v>
      </c>
    </row>
    <row r="209" spans="1:6" x14ac:dyDescent="0.25">
      <c r="A209" t="s">
        <v>935</v>
      </c>
      <c r="B209" t="s">
        <v>1131</v>
      </c>
      <c r="C209" t="s">
        <v>857</v>
      </c>
      <c r="D209" t="s">
        <v>934</v>
      </c>
      <c r="F209" t="s">
        <v>1132</v>
      </c>
    </row>
    <row r="210" spans="1:6" x14ac:dyDescent="0.25">
      <c r="A210" t="s">
        <v>935</v>
      </c>
      <c r="B210" t="s">
        <v>1051</v>
      </c>
      <c r="C210" t="s">
        <v>833</v>
      </c>
      <c r="D210" t="s">
        <v>934</v>
      </c>
      <c r="E210" t="s">
        <v>1171</v>
      </c>
      <c r="F210" t="s">
        <v>1052</v>
      </c>
    </row>
    <row r="211" spans="1:6" x14ac:dyDescent="0.25">
      <c r="A211" t="s">
        <v>935</v>
      </c>
      <c r="B211" t="s">
        <v>1012</v>
      </c>
      <c r="C211" t="s">
        <v>868</v>
      </c>
      <c r="D211" t="s">
        <v>874</v>
      </c>
      <c r="F211" t="s">
        <v>1179</v>
      </c>
    </row>
    <row r="212" spans="1:6" x14ac:dyDescent="0.25">
      <c r="A212" t="s">
        <v>1173</v>
      </c>
      <c r="B212" t="s">
        <v>996</v>
      </c>
      <c r="C212" t="s">
        <v>867</v>
      </c>
      <c r="D212" t="s">
        <v>874</v>
      </c>
      <c r="F212" t="s">
        <v>1179</v>
      </c>
    </row>
    <row r="213" spans="1:6" x14ac:dyDescent="0.25">
      <c r="A213" t="s">
        <v>1173</v>
      </c>
      <c r="B213" t="s">
        <v>1012</v>
      </c>
      <c r="C213" t="s">
        <v>868</v>
      </c>
      <c r="D213" t="s">
        <v>874</v>
      </c>
      <c r="F213" t="s">
        <v>1179</v>
      </c>
    </row>
    <row r="214" spans="1:6" x14ac:dyDescent="0.25">
      <c r="A214" t="s">
        <v>1173</v>
      </c>
      <c r="B214" t="s">
        <v>982</v>
      </c>
      <c r="C214" t="s">
        <v>869</v>
      </c>
      <c r="D214" t="s">
        <v>874</v>
      </c>
      <c r="F214" t="s">
        <v>983</v>
      </c>
    </row>
    <row r="215" spans="1:6" x14ac:dyDescent="0.25">
      <c r="A215" t="s">
        <v>1173</v>
      </c>
      <c r="B215" t="s">
        <v>1098</v>
      </c>
      <c r="C215" t="s">
        <v>886</v>
      </c>
      <c r="D215" t="s">
        <v>874</v>
      </c>
      <c r="F215" t="s">
        <v>1099</v>
      </c>
    </row>
    <row r="216" spans="1:6" x14ac:dyDescent="0.25">
      <c r="A216" t="s">
        <v>1173</v>
      </c>
      <c r="B216" t="s">
        <v>1038</v>
      </c>
      <c r="C216" t="s">
        <v>887</v>
      </c>
      <c r="D216" t="s">
        <v>874</v>
      </c>
      <c r="F216" t="s">
        <v>1177</v>
      </c>
    </row>
    <row r="217" spans="1:6" x14ac:dyDescent="0.25">
      <c r="A217" t="s">
        <v>1173</v>
      </c>
      <c r="B217" t="s">
        <v>1037</v>
      </c>
      <c r="C217" t="s">
        <v>945</v>
      </c>
      <c r="D217" t="s">
        <v>874</v>
      </c>
      <c r="F217" t="s">
        <v>1177</v>
      </c>
    </row>
    <row r="218" spans="1:6" x14ac:dyDescent="0.25">
      <c r="A218" t="s">
        <v>1173</v>
      </c>
      <c r="B218" t="s">
        <v>1043</v>
      </c>
      <c r="C218" t="s">
        <v>807</v>
      </c>
      <c r="D218" t="s">
        <v>803</v>
      </c>
      <c r="F218" t="s">
        <v>1044</v>
      </c>
    </row>
    <row r="219" spans="1:6" x14ac:dyDescent="0.25">
      <c r="A219" t="s">
        <v>1173</v>
      </c>
      <c r="B219" t="s">
        <v>998</v>
      </c>
      <c r="C219" t="s">
        <v>808</v>
      </c>
      <c r="D219" t="s">
        <v>803</v>
      </c>
      <c r="F219" t="s">
        <v>999</v>
      </c>
    </row>
    <row r="220" spans="1:6" x14ac:dyDescent="0.25">
      <c r="A220" t="s">
        <v>938</v>
      </c>
      <c r="B220" t="s">
        <v>1095</v>
      </c>
      <c r="C220" t="s">
        <v>939</v>
      </c>
      <c r="D220" t="s">
        <v>937</v>
      </c>
      <c r="F220" t="s">
        <v>1096</v>
      </c>
    </row>
    <row r="221" spans="1:6" x14ac:dyDescent="0.25">
      <c r="A221" t="s">
        <v>938</v>
      </c>
      <c r="B221" t="s">
        <v>1157</v>
      </c>
      <c r="C221" t="s">
        <v>883</v>
      </c>
      <c r="D221" t="s">
        <v>929</v>
      </c>
      <c r="F221" t="s">
        <v>1175</v>
      </c>
    </row>
    <row r="222" spans="1:6" x14ac:dyDescent="0.25">
      <c r="A222" t="s">
        <v>938</v>
      </c>
      <c r="B222" t="s">
        <v>1100</v>
      </c>
      <c r="C222" t="s">
        <v>882</v>
      </c>
      <c r="D222" t="s">
        <v>929</v>
      </c>
      <c r="F222" t="s">
        <v>1175</v>
      </c>
    </row>
    <row r="223" spans="1:6" x14ac:dyDescent="0.25">
      <c r="A223" t="s">
        <v>938</v>
      </c>
      <c r="B223" t="s">
        <v>1103</v>
      </c>
      <c r="C223" t="s">
        <v>920</v>
      </c>
      <c r="D223" t="s">
        <v>871</v>
      </c>
      <c r="F223" t="s">
        <v>1175</v>
      </c>
    </row>
    <row r="224" spans="1:6" x14ac:dyDescent="0.25">
      <c r="A224" t="s">
        <v>938</v>
      </c>
      <c r="B224" t="s">
        <v>1135</v>
      </c>
      <c r="C224" t="s">
        <v>940</v>
      </c>
      <c r="D224" t="s">
        <v>937</v>
      </c>
      <c r="F224" t="s">
        <v>1175</v>
      </c>
    </row>
    <row r="225" spans="1:6" x14ac:dyDescent="0.25">
      <c r="A225" t="s">
        <v>938</v>
      </c>
      <c r="B225" t="s">
        <v>1040</v>
      </c>
      <c r="C225" t="s">
        <v>884</v>
      </c>
      <c r="D225" t="s">
        <v>929</v>
      </c>
      <c r="F225" t="s">
        <v>1041</v>
      </c>
    </row>
    <row r="226" spans="1:6" x14ac:dyDescent="0.25">
      <c r="A226" t="s">
        <v>917</v>
      </c>
      <c r="B226" t="s">
        <v>1091</v>
      </c>
      <c r="C226" t="s">
        <v>918</v>
      </c>
      <c r="D226" t="s">
        <v>871</v>
      </c>
      <c r="F226" t="s">
        <v>1092</v>
      </c>
    </row>
    <row r="227" spans="1:6" x14ac:dyDescent="0.25">
      <c r="A227" t="s">
        <v>917</v>
      </c>
      <c r="B227" t="s">
        <v>1077</v>
      </c>
      <c r="C227" t="s">
        <v>928</v>
      </c>
      <c r="D227" t="s">
        <v>872</v>
      </c>
      <c r="F227" t="s">
        <v>1174</v>
      </c>
    </row>
    <row r="228" spans="1:6" x14ac:dyDescent="0.25">
      <c r="A228" t="s">
        <v>917</v>
      </c>
      <c r="B228" t="s">
        <v>1028</v>
      </c>
      <c r="C228" t="s">
        <v>919</v>
      </c>
      <c r="D228" t="s">
        <v>871</v>
      </c>
      <c r="F228" t="s">
        <v>1029</v>
      </c>
    </row>
    <row r="229" spans="1:6" x14ac:dyDescent="0.25">
      <c r="A229" t="s">
        <v>917</v>
      </c>
      <c r="B229" t="s">
        <v>1103</v>
      </c>
      <c r="C229" t="s">
        <v>920</v>
      </c>
      <c r="D229" t="s">
        <v>871</v>
      </c>
      <c r="F229" t="s">
        <v>1175</v>
      </c>
    </row>
    <row r="230" spans="1:6" x14ac:dyDescent="0.25">
      <c r="A230" t="s">
        <v>917</v>
      </c>
      <c r="B230" t="s">
        <v>1095</v>
      </c>
      <c r="C230" t="s">
        <v>939</v>
      </c>
      <c r="D230" t="s">
        <v>937</v>
      </c>
      <c r="F230" t="s">
        <v>1096</v>
      </c>
    </row>
    <row r="231" spans="1:6" x14ac:dyDescent="0.25">
      <c r="A231" t="s">
        <v>917</v>
      </c>
      <c r="B231" t="s">
        <v>1157</v>
      </c>
      <c r="C231" t="s">
        <v>883</v>
      </c>
      <c r="D231" t="s">
        <v>929</v>
      </c>
      <c r="F231" t="s">
        <v>1175</v>
      </c>
    </row>
    <row r="232" spans="1:6" x14ac:dyDescent="0.25">
      <c r="A232" t="s">
        <v>921</v>
      </c>
      <c r="B232" t="s">
        <v>1079</v>
      </c>
      <c r="C232" t="s">
        <v>922</v>
      </c>
      <c r="D232" t="s">
        <v>871</v>
      </c>
      <c r="F232" t="s">
        <v>1176</v>
      </c>
    </row>
    <row r="233" spans="1:6" x14ac:dyDescent="0.25">
      <c r="A233" t="s">
        <v>921</v>
      </c>
      <c r="B233" t="s">
        <v>1139</v>
      </c>
      <c r="C233" t="s">
        <v>923</v>
      </c>
      <c r="D233" t="s">
        <v>871</v>
      </c>
      <c r="F233" t="s">
        <v>1177</v>
      </c>
    </row>
    <row r="234" spans="1:6" x14ac:dyDescent="0.25">
      <c r="A234" t="s">
        <v>921</v>
      </c>
      <c r="B234" t="s">
        <v>1022</v>
      </c>
      <c r="C234" t="s">
        <v>844</v>
      </c>
      <c r="D234" t="s">
        <v>871</v>
      </c>
      <c r="F234" t="s">
        <v>1176</v>
      </c>
    </row>
    <row r="235" spans="1:6" x14ac:dyDescent="0.25">
      <c r="A235" t="s">
        <v>921</v>
      </c>
      <c r="B235" t="s">
        <v>1061</v>
      </c>
      <c r="C235" t="s">
        <v>896</v>
      </c>
      <c r="D235" t="s">
        <v>963</v>
      </c>
      <c r="F235" t="s">
        <v>1062</v>
      </c>
    </row>
    <row r="236" spans="1:6" x14ac:dyDescent="0.25">
      <c r="A236" t="s">
        <v>921</v>
      </c>
      <c r="B236" t="s">
        <v>1138</v>
      </c>
      <c r="C236" t="s">
        <v>826</v>
      </c>
      <c r="D236" t="s">
        <v>871</v>
      </c>
      <c r="E236" t="s">
        <v>816</v>
      </c>
      <c r="F236" t="s">
        <v>1177</v>
      </c>
    </row>
    <row r="237" spans="1:6" x14ac:dyDescent="0.25">
      <c r="A237" t="s">
        <v>921</v>
      </c>
      <c r="B237" t="s">
        <v>1026</v>
      </c>
      <c r="C237" t="s">
        <v>827</v>
      </c>
      <c r="D237" t="s">
        <v>816</v>
      </c>
      <c r="F237" t="s">
        <v>1027</v>
      </c>
    </row>
    <row r="238" spans="1:6" x14ac:dyDescent="0.25">
      <c r="A238" t="s">
        <v>921</v>
      </c>
      <c r="B238" t="s">
        <v>1058</v>
      </c>
      <c r="C238" t="s">
        <v>828</v>
      </c>
      <c r="D238" t="s">
        <v>816</v>
      </c>
      <c r="F238" t="s">
        <v>1059</v>
      </c>
    </row>
    <row r="239" spans="1:6" x14ac:dyDescent="0.25">
      <c r="A239" t="s">
        <v>921</v>
      </c>
      <c r="B239" t="s">
        <v>1116</v>
      </c>
      <c r="C239" t="s">
        <v>845</v>
      </c>
      <c r="D239" t="s">
        <v>871</v>
      </c>
      <c r="F239" t="s">
        <v>1176</v>
      </c>
    </row>
    <row r="240" spans="1:6" x14ac:dyDescent="0.25">
      <c r="A240" t="s">
        <v>925</v>
      </c>
      <c r="B240" t="s">
        <v>1078</v>
      </c>
      <c r="C240" t="s">
        <v>926</v>
      </c>
      <c r="D240" t="s">
        <v>872</v>
      </c>
      <c r="F240" t="s">
        <v>1174</v>
      </c>
    </row>
    <row r="241" spans="1:6" x14ac:dyDescent="0.25">
      <c r="A241" t="s">
        <v>925</v>
      </c>
      <c r="B241" t="s">
        <v>1005</v>
      </c>
      <c r="C241" t="s">
        <v>877</v>
      </c>
      <c r="D241" t="s">
        <v>872</v>
      </c>
      <c r="F241" t="s">
        <v>1006</v>
      </c>
    </row>
    <row r="242" spans="1:6" x14ac:dyDescent="0.25">
      <c r="A242" t="s">
        <v>925</v>
      </c>
      <c r="B242" t="s">
        <v>1049</v>
      </c>
      <c r="C242" t="s">
        <v>927</v>
      </c>
      <c r="D242" t="s">
        <v>872</v>
      </c>
      <c r="F242" t="s">
        <v>1050</v>
      </c>
    </row>
    <row r="243" spans="1:6" x14ac:dyDescent="0.25">
      <c r="A243" t="s">
        <v>925</v>
      </c>
      <c r="B243" t="s">
        <v>1051</v>
      </c>
      <c r="C243" t="s">
        <v>833</v>
      </c>
      <c r="D243" t="s">
        <v>934</v>
      </c>
      <c r="E243" t="s">
        <v>1171</v>
      </c>
      <c r="F243" t="s">
        <v>1052</v>
      </c>
    </row>
    <row r="244" spans="1:6" x14ac:dyDescent="0.25">
      <c r="A244" t="s">
        <v>925</v>
      </c>
      <c r="B244" t="s">
        <v>971</v>
      </c>
      <c r="C244" t="s">
        <v>885</v>
      </c>
      <c r="D244" t="s">
        <v>934</v>
      </c>
      <c r="E244" t="s">
        <v>929</v>
      </c>
      <c r="F244" t="s">
        <v>1178</v>
      </c>
    </row>
    <row r="245" spans="1:6" x14ac:dyDescent="0.25">
      <c r="A245" t="s">
        <v>925</v>
      </c>
      <c r="B245" t="s">
        <v>1097</v>
      </c>
      <c r="C245" t="s">
        <v>870</v>
      </c>
      <c r="D245" t="s">
        <v>874</v>
      </c>
      <c r="F245" t="s">
        <v>1179</v>
      </c>
    </row>
    <row r="246" spans="1:6" x14ac:dyDescent="0.25">
      <c r="A246" t="s">
        <v>925</v>
      </c>
      <c r="B246" t="s">
        <v>1152</v>
      </c>
      <c r="C246" t="s">
        <v>810</v>
      </c>
      <c r="D246" t="s">
        <v>803</v>
      </c>
      <c r="F246" t="s">
        <v>1175</v>
      </c>
    </row>
    <row r="247" spans="1:6" x14ac:dyDescent="0.25">
      <c r="A247" t="s">
        <v>925</v>
      </c>
      <c r="B247" t="s">
        <v>1001</v>
      </c>
      <c r="C247" t="s">
        <v>811</v>
      </c>
      <c r="D247" t="s">
        <v>803</v>
      </c>
      <c r="F247" t="s">
        <v>1002</v>
      </c>
    </row>
    <row r="248" spans="1:6" x14ac:dyDescent="0.25">
      <c r="A248" t="s">
        <v>925</v>
      </c>
      <c r="B248" t="s">
        <v>1043</v>
      </c>
      <c r="C248" t="s">
        <v>807</v>
      </c>
      <c r="D248" t="s">
        <v>803</v>
      </c>
      <c r="F248" t="s">
        <v>1044</v>
      </c>
    </row>
    <row r="249" spans="1:6" x14ac:dyDescent="0.25">
      <c r="A249" t="s">
        <v>921</v>
      </c>
      <c r="B249" t="s">
        <v>1079</v>
      </c>
      <c r="C249" t="s">
        <v>922</v>
      </c>
      <c r="D249" t="s">
        <v>871</v>
      </c>
      <c r="F249" t="s">
        <v>1176</v>
      </c>
    </row>
    <row r="250" spans="1:6" x14ac:dyDescent="0.25">
      <c r="A250" t="s">
        <v>921</v>
      </c>
      <c r="B250" t="s">
        <v>1139</v>
      </c>
      <c r="C250" t="s">
        <v>923</v>
      </c>
      <c r="D250" t="s">
        <v>871</v>
      </c>
      <c r="F250" t="s">
        <v>1177</v>
      </c>
    </row>
    <row r="251" spans="1:6" x14ac:dyDescent="0.25">
      <c r="A251" t="s">
        <v>921</v>
      </c>
      <c r="B251" t="s">
        <v>1022</v>
      </c>
      <c r="C251" t="s">
        <v>844</v>
      </c>
      <c r="D251" t="s">
        <v>871</v>
      </c>
      <c r="F251" t="s">
        <v>1176</v>
      </c>
    </row>
    <row r="252" spans="1:6" x14ac:dyDescent="0.25">
      <c r="A252" t="s">
        <v>921</v>
      </c>
      <c r="B252" t="s">
        <v>1061</v>
      </c>
      <c r="C252" t="s">
        <v>896</v>
      </c>
      <c r="D252" t="s">
        <v>963</v>
      </c>
      <c r="F252" t="s">
        <v>1062</v>
      </c>
    </row>
    <row r="253" spans="1:6" x14ac:dyDescent="0.25">
      <c r="A253" t="s">
        <v>921</v>
      </c>
      <c r="B253" t="s">
        <v>1138</v>
      </c>
      <c r="C253" t="s">
        <v>826</v>
      </c>
      <c r="D253" t="s">
        <v>871</v>
      </c>
      <c r="E253" t="s">
        <v>816</v>
      </c>
      <c r="F253" t="s">
        <v>1177</v>
      </c>
    </row>
    <row r="254" spans="1:6" x14ac:dyDescent="0.25">
      <c r="A254" t="s">
        <v>921</v>
      </c>
      <c r="B254" t="s">
        <v>1026</v>
      </c>
      <c r="C254" t="s">
        <v>827</v>
      </c>
      <c r="D254" t="s">
        <v>816</v>
      </c>
      <c r="F254" t="s">
        <v>1027</v>
      </c>
    </row>
    <row r="255" spans="1:6" x14ac:dyDescent="0.25">
      <c r="A255" t="s">
        <v>921</v>
      </c>
      <c r="B255" t="s">
        <v>1058</v>
      </c>
      <c r="C255" t="s">
        <v>828</v>
      </c>
      <c r="D255" t="s">
        <v>816</v>
      </c>
      <c r="F255" t="s">
        <v>1059</v>
      </c>
    </row>
    <row r="256" spans="1:6" x14ac:dyDescent="0.25">
      <c r="A256" t="s">
        <v>921</v>
      </c>
      <c r="B256" t="s">
        <v>1116</v>
      </c>
      <c r="C256" t="s">
        <v>845</v>
      </c>
      <c r="D256" t="s">
        <v>871</v>
      </c>
      <c r="F256" t="s">
        <v>1176</v>
      </c>
    </row>
    <row r="257" spans="1:6" x14ac:dyDescent="0.25">
      <c r="A257" t="s">
        <v>925</v>
      </c>
      <c r="B257" t="s">
        <v>1078</v>
      </c>
      <c r="C257" t="s">
        <v>926</v>
      </c>
      <c r="D257" t="s">
        <v>872</v>
      </c>
      <c r="F257" t="s">
        <v>1174</v>
      </c>
    </row>
    <row r="258" spans="1:6" x14ac:dyDescent="0.25">
      <c r="A258" t="s">
        <v>925</v>
      </c>
      <c r="B258" t="s">
        <v>1005</v>
      </c>
      <c r="C258" t="s">
        <v>877</v>
      </c>
      <c r="D258" t="s">
        <v>872</v>
      </c>
      <c r="F258" t="s">
        <v>1006</v>
      </c>
    </row>
    <row r="259" spans="1:6" x14ac:dyDescent="0.25">
      <c r="A259" t="s">
        <v>925</v>
      </c>
      <c r="B259" t="s">
        <v>1049</v>
      </c>
      <c r="C259" t="s">
        <v>927</v>
      </c>
      <c r="D259" t="s">
        <v>872</v>
      </c>
      <c r="F259" t="s">
        <v>1050</v>
      </c>
    </row>
    <row r="260" spans="1:6" x14ac:dyDescent="0.25">
      <c r="A260" t="s">
        <v>925</v>
      </c>
      <c r="B260" t="s">
        <v>1051</v>
      </c>
      <c r="C260" t="s">
        <v>833</v>
      </c>
      <c r="D260" t="s">
        <v>934</v>
      </c>
      <c r="E260" t="s">
        <v>1171</v>
      </c>
      <c r="F260" t="s">
        <v>1052</v>
      </c>
    </row>
    <row r="261" spans="1:6" x14ac:dyDescent="0.25">
      <c r="A261" t="s">
        <v>925</v>
      </c>
      <c r="B261" t="s">
        <v>971</v>
      </c>
      <c r="C261" t="s">
        <v>885</v>
      </c>
      <c r="D261" t="s">
        <v>934</v>
      </c>
      <c r="E261" t="s">
        <v>929</v>
      </c>
      <c r="F261" t="s">
        <v>1178</v>
      </c>
    </row>
    <row r="262" spans="1:6" x14ac:dyDescent="0.25">
      <c r="A262" t="s">
        <v>925</v>
      </c>
      <c r="B262" t="s">
        <v>1097</v>
      </c>
      <c r="C262" t="s">
        <v>870</v>
      </c>
      <c r="D262" t="s">
        <v>874</v>
      </c>
      <c r="F262" t="s">
        <v>1179</v>
      </c>
    </row>
    <row r="263" spans="1:6" x14ac:dyDescent="0.25">
      <c r="A263" t="s">
        <v>925</v>
      </c>
      <c r="B263" t="s">
        <v>1152</v>
      </c>
      <c r="C263" t="s">
        <v>810</v>
      </c>
      <c r="D263" t="s">
        <v>803</v>
      </c>
      <c r="F263" t="s">
        <v>1175</v>
      </c>
    </row>
    <row r="264" spans="1:6" x14ac:dyDescent="0.25">
      <c r="A264" t="s">
        <v>925</v>
      </c>
      <c r="B264" t="s">
        <v>1001</v>
      </c>
      <c r="C264" t="s">
        <v>811</v>
      </c>
      <c r="D264" t="s">
        <v>803</v>
      </c>
      <c r="F264" t="s">
        <v>1002</v>
      </c>
    </row>
    <row r="265" spans="1:6" x14ac:dyDescent="0.25">
      <c r="A265" t="s">
        <v>925</v>
      </c>
      <c r="B265" t="s">
        <v>1043</v>
      </c>
      <c r="C265" t="s">
        <v>807</v>
      </c>
      <c r="D265" t="s">
        <v>803</v>
      </c>
      <c r="F265" t="s">
        <v>1044</v>
      </c>
    </row>
    <row r="266" spans="1:6" x14ac:dyDescent="0.25">
      <c r="A266" t="s">
        <v>930</v>
      </c>
      <c r="B266" t="s">
        <v>1105</v>
      </c>
      <c r="C266" t="s">
        <v>931</v>
      </c>
      <c r="D266" t="s">
        <v>929</v>
      </c>
      <c r="F266" t="s">
        <v>1177</v>
      </c>
    </row>
    <row r="267" spans="1:6" x14ac:dyDescent="0.25">
      <c r="A267" t="s">
        <v>930</v>
      </c>
      <c r="B267" t="s">
        <v>1047</v>
      </c>
      <c r="C267" t="s">
        <v>932</v>
      </c>
      <c r="D267" t="s">
        <v>929</v>
      </c>
      <c r="F267" t="s">
        <v>1175</v>
      </c>
    </row>
    <row r="268" spans="1:6" x14ac:dyDescent="0.25">
      <c r="A268" t="s">
        <v>930</v>
      </c>
      <c r="B268" t="s">
        <v>1000</v>
      </c>
      <c r="C268" t="s">
        <v>933</v>
      </c>
      <c r="D268" t="s">
        <v>929</v>
      </c>
      <c r="F268" t="s">
        <v>1180</v>
      </c>
    </row>
    <row r="269" spans="1:6" x14ac:dyDescent="0.25">
      <c r="A269" t="s">
        <v>930</v>
      </c>
      <c r="B269" t="s">
        <v>1122</v>
      </c>
      <c r="C269" t="s">
        <v>903</v>
      </c>
      <c r="D269" t="s">
        <v>947</v>
      </c>
      <c r="F269" t="s">
        <v>1180</v>
      </c>
    </row>
    <row r="270" spans="1:6" x14ac:dyDescent="0.25">
      <c r="A270" t="s">
        <v>930</v>
      </c>
      <c r="B270" t="s">
        <v>1154</v>
      </c>
      <c r="C270" t="s">
        <v>916</v>
      </c>
      <c r="D270" t="s">
        <v>947</v>
      </c>
      <c r="F270" t="s">
        <v>1180</v>
      </c>
    </row>
    <row r="271" spans="1:6" x14ac:dyDescent="0.25">
      <c r="A271" t="s">
        <v>930</v>
      </c>
      <c r="B271" t="s">
        <v>1117</v>
      </c>
      <c r="C271" t="s">
        <v>864</v>
      </c>
      <c r="D271" t="s">
        <v>960</v>
      </c>
      <c r="F271" t="s">
        <v>1118</v>
      </c>
    </row>
    <row r="272" spans="1:6" x14ac:dyDescent="0.25">
      <c r="A272" t="s">
        <v>930</v>
      </c>
      <c r="B272" t="s">
        <v>1157</v>
      </c>
      <c r="C272" t="s">
        <v>883</v>
      </c>
      <c r="D272" t="s">
        <v>929</v>
      </c>
      <c r="F272" t="s">
        <v>1175</v>
      </c>
    </row>
    <row r="273" spans="1:6" x14ac:dyDescent="0.25">
      <c r="A273" t="s">
        <v>935</v>
      </c>
      <c r="B273" t="s">
        <v>971</v>
      </c>
      <c r="C273" t="s">
        <v>885</v>
      </c>
      <c r="D273" t="s">
        <v>934</v>
      </c>
      <c r="E273" t="s">
        <v>929</v>
      </c>
      <c r="F273" t="s">
        <v>1178</v>
      </c>
    </row>
    <row r="274" spans="1:6" x14ac:dyDescent="0.25">
      <c r="A274" t="s">
        <v>935</v>
      </c>
      <c r="B274" t="s">
        <v>1017</v>
      </c>
      <c r="C274" t="s">
        <v>936</v>
      </c>
      <c r="D274" t="s">
        <v>934</v>
      </c>
      <c r="F274" t="s">
        <v>1178</v>
      </c>
    </row>
    <row r="275" spans="1:6" x14ac:dyDescent="0.25">
      <c r="A275" t="s">
        <v>935</v>
      </c>
      <c r="B275" t="s">
        <v>1060</v>
      </c>
      <c r="C275" t="s">
        <v>946</v>
      </c>
      <c r="D275" t="s">
        <v>874</v>
      </c>
      <c r="F275" t="s">
        <v>1178</v>
      </c>
    </row>
    <row r="276" spans="1:6" x14ac:dyDescent="0.25">
      <c r="A276" t="s">
        <v>935</v>
      </c>
      <c r="B276" t="s">
        <v>1131</v>
      </c>
      <c r="C276" t="s">
        <v>857</v>
      </c>
      <c r="D276" t="s">
        <v>934</v>
      </c>
      <c r="F276" t="s">
        <v>1132</v>
      </c>
    </row>
    <row r="277" spans="1:6" x14ac:dyDescent="0.25">
      <c r="A277" t="s">
        <v>935</v>
      </c>
      <c r="B277" t="s">
        <v>1051</v>
      </c>
      <c r="C277" t="s">
        <v>833</v>
      </c>
      <c r="D277" t="s">
        <v>934</v>
      </c>
      <c r="E277" t="s">
        <v>1171</v>
      </c>
      <c r="F277" t="s">
        <v>1052</v>
      </c>
    </row>
    <row r="278" spans="1:6" x14ac:dyDescent="0.25">
      <c r="A278" t="s">
        <v>935</v>
      </c>
      <c r="B278" t="s">
        <v>1012</v>
      </c>
      <c r="C278" t="s">
        <v>868</v>
      </c>
      <c r="D278" t="s">
        <v>874</v>
      </c>
      <c r="F278" t="s">
        <v>1179</v>
      </c>
    </row>
    <row r="279" spans="1:6" x14ac:dyDescent="0.25">
      <c r="A279" t="s">
        <v>1173</v>
      </c>
      <c r="B279" t="s">
        <v>996</v>
      </c>
      <c r="C279" t="s">
        <v>867</v>
      </c>
      <c r="D279" t="s">
        <v>874</v>
      </c>
      <c r="F279" t="s">
        <v>1179</v>
      </c>
    </row>
    <row r="280" spans="1:6" x14ac:dyDescent="0.25">
      <c r="A280" t="s">
        <v>1173</v>
      </c>
      <c r="B280" t="s">
        <v>1012</v>
      </c>
      <c r="C280" t="s">
        <v>868</v>
      </c>
      <c r="D280" t="s">
        <v>874</v>
      </c>
      <c r="F280" t="s">
        <v>1179</v>
      </c>
    </row>
    <row r="281" spans="1:6" x14ac:dyDescent="0.25">
      <c r="A281" t="s">
        <v>1173</v>
      </c>
      <c r="B281" t="s">
        <v>982</v>
      </c>
      <c r="C281" t="s">
        <v>869</v>
      </c>
      <c r="D281" t="s">
        <v>874</v>
      </c>
      <c r="F281" t="s">
        <v>983</v>
      </c>
    </row>
    <row r="282" spans="1:6" x14ac:dyDescent="0.25">
      <c r="A282" t="s">
        <v>1173</v>
      </c>
      <c r="B282" t="s">
        <v>1098</v>
      </c>
      <c r="C282" t="s">
        <v>886</v>
      </c>
      <c r="D282" t="s">
        <v>874</v>
      </c>
      <c r="F282" t="s">
        <v>1099</v>
      </c>
    </row>
    <row r="283" spans="1:6" x14ac:dyDescent="0.25">
      <c r="A283" t="s">
        <v>1173</v>
      </c>
      <c r="B283" t="s">
        <v>1038</v>
      </c>
      <c r="C283" t="s">
        <v>887</v>
      </c>
      <c r="D283" t="s">
        <v>874</v>
      </c>
      <c r="F283" t="s">
        <v>1177</v>
      </c>
    </row>
    <row r="284" spans="1:6" x14ac:dyDescent="0.25">
      <c r="A284" t="s">
        <v>1173</v>
      </c>
      <c r="B284" t="s">
        <v>1037</v>
      </c>
      <c r="C284" t="s">
        <v>945</v>
      </c>
      <c r="D284" t="s">
        <v>874</v>
      </c>
      <c r="F284" t="s">
        <v>1177</v>
      </c>
    </row>
    <row r="285" spans="1:6" x14ac:dyDescent="0.25">
      <c r="A285" t="s">
        <v>1173</v>
      </c>
      <c r="B285" t="s">
        <v>1043</v>
      </c>
      <c r="C285" t="s">
        <v>807</v>
      </c>
      <c r="D285" t="s">
        <v>803</v>
      </c>
      <c r="F285" t="s">
        <v>1044</v>
      </c>
    </row>
    <row r="286" spans="1:6" x14ac:dyDescent="0.25">
      <c r="A286" t="s">
        <v>1173</v>
      </c>
      <c r="B286" t="s">
        <v>998</v>
      </c>
      <c r="C286" t="s">
        <v>808</v>
      </c>
      <c r="D286" t="s">
        <v>803</v>
      </c>
      <c r="F286" t="s">
        <v>999</v>
      </c>
    </row>
    <row r="287" spans="1:6" x14ac:dyDescent="0.25">
      <c r="A287" t="s">
        <v>938</v>
      </c>
      <c r="B287" t="s">
        <v>1095</v>
      </c>
      <c r="C287" t="s">
        <v>939</v>
      </c>
      <c r="D287" t="s">
        <v>937</v>
      </c>
      <c r="F287" t="s">
        <v>1096</v>
      </c>
    </row>
    <row r="288" spans="1:6" x14ac:dyDescent="0.25">
      <c r="A288" t="s">
        <v>938</v>
      </c>
      <c r="B288" t="s">
        <v>1157</v>
      </c>
      <c r="C288" t="s">
        <v>883</v>
      </c>
      <c r="D288" t="s">
        <v>929</v>
      </c>
      <c r="F288" t="s">
        <v>1175</v>
      </c>
    </row>
    <row r="289" spans="1:6" x14ac:dyDescent="0.25">
      <c r="A289" t="s">
        <v>938</v>
      </c>
      <c r="B289" t="s">
        <v>1100</v>
      </c>
      <c r="C289" t="s">
        <v>882</v>
      </c>
      <c r="D289" t="s">
        <v>929</v>
      </c>
      <c r="F289" t="s">
        <v>1175</v>
      </c>
    </row>
    <row r="290" spans="1:6" x14ac:dyDescent="0.25">
      <c r="A290" t="s">
        <v>938</v>
      </c>
      <c r="B290" t="s">
        <v>1103</v>
      </c>
      <c r="C290" t="s">
        <v>920</v>
      </c>
      <c r="D290" t="s">
        <v>871</v>
      </c>
      <c r="F290" t="s">
        <v>1175</v>
      </c>
    </row>
    <row r="291" spans="1:6" x14ac:dyDescent="0.25">
      <c r="A291" t="s">
        <v>938</v>
      </c>
      <c r="B291" t="s">
        <v>1135</v>
      </c>
      <c r="C291" t="s">
        <v>940</v>
      </c>
      <c r="D291" t="s">
        <v>937</v>
      </c>
      <c r="F291" t="s">
        <v>1175</v>
      </c>
    </row>
    <row r="292" spans="1:6" x14ac:dyDescent="0.25">
      <c r="A292" t="s">
        <v>938</v>
      </c>
      <c r="B292" t="s">
        <v>1040</v>
      </c>
      <c r="C292" t="s">
        <v>884</v>
      </c>
      <c r="D292" t="s">
        <v>929</v>
      </c>
      <c r="F292" t="s">
        <v>1041</v>
      </c>
    </row>
    <row r="293" spans="1:6" x14ac:dyDescent="0.25">
      <c r="A293" t="s">
        <v>941</v>
      </c>
      <c r="B293" t="s">
        <v>1046</v>
      </c>
      <c r="C293" t="s">
        <v>942</v>
      </c>
      <c r="D293" t="s">
        <v>937</v>
      </c>
      <c r="F293" t="s">
        <v>1174</v>
      </c>
    </row>
    <row r="294" spans="1:6" x14ac:dyDescent="0.25">
      <c r="A294" t="s">
        <v>941</v>
      </c>
      <c r="B294" t="s">
        <v>1100</v>
      </c>
      <c r="C294" t="s">
        <v>882</v>
      </c>
      <c r="D294" t="s">
        <v>929</v>
      </c>
      <c r="F294" t="s">
        <v>1175</v>
      </c>
    </row>
    <row r="295" spans="1:6" x14ac:dyDescent="0.25">
      <c r="A295" t="s">
        <v>941</v>
      </c>
      <c r="B295" t="s">
        <v>1101</v>
      </c>
      <c r="C295" t="s">
        <v>875</v>
      </c>
      <c r="D295" t="s">
        <v>872</v>
      </c>
      <c r="F295" t="s">
        <v>1102</v>
      </c>
    </row>
    <row r="296" spans="1:6" x14ac:dyDescent="0.25">
      <c r="A296" t="s">
        <v>941</v>
      </c>
      <c r="B296" t="s">
        <v>1054</v>
      </c>
      <c r="C296" t="s">
        <v>914</v>
      </c>
      <c r="D296" t="s">
        <v>874</v>
      </c>
      <c r="F296" t="s">
        <v>1179</v>
      </c>
    </row>
    <row r="297" spans="1:6" x14ac:dyDescent="0.25">
      <c r="A297" t="s">
        <v>941</v>
      </c>
      <c r="B297" t="s">
        <v>1120</v>
      </c>
      <c r="C297" t="s">
        <v>950</v>
      </c>
      <c r="D297" t="s">
        <v>947</v>
      </c>
      <c r="F297" t="s">
        <v>1175</v>
      </c>
    </row>
    <row r="298" spans="1:6" x14ac:dyDescent="0.25">
      <c r="A298" t="s">
        <v>941</v>
      </c>
      <c r="B298" t="s">
        <v>1122</v>
      </c>
      <c r="C298" t="s">
        <v>903</v>
      </c>
      <c r="D298" t="s">
        <v>947</v>
      </c>
      <c r="F298" t="s">
        <v>1180</v>
      </c>
    </row>
    <row r="299" spans="1:6" x14ac:dyDescent="0.25">
      <c r="A299" t="s">
        <v>944</v>
      </c>
      <c r="B299" t="s">
        <v>1037</v>
      </c>
      <c r="C299" t="s">
        <v>945</v>
      </c>
      <c r="D299" t="s">
        <v>874</v>
      </c>
      <c r="F299" t="s">
        <v>1177</v>
      </c>
    </row>
    <row r="300" spans="1:6" x14ac:dyDescent="0.25">
      <c r="A300" t="s">
        <v>944</v>
      </c>
      <c r="B300" t="s">
        <v>1038</v>
      </c>
      <c r="C300" t="s">
        <v>887</v>
      </c>
      <c r="D300" t="s">
        <v>874</v>
      </c>
      <c r="F300" t="s">
        <v>1177</v>
      </c>
    </row>
    <row r="301" spans="1:6" x14ac:dyDescent="0.25">
      <c r="A301" t="s">
        <v>944</v>
      </c>
      <c r="B301" t="s">
        <v>1098</v>
      </c>
      <c r="C301" t="s">
        <v>886</v>
      </c>
      <c r="D301" t="s">
        <v>874</v>
      </c>
      <c r="F301" t="s">
        <v>1099</v>
      </c>
    </row>
    <row r="302" spans="1:6" x14ac:dyDescent="0.25">
      <c r="A302" t="s">
        <v>944</v>
      </c>
      <c r="B302" t="s">
        <v>1060</v>
      </c>
      <c r="C302" t="s">
        <v>946</v>
      </c>
      <c r="D302" t="s">
        <v>874</v>
      </c>
      <c r="F302" t="s">
        <v>1178</v>
      </c>
    </row>
    <row r="303" spans="1:6" x14ac:dyDescent="0.25">
      <c r="A303" t="s">
        <v>944</v>
      </c>
      <c r="B303" t="s">
        <v>996</v>
      </c>
      <c r="C303" t="s">
        <v>867</v>
      </c>
      <c r="D303" t="s">
        <v>874</v>
      </c>
      <c r="F303" t="s">
        <v>1179</v>
      </c>
    </row>
    <row r="304" spans="1:6" x14ac:dyDescent="0.25">
      <c r="A304" t="s">
        <v>944</v>
      </c>
      <c r="B304" t="s">
        <v>1097</v>
      </c>
      <c r="C304" t="s">
        <v>870</v>
      </c>
      <c r="D304" t="s">
        <v>874</v>
      </c>
      <c r="F304" t="s">
        <v>1179</v>
      </c>
    </row>
    <row r="305" spans="1:6" x14ac:dyDescent="0.25">
      <c r="A305" t="s">
        <v>948</v>
      </c>
      <c r="B305" t="s">
        <v>1045</v>
      </c>
      <c r="C305" t="s">
        <v>943</v>
      </c>
      <c r="D305" t="s">
        <v>937</v>
      </c>
      <c r="F305" t="s">
        <v>1178</v>
      </c>
    </row>
    <row r="306" spans="1:6" x14ac:dyDescent="0.25">
      <c r="A306" t="s">
        <v>948</v>
      </c>
      <c r="B306" t="s">
        <v>1120</v>
      </c>
      <c r="C306" t="s">
        <v>950</v>
      </c>
      <c r="D306" t="s">
        <v>947</v>
      </c>
      <c r="F306" t="s">
        <v>1175</v>
      </c>
    </row>
    <row r="307" spans="1:6" x14ac:dyDescent="0.25">
      <c r="A307" t="s">
        <v>948</v>
      </c>
      <c r="B307" t="s">
        <v>1039</v>
      </c>
      <c r="C307" t="s">
        <v>949</v>
      </c>
      <c r="D307" t="s">
        <v>947</v>
      </c>
      <c r="F307" t="s">
        <v>1180</v>
      </c>
    </row>
    <row r="308" spans="1:6" x14ac:dyDescent="0.25">
      <c r="A308" t="s">
        <v>948</v>
      </c>
      <c r="B308" t="s">
        <v>1122</v>
      </c>
      <c r="C308" t="s">
        <v>903</v>
      </c>
      <c r="D308" t="s">
        <v>947</v>
      </c>
      <c r="F308" t="s">
        <v>1180</v>
      </c>
    </row>
    <row r="309" spans="1:6" x14ac:dyDescent="0.25">
      <c r="A309" t="s">
        <v>948</v>
      </c>
      <c r="B309" t="s">
        <v>1000</v>
      </c>
      <c r="C309" t="s">
        <v>933</v>
      </c>
      <c r="D309" t="s">
        <v>929</v>
      </c>
      <c r="F309" t="s">
        <v>1180</v>
      </c>
    </row>
    <row r="310" spans="1:6" x14ac:dyDescent="0.25">
      <c r="A310" t="s">
        <v>930</v>
      </c>
      <c r="B310" t="s">
        <v>1105</v>
      </c>
      <c r="C310" t="s">
        <v>931</v>
      </c>
      <c r="D310" t="s">
        <v>929</v>
      </c>
      <c r="F310" t="s">
        <v>1177</v>
      </c>
    </row>
    <row r="311" spans="1:6" x14ac:dyDescent="0.25">
      <c r="A311" t="s">
        <v>930</v>
      </c>
      <c r="B311" t="s">
        <v>1047</v>
      </c>
      <c r="C311" t="s">
        <v>932</v>
      </c>
      <c r="D311" t="s">
        <v>929</v>
      </c>
      <c r="F311" t="s">
        <v>1175</v>
      </c>
    </row>
    <row r="312" spans="1:6" x14ac:dyDescent="0.25">
      <c r="A312" t="s">
        <v>930</v>
      </c>
      <c r="B312" t="s">
        <v>1000</v>
      </c>
      <c r="C312" t="s">
        <v>933</v>
      </c>
      <c r="D312" t="s">
        <v>929</v>
      </c>
      <c r="F312" t="s">
        <v>1180</v>
      </c>
    </row>
    <row r="313" spans="1:6" x14ac:dyDescent="0.25">
      <c r="A313" t="s">
        <v>930</v>
      </c>
      <c r="B313" t="s">
        <v>1122</v>
      </c>
      <c r="C313" t="s">
        <v>903</v>
      </c>
      <c r="D313" t="s">
        <v>947</v>
      </c>
      <c r="F313" t="s">
        <v>1180</v>
      </c>
    </row>
    <row r="314" spans="1:6" x14ac:dyDescent="0.25">
      <c r="A314" t="s">
        <v>930</v>
      </c>
      <c r="B314" t="s">
        <v>1154</v>
      </c>
      <c r="C314" t="s">
        <v>916</v>
      </c>
      <c r="D314" t="s">
        <v>947</v>
      </c>
      <c r="F314" t="s">
        <v>1180</v>
      </c>
    </row>
    <row r="315" spans="1:6" x14ac:dyDescent="0.25">
      <c r="A315" t="s">
        <v>930</v>
      </c>
      <c r="B315" t="s">
        <v>1117</v>
      </c>
      <c r="C315" t="s">
        <v>864</v>
      </c>
      <c r="D315" t="s">
        <v>960</v>
      </c>
      <c r="F315" t="s">
        <v>1118</v>
      </c>
    </row>
    <row r="316" spans="1:6" x14ac:dyDescent="0.25">
      <c r="A316" t="s">
        <v>930</v>
      </c>
      <c r="B316" t="s">
        <v>1157</v>
      </c>
      <c r="C316" t="s">
        <v>883</v>
      </c>
      <c r="D316" t="s">
        <v>929</v>
      </c>
      <c r="F316" t="s">
        <v>1175</v>
      </c>
    </row>
    <row r="317" spans="1:6" x14ac:dyDescent="0.25">
      <c r="A317" t="s">
        <v>935</v>
      </c>
      <c r="B317" t="s">
        <v>971</v>
      </c>
      <c r="C317" t="s">
        <v>885</v>
      </c>
      <c r="D317" t="s">
        <v>934</v>
      </c>
      <c r="E317" t="s">
        <v>929</v>
      </c>
      <c r="F317" t="s">
        <v>1178</v>
      </c>
    </row>
    <row r="318" spans="1:6" x14ac:dyDescent="0.25">
      <c r="A318" t="s">
        <v>935</v>
      </c>
      <c r="B318" t="s">
        <v>1017</v>
      </c>
      <c r="C318" t="s">
        <v>936</v>
      </c>
      <c r="D318" t="s">
        <v>934</v>
      </c>
      <c r="F318" t="s">
        <v>1178</v>
      </c>
    </row>
    <row r="319" spans="1:6" x14ac:dyDescent="0.25">
      <c r="A319" t="s">
        <v>935</v>
      </c>
      <c r="B319" t="s">
        <v>1060</v>
      </c>
      <c r="C319" t="s">
        <v>946</v>
      </c>
      <c r="D319" t="s">
        <v>874</v>
      </c>
      <c r="F319" t="s">
        <v>1178</v>
      </c>
    </row>
    <row r="320" spans="1:6" x14ac:dyDescent="0.25">
      <c r="A320" t="s">
        <v>935</v>
      </c>
      <c r="B320" t="s">
        <v>1131</v>
      </c>
      <c r="C320" t="s">
        <v>857</v>
      </c>
      <c r="D320" t="s">
        <v>934</v>
      </c>
      <c r="F320" t="s">
        <v>1132</v>
      </c>
    </row>
    <row r="321" spans="1:6" x14ac:dyDescent="0.25">
      <c r="A321" t="s">
        <v>935</v>
      </c>
      <c r="B321" t="s">
        <v>1051</v>
      </c>
      <c r="C321" t="s">
        <v>833</v>
      </c>
      <c r="D321" t="s">
        <v>934</v>
      </c>
      <c r="E321" t="s">
        <v>1171</v>
      </c>
      <c r="F321" t="s">
        <v>1052</v>
      </c>
    </row>
    <row r="322" spans="1:6" x14ac:dyDescent="0.25">
      <c r="A322" t="s">
        <v>935</v>
      </c>
      <c r="B322" t="s">
        <v>1012</v>
      </c>
      <c r="C322" t="s">
        <v>868</v>
      </c>
      <c r="D322" t="s">
        <v>874</v>
      </c>
      <c r="F322" t="s">
        <v>1179</v>
      </c>
    </row>
    <row r="323" spans="1:6" x14ac:dyDescent="0.25">
      <c r="A323" t="s">
        <v>1173</v>
      </c>
      <c r="B323" t="s">
        <v>996</v>
      </c>
      <c r="C323" t="s">
        <v>867</v>
      </c>
      <c r="D323" t="s">
        <v>874</v>
      </c>
      <c r="F323" t="s">
        <v>1179</v>
      </c>
    </row>
    <row r="324" spans="1:6" x14ac:dyDescent="0.25">
      <c r="A324" t="s">
        <v>1173</v>
      </c>
      <c r="B324" t="s">
        <v>1012</v>
      </c>
      <c r="C324" t="s">
        <v>868</v>
      </c>
      <c r="D324" t="s">
        <v>874</v>
      </c>
      <c r="F324" t="s">
        <v>1179</v>
      </c>
    </row>
    <row r="325" spans="1:6" x14ac:dyDescent="0.25">
      <c r="A325" t="s">
        <v>1173</v>
      </c>
      <c r="B325" t="s">
        <v>982</v>
      </c>
      <c r="C325" t="s">
        <v>869</v>
      </c>
      <c r="D325" t="s">
        <v>874</v>
      </c>
      <c r="F325" t="s">
        <v>983</v>
      </c>
    </row>
    <row r="326" spans="1:6" x14ac:dyDescent="0.25">
      <c r="A326" t="s">
        <v>1173</v>
      </c>
      <c r="B326" t="s">
        <v>1098</v>
      </c>
      <c r="C326" t="s">
        <v>886</v>
      </c>
      <c r="D326" t="s">
        <v>874</v>
      </c>
      <c r="F326" t="s">
        <v>1099</v>
      </c>
    </row>
    <row r="327" spans="1:6" x14ac:dyDescent="0.25">
      <c r="A327" t="s">
        <v>1173</v>
      </c>
      <c r="B327" t="s">
        <v>1038</v>
      </c>
      <c r="C327" t="s">
        <v>887</v>
      </c>
      <c r="D327" t="s">
        <v>874</v>
      </c>
      <c r="F327" t="s">
        <v>1177</v>
      </c>
    </row>
    <row r="328" spans="1:6" x14ac:dyDescent="0.25">
      <c r="A328" t="s">
        <v>1173</v>
      </c>
      <c r="B328" t="s">
        <v>1037</v>
      </c>
      <c r="C328" t="s">
        <v>945</v>
      </c>
      <c r="D328" t="s">
        <v>874</v>
      </c>
      <c r="F328" t="s">
        <v>1177</v>
      </c>
    </row>
    <row r="329" spans="1:6" x14ac:dyDescent="0.25">
      <c r="A329" t="s">
        <v>1173</v>
      </c>
      <c r="B329" t="s">
        <v>1043</v>
      </c>
      <c r="C329" t="s">
        <v>807</v>
      </c>
      <c r="D329" t="s">
        <v>803</v>
      </c>
      <c r="F329" t="s">
        <v>1044</v>
      </c>
    </row>
    <row r="330" spans="1:6" x14ac:dyDescent="0.25">
      <c r="A330" t="s">
        <v>1173</v>
      </c>
      <c r="B330" t="s">
        <v>998</v>
      </c>
      <c r="C330" t="s">
        <v>808</v>
      </c>
      <c r="D330" t="s">
        <v>803</v>
      </c>
      <c r="F330" t="s">
        <v>999</v>
      </c>
    </row>
    <row r="331" spans="1:6" x14ac:dyDescent="0.25">
      <c r="A331" t="s">
        <v>938</v>
      </c>
      <c r="B331" t="s">
        <v>1095</v>
      </c>
      <c r="C331" t="s">
        <v>939</v>
      </c>
      <c r="D331" t="s">
        <v>937</v>
      </c>
      <c r="F331" t="s">
        <v>1096</v>
      </c>
    </row>
    <row r="332" spans="1:6" x14ac:dyDescent="0.25">
      <c r="A332" t="s">
        <v>938</v>
      </c>
      <c r="B332" t="s">
        <v>1157</v>
      </c>
      <c r="C332" t="s">
        <v>883</v>
      </c>
      <c r="D332" t="s">
        <v>929</v>
      </c>
      <c r="F332" t="s">
        <v>1175</v>
      </c>
    </row>
    <row r="333" spans="1:6" x14ac:dyDescent="0.25">
      <c r="A333" t="s">
        <v>938</v>
      </c>
      <c r="B333" t="s">
        <v>1100</v>
      </c>
      <c r="C333" t="s">
        <v>882</v>
      </c>
      <c r="D333" t="s">
        <v>929</v>
      </c>
      <c r="F333" t="s">
        <v>1175</v>
      </c>
    </row>
    <row r="334" spans="1:6" x14ac:dyDescent="0.25">
      <c r="A334" t="s">
        <v>938</v>
      </c>
      <c r="B334" t="s">
        <v>1103</v>
      </c>
      <c r="C334" t="s">
        <v>920</v>
      </c>
      <c r="D334" t="s">
        <v>871</v>
      </c>
      <c r="F334" t="s">
        <v>1175</v>
      </c>
    </row>
    <row r="335" spans="1:6" x14ac:dyDescent="0.25">
      <c r="A335" t="s">
        <v>938</v>
      </c>
      <c r="B335" t="s">
        <v>1135</v>
      </c>
      <c r="C335" t="s">
        <v>940</v>
      </c>
      <c r="D335" t="s">
        <v>937</v>
      </c>
      <c r="F335" t="s">
        <v>1175</v>
      </c>
    </row>
    <row r="336" spans="1:6" x14ac:dyDescent="0.25">
      <c r="A336" t="s">
        <v>938</v>
      </c>
      <c r="B336" t="s">
        <v>1040</v>
      </c>
      <c r="C336" t="s">
        <v>884</v>
      </c>
      <c r="D336" t="s">
        <v>929</v>
      </c>
      <c r="F336" t="s">
        <v>1041</v>
      </c>
    </row>
    <row r="337" spans="1:6" x14ac:dyDescent="0.25">
      <c r="A337" t="s">
        <v>941</v>
      </c>
      <c r="B337" t="s">
        <v>1046</v>
      </c>
      <c r="C337" t="s">
        <v>942</v>
      </c>
      <c r="D337" t="s">
        <v>937</v>
      </c>
      <c r="F337" t="s">
        <v>1174</v>
      </c>
    </row>
    <row r="338" spans="1:6" x14ac:dyDescent="0.25">
      <c r="A338" t="s">
        <v>941</v>
      </c>
      <c r="B338" t="s">
        <v>1100</v>
      </c>
      <c r="C338" t="s">
        <v>882</v>
      </c>
      <c r="D338" t="s">
        <v>929</v>
      </c>
      <c r="F338" t="s">
        <v>1175</v>
      </c>
    </row>
    <row r="339" spans="1:6" x14ac:dyDescent="0.25">
      <c r="A339" t="s">
        <v>941</v>
      </c>
      <c r="B339" t="s">
        <v>1101</v>
      </c>
      <c r="C339" t="s">
        <v>875</v>
      </c>
      <c r="D339" t="s">
        <v>872</v>
      </c>
      <c r="F339" t="s">
        <v>1102</v>
      </c>
    </row>
    <row r="340" spans="1:6" x14ac:dyDescent="0.25">
      <c r="A340" t="s">
        <v>941</v>
      </c>
      <c r="B340" t="s">
        <v>1054</v>
      </c>
      <c r="C340" t="s">
        <v>914</v>
      </c>
      <c r="D340" t="s">
        <v>874</v>
      </c>
      <c r="F340" t="s">
        <v>1179</v>
      </c>
    </row>
    <row r="341" spans="1:6" x14ac:dyDescent="0.25">
      <c r="A341" t="s">
        <v>941</v>
      </c>
      <c r="B341" t="s">
        <v>1120</v>
      </c>
      <c r="C341" t="s">
        <v>950</v>
      </c>
      <c r="D341" t="s">
        <v>947</v>
      </c>
      <c r="F341" t="s">
        <v>1175</v>
      </c>
    </row>
    <row r="342" spans="1:6" x14ac:dyDescent="0.25">
      <c r="A342" t="s">
        <v>941</v>
      </c>
      <c r="B342" t="s">
        <v>1122</v>
      </c>
      <c r="C342" t="s">
        <v>903</v>
      </c>
      <c r="D342" t="s">
        <v>947</v>
      </c>
      <c r="F342" t="s">
        <v>1180</v>
      </c>
    </row>
    <row r="343" spans="1:6" x14ac:dyDescent="0.25">
      <c r="A343" t="s">
        <v>944</v>
      </c>
      <c r="B343" t="s">
        <v>1037</v>
      </c>
      <c r="C343" t="s">
        <v>945</v>
      </c>
      <c r="D343" t="s">
        <v>874</v>
      </c>
      <c r="F343" t="s">
        <v>1177</v>
      </c>
    </row>
    <row r="344" spans="1:6" x14ac:dyDescent="0.25">
      <c r="A344" t="s">
        <v>944</v>
      </c>
      <c r="B344" t="s">
        <v>1038</v>
      </c>
      <c r="C344" t="s">
        <v>887</v>
      </c>
      <c r="D344" t="s">
        <v>874</v>
      </c>
      <c r="F344" t="s">
        <v>1177</v>
      </c>
    </row>
    <row r="345" spans="1:6" x14ac:dyDescent="0.25">
      <c r="A345" t="s">
        <v>944</v>
      </c>
      <c r="B345" t="s">
        <v>1098</v>
      </c>
      <c r="C345" t="s">
        <v>886</v>
      </c>
      <c r="D345" t="s">
        <v>874</v>
      </c>
      <c r="F345" t="s">
        <v>1099</v>
      </c>
    </row>
    <row r="346" spans="1:6" x14ac:dyDescent="0.25">
      <c r="A346" t="s">
        <v>944</v>
      </c>
      <c r="B346" t="s">
        <v>1060</v>
      </c>
      <c r="C346" t="s">
        <v>946</v>
      </c>
      <c r="D346" t="s">
        <v>874</v>
      </c>
      <c r="F346" t="s">
        <v>1178</v>
      </c>
    </row>
    <row r="347" spans="1:6" x14ac:dyDescent="0.25">
      <c r="A347" t="s">
        <v>944</v>
      </c>
      <c r="B347" t="s">
        <v>996</v>
      </c>
      <c r="C347" t="s">
        <v>867</v>
      </c>
      <c r="D347" t="s">
        <v>874</v>
      </c>
      <c r="F347" t="s">
        <v>1179</v>
      </c>
    </row>
    <row r="348" spans="1:6" x14ac:dyDescent="0.25">
      <c r="A348" t="s">
        <v>944</v>
      </c>
      <c r="B348" t="s">
        <v>1097</v>
      </c>
      <c r="C348" t="s">
        <v>870</v>
      </c>
      <c r="D348" t="s">
        <v>874</v>
      </c>
      <c r="F348" t="s">
        <v>1179</v>
      </c>
    </row>
    <row r="349" spans="1:6" x14ac:dyDescent="0.25">
      <c r="A349" t="s">
        <v>948</v>
      </c>
      <c r="B349" t="s">
        <v>1045</v>
      </c>
      <c r="C349" t="s">
        <v>943</v>
      </c>
      <c r="D349" t="s">
        <v>937</v>
      </c>
      <c r="F349" t="s">
        <v>1178</v>
      </c>
    </row>
    <row r="350" spans="1:6" x14ac:dyDescent="0.25">
      <c r="A350" t="s">
        <v>948</v>
      </c>
      <c r="B350" t="s">
        <v>1120</v>
      </c>
      <c r="C350" t="s">
        <v>950</v>
      </c>
      <c r="D350" t="s">
        <v>947</v>
      </c>
      <c r="F350" t="s">
        <v>1175</v>
      </c>
    </row>
    <row r="351" spans="1:6" x14ac:dyDescent="0.25">
      <c r="A351" t="s">
        <v>948</v>
      </c>
      <c r="B351" t="s">
        <v>1039</v>
      </c>
      <c r="C351" t="s">
        <v>949</v>
      </c>
      <c r="D351" t="s">
        <v>947</v>
      </c>
      <c r="F351" t="s">
        <v>1180</v>
      </c>
    </row>
    <row r="352" spans="1:6" x14ac:dyDescent="0.25">
      <c r="A352" t="s">
        <v>948</v>
      </c>
      <c r="B352" t="s">
        <v>1122</v>
      </c>
      <c r="C352" t="s">
        <v>903</v>
      </c>
      <c r="D352" t="s">
        <v>947</v>
      </c>
      <c r="F352" t="s">
        <v>1180</v>
      </c>
    </row>
    <row r="353" spans="1:6" x14ac:dyDescent="0.25">
      <c r="A353" t="s">
        <v>948</v>
      </c>
      <c r="B353" t="s">
        <v>1000</v>
      </c>
      <c r="C353" t="s">
        <v>933</v>
      </c>
      <c r="D353" t="s">
        <v>929</v>
      </c>
      <c r="F353" t="s">
        <v>1180</v>
      </c>
    </row>
    <row r="354" spans="1:6" x14ac:dyDescent="0.25">
      <c r="A354" t="s">
        <v>1182</v>
      </c>
      <c r="B354" t="s">
        <v>1020</v>
      </c>
      <c r="C354" t="s">
        <v>888</v>
      </c>
      <c r="D354" t="s">
        <v>962</v>
      </c>
      <c r="F354" t="s">
        <v>1169</v>
      </c>
    </row>
    <row r="355" spans="1:6" x14ac:dyDescent="0.25">
      <c r="A355" t="s">
        <v>1182</v>
      </c>
      <c r="B355" t="s">
        <v>984</v>
      </c>
      <c r="C355" t="s">
        <v>843</v>
      </c>
      <c r="D355" t="s">
        <v>871</v>
      </c>
      <c r="F355" t="s">
        <v>1169</v>
      </c>
    </row>
    <row r="356" spans="1:6" x14ac:dyDescent="0.25">
      <c r="A356" t="s">
        <v>1182</v>
      </c>
      <c r="B356" t="s">
        <v>1075</v>
      </c>
      <c r="C356" t="s">
        <v>889</v>
      </c>
      <c r="D356" t="s">
        <v>962</v>
      </c>
      <c r="F356" t="s">
        <v>1169</v>
      </c>
    </row>
    <row r="357" spans="1:6" x14ac:dyDescent="0.25">
      <c r="A357" t="s">
        <v>1182</v>
      </c>
      <c r="B357" t="s">
        <v>1114</v>
      </c>
      <c r="C357" t="s">
        <v>891</v>
      </c>
      <c r="D357" t="s">
        <v>962</v>
      </c>
      <c r="F357" t="s">
        <v>1115</v>
      </c>
    </row>
    <row r="358" spans="1:6" x14ac:dyDescent="0.25">
      <c r="A358" t="s">
        <v>1182</v>
      </c>
      <c r="B358" t="s">
        <v>1122</v>
      </c>
      <c r="C358" t="s">
        <v>903</v>
      </c>
      <c r="D358" t="s">
        <v>947</v>
      </c>
      <c r="F358" t="s">
        <v>1172</v>
      </c>
    </row>
    <row r="359" spans="1:6" x14ac:dyDescent="0.25">
      <c r="A359" t="s">
        <v>742</v>
      </c>
    </row>
    <row r="360" spans="1:6" x14ac:dyDescent="0.25">
      <c r="A360" t="s">
        <v>1183</v>
      </c>
      <c r="B360" t="s">
        <v>986</v>
      </c>
      <c r="C360" t="s">
        <v>890</v>
      </c>
      <c r="D360" t="s">
        <v>962</v>
      </c>
      <c r="F360" t="s">
        <v>1169</v>
      </c>
    </row>
    <row r="361" spans="1:6" x14ac:dyDescent="0.25">
      <c r="A361" t="s">
        <v>1183</v>
      </c>
      <c r="B361" t="s">
        <v>1116</v>
      </c>
      <c r="C361" t="s">
        <v>845</v>
      </c>
      <c r="D361" t="s">
        <v>871</v>
      </c>
      <c r="F361" t="s">
        <v>1169</v>
      </c>
    </row>
    <row r="362" spans="1:6" x14ac:dyDescent="0.25">
      <c r="A362" t="s">
        <v>1183</v>
      </c>
      <c r="B362" t="s">
        <v>1103</v>
      </c>
      <c r="C362" t="s">
        <v>920</v>
      </c>
      <c r="D362" t="s">
        <v>871</v>
      </c>
      <c r="F362" t="s">
        <v>1168</v>
      </c>
    </row>
    <row r="363" spans="1:6" x14ac:dyDescent="0.25">
      <c r="A363" t="s">
        <v>1183</v>
      </c>
      <c r="B363" t="s">
        <v>1156</v>
      </c>
      <c r="C363" t="s">
        <v>895</v>
      </c>
      <c r="D363" t="s">
        <v>963</v>
      </c>
      <c r="F363" t="s">
        <v>1168</v>
      </c>
    </row>
    <row r="364" spans="1:6" x14ac:dyDescent="0.25">
      <c r="A364" t="s">
        <v>1183</v>
      </c>
      <c r="B364" t="s">
        <v>1070</v>
      </c>
      <c r="C364" t="s">
        <v>898</v>
      </c>
      <c r="D364" t="s">
        <v>873</v>
      </c>
      <c r="F364" t="s">
        <v>1071</v>
      </c>
    </row>
    <row r="365" spans="1:6" x14ac:dyDescent="0.25">
      <c r="A365" t="s">
        <v>742</v>
      </c>
    </row>
    <row r="366" spans="1:6" x14ac:dyDescent="0.25">
      <c r="A366" t="s">
        <v>1184</v>
      </c>
      <c r="B366" t="s">
        <v>1022</v>
      </c>
      <c r="C366" t="s">
        <v>844</v>
      </c>
      <c r="D366" t="s">
        <v>871</v>
      </c>
      <c r="F366" t="s">
        <v>1169</v>
      </c>
    </row>
    <row r="367" spans="1:6" x14ac:dyDescent="0.25">
      <c r="A367" t="s">
        <v>1184</v>
      </c>
      <c r="B367" t="s">
        <v>1079</v>
      </c>
      <c r="C367" t="s">
        <v>922</v>
      </c>
      <c r="D367" t="s">
        <v>871</v>
      </c>
      <c r="F367" t="s">
        <v>1169</v>
      </c>
    </row>
    <row r="368" spans="1:6" x14ac:dyDescent="0.25">
      <c r="A368" t="s">
        <v>1184</v>
      </c>
      <c r="B368" t="s">
        <v>1061</v>
      </c>
      <c r="C368" t="s">
        <v>896</v>
      </c>
      <c r="D368" t="s">
        <v>963</v>
      </c>
      <c r="F368" t="s">
        <v>1062</v>
      </c>
    </row>
    <row r="369" spans="1:6" x14ac:dyDescent="0.25">
      <c r="A369" t="s">
        <v>1184</v>
      </c>
      <c r="B369" t="s">
        <v>1055</v>
      </c>
      <c r="C369" t="s">
        <v>897</v>
      </c>
      <c r="D369" t="s">
        <v>873</v>
      </c>
      <c r="F369" t="s">
        <v>1056</v>
      </c>
    </row>
    <row r="370" spans="1:6" x14ac:dyDescent="0.25">
      <c r="A370" t="s">
        <v>1184</v>
      </c>
      <c r="B370" t="s">
        <v>1122</v>
      </c>
      <c r="C370" t="s">
        <v>903</v>
      </c>
      <c r="D370" t="s">
        <v>947</v>
      </c>
      <c r="F370" t="s">
        <v>1172</v>
      </c>
    </row>
    <row r="372" spans="1:6" x14ac:dyDescent="0.25">
      <c r="A372" t="s">
        <v>1185</v>
      </c>
      <c r="B372" t="s">
        <v>1061</v>
      </c>
      <c r="C372" t="s">
        <v>896</v>
      </c>
      <c r="D372" t="s">
        <v>963</v>
      </c>
      <c r="F372" t="s">
        <v>1062</v>
      </c>
    </row>
    <row r="373" spans="1:6" x14ac:dyDescent="0.25">
      <c r="A373" t="s">
        <v>1185</v>
      </c>
      <c r="B373" t="s">
        <v>1156</v>
      </c>
      <c r="C373" t="s">
        <v>895</v>
      </c>
      <c r="D373" t="s">
        <v>963</v>
      </c>
      <c r="F373" t="s">
        <v>1168</v>
      </c>
    </row>
    <row r="374" spans="1:6" x14ac:dyDescent="0.25">
      <c r="A374" t="s">
        <v>1185</v>
      </c>
      <c r="B374" t="s">
        <v>1113</v>
      </c>
      <c r="C374" t="s">
        <v>829</v>
      </c>
      <c r="D374" t="s">
        <v>816</v>
      </c>
      <c r="F374" t="s">
        <v>1168</v>
      </c>
    </row>
    <row r="375" spans="1:6" x14ac:dyDescent="0.25">
      <c r="A375" t="s">
        <v>1185</v>
      </c>
      <c r="B375" t="s">
        <v>988</v>
      </c>
      <c r="C375" t="s">
        <v>812</v>
      </c>
      <c r="D375" t="s">
        <v>803</v>
      </c>
      <c r="F375" t="s">
        <v>989</v>
      </c>
    </row>
    <row r="376" spans="1:6" x14ac:dyDescent="0.25">
      <c r="A376" t="s">
        <v>1185</v>
      </c>
      <c r="B376" t="s">
        <v>1063</v>
      </c>
      <c r="C376" t="s">
        <v>819</v>
      </c>
      <c r="D376" t="s">
        <v>816</v>
      </c>
      <c r="F376" t="s">
        <v>1064</v>
      </c>
    </row>
    <row r="377" spans="1:6" x14ac:dyDescent="0.25">
      <c r="A377" t="s">
        <v>742</v>
      </c>
    </row>
    <row r="378" spans="1:6" x14ac:dyDescent="0.25">
      <c r="A378" t="s">
        <v>1186</v>
      </c>
      <c r="B378" t="s">
        <v>1138</v>
      </c>
      <c r="C378" t="s">
        <v>826</v>
      </c>
      <c r="D378" t="s">
        <v>871</v>
      </c>
      <c r="E378" t="s">
        <v>816</v>
      </c>
      <c r="F378" t="s">
        <v>1170</v>
      </c>
    </row>
    <row r="379" spans="1:6" x14ac:dyDescent="0.25">
      <c r="A379" t="s">
        <v>1186</v>
      </c>
      <c r="B379" t="s">
        <v>1088</v>
      </c>
      <c r="C379" t="s">
        <v>848</v>
      </c>
      <c r="D379" t="s">
        <v>871</v>
      </c>
      <c r="F379" t="s">
        <v>1089</v>
      </c>
    </row>
    <row r="380" spans="1:6" x14ac:dyDescent="0.25">
      <c r="A380" t="s">
        <v>1186</v>
      </c>
      <c r="B380" t="s">
        <v>1117</v>
      </c>
      <c r="C380" t="s">
        <v>864</v>
      </c>
      <c r="D380" t="s">
        <v>960</v>
      </c>
      <c r="F380" t="s">
        <v>1118</v>
      </c>
    </row>
    <row r="381" spans="1:6" x14ac:dyDescent="0.25">
      <c r="A381" t="s">
        <v>1186</v>
      </c>
      <c r="B381" t="s">
        <v>1157</v>
      </c>
      <c r="C381" t="s">
        <v>883</v>
      </c>
      <c r="D381" t="s">
        <v>929</v>
      </c>
      <c r="F381" t="s">
        <v>1168</v>
      </c>
    </row>
    <row r="382" spans="1:6" x14ac:dyDescent="0.25">
      <c r="A382" t="s">
        <v>1186</v>
      </c>
      <c r="B382" t="s">
        <v>1136</v>
      </c>
      <c r="C382" t="s">
        <v>908</v>
      </c>
      <c r="D382" t="s">
        <v>873</v>
      </c>
      <c r="F382" t="s">
        <v>1137</v>
      </c>
    </row>
    <row r="384" spans="1:6" x14ac:dyDescent="0.25">
      <c r="A384" t="s">
        <v>1187</v>
      </c>
      <c r="B384" t="s">
        <v>1026</v>
      </c>
      <c r="C384" t="s">
        <v>827</v>
      </c>
      <c r="D384" t="s">
        <v>816</v>
      </c>
      <c r="F384" t="s">
        <v>1027</v>
      </c>
    </row>
    <row r="385" spans="1:6" x14ac:dyDescent="0.25">
      <c r="A385" t="s">
        <v>1187</v>
      </c>
      <c r="B385" t="s">
        <v>1058</v>
      </c>
      <c r="C385" t="s">
        <v>828</v>
      </c>
      <c r="D385" t="s">
        <v>816</v>
      </c>
      <c r="F385" t="s">
        <v>1059</v>
      </c>
    </row>
    <row r="386" spans="1:6" x14ac:dyDescent="0.25">
      <c r="A386" t="s">
        <v>1187</v>
      </c>
      <c r="B386" t="s">
        <v>1138</v>
      </c>
      <c r="C386" t="s">
        <v>826</v>
      </c>
      <c r="D386" t="s">
        <v>871</v>
      </c>
      <c r="E386" t="s">
        <v>816</v>
      </c>
      <c r="F386" t="s">
        <v>1170</v>
      </c>
    </row>
    <row r="387" spans="1:6" x14ac:dyDescent="0.25">
      <c r="A387" t="s">
        <v>1187</v>
      </c>
      <c r="B387" t="s">
        <v>1088</v>
      </c>
      <c r="C387" t="s">
        <v>848</v>
      </c>
      <c r="D387" t="s">
        <v>871</v>
      </c>
      <c r="F387" t="s">
        <v>1089</v>
      </c>
    </row>
    <row r="388" spans="1:6" x14ac:dyDescent="0.25">
      <c r="A388" t="s">
        <v>1187</v>
      </c>
      <c r="B388" t="s">
        <v>1070</v>
      </c>
      <c r="C388" t="s">
        <v>898</v>
      </c>
      <c r="D388" t="s">
        <v>873</v>
      </c>
      <c r="F388" t="s">
        <v>1071</v>
      </c>
    </row>
    <row r="390" spans="1:6" x14ac:dyDescent="0.25">
      <c r="A390" t="s">
        <v>1188</v>
      </c>
      <c r="B390" t="s">
        <v>969</v>
      </c>
      <c r="C390" t="s">
        <v>820</v>
      </c>
      <c r="D390" t="s">
        <v>816</v>
      </c>
      <c r="F390" t="s">
        <v>1170</v>
      </c>
    </row>
    <row r="391" spans="1:6" x14ac:dyDescent="0.25">
      <c r="A391" t="s">
        <v>1188</v>
      </c>
      <c r="B391" t="s">
        <v>1080</v>
      </c>
      <c r="C391" t="s">
        <v>849</v>
      </c>
      <c r="D391" t="s">
        <v>871</v>
      </c>
      <c r="F391" t="s">
        <v>1170</v>
      </c>
    </row>
    <row r="392" spans="1:6" x14ac:dyDescent="0.25">
      <c r="A392" t="s">
        <v>1188</v>
      </c>
      <c r="B392" t="s">
        <v>1008</v>
      </c>
      <c r="C392" t="s">
        <v>822</v>
      </c>
      <c r="D392" t="s">
        <v>816</v>
      </c>
      <c r="F392" t="s">
        <v>1009</v>
      </c>
    </row>
    <row r="393" spans="1:6" x14ac:dyDescent="0.25">
      <c r="A393" t="s">
        <v>1188</v>
      </c>
      <c r="B393" t="s">
        <v>1162</v>
      </c>
      <c r="C393" t="s">
        <v>831</v>
      </c>
      <c r="D393" t="s">
        <v>816</v>
      </c>
      <c r="F393" t="s">
        <v>1170</v>
      </c>
    </row>
    <row r="394" spans="1:6" x14ac:dyDescent="0.25">
      <c r="A394" t="s">
        <v>1188</v>
      </c>
      <c r="B394" t="s">
        <v>1104</v>
      </c>
      <c r="C394" t="s">
        <v>834</v>
      </c>
      <c r="D394" t="s">
        <v>816</v>
      </c>
      <c r="F394" t="s">
        <v>1170</v>
      </c>
    </row>
    <row r="396" spans="1:6" x14ac:dyDescent="0.25">
      <c r="A396" t="s">
        <v>1189</v>
      </c>
      <c r="B396" t="s">
        <v>1008</v>
      </c>
      <c r="C396" t="s">
        <v>822</v>
      </c>
      <c r="D396" t="s">
        <v>816</v>
      </c>
      <c r="F396" t="s">
        <v>1009</v>
      </c>
    </row>
    <row r="397" spans="1:6" x14ac:dyDescent="0.25">
      <c r="A397" t="s">
        <v>1189</v>
      </c>
      <c r="B397" t="s">
        <v>1010</v>
      </c>
      <c r="C397" t="s">
        <v>851</v>
      </c>
      <c r="D397" t="s">
        <v>871</v>
      </c>
      <c r="F397" t="s">
        <v>1011</v>
      </c>
    </row>
    <row r="398" spans="1:6" x14ac:dyDescent="0.25">
      <c r="A398" t="s">
        <v>1189</v>
      </c>
      <c r="B398" t="s">
        <v>1036</v>
      </c>
      <c r="C398" t="s">
        <v>909</v>
      </c>
      <c r="D398" t="s">
        <v>873</v>
      </c>
      <c r="F398" t="s">
        <v>1170</v>
      </c>
    </row>
    <row r="399" spans="1:6" x14ac:dyDescent="0.25">
      <c r="A399" t="s">
        <v>1189</v>
      </c>
      <c r="B399" t="s">
        <v>1070</v>
      </c>
      <c r="C399" t="s">
        <v>898</v>
      </c>
      <c r="D399" t="s">
        <v>873</v>
      </c>
      <c r="F399" t="s">
        <v>1071</v>
      </c>
    </row>
    <row r="400" spans="1:6" x14ac:dyDescent="0.25">
      <c r="A400" t="s">
        <v>1189</v>
      </c>
      <c r="B400" t="s">
        <v>1141</v>
      </c>
      <c r="C400" t="s">
        <v>904</v>
      </c>
      <c r="D400" t="s">
        <v>873</v>
      </c>
      <c r="F400" t="s">
        <v>1142</v>
      </c>
    </row>
    <row r="402" spans="1:6" x14ac:dyDescent="0.25">
      <c r="A402" t="s">
        <v>1190</v>
      </c>
      <c r="B402" t="s">
        <v>1082</v>
      </c>
      <c r="C402" t="s">
        <v>823</v>
      </c>
      <c r="D402" t="s">
        <v>816</v>
      </c>
      <c r="F402" t="s">
        <v>1083</v>
      </c>
    </row>
    <row r="403" spans="1:6" x14ac:dyDescent="0.25">
      <c r="A403" t="s">
        <v>1190</v>
      </c>
      <c r="B403" t="s">
        <v>1081</v>
      </c>
      <c r="C403" t="s">
        <v>878</v>
      </c>
      <c r="D403" t="s">
        <v>961</v>
      </c>
      <c r="F403" t="s">
        <v>1194</v>
      </c>
    </row>
    <row r="404" spans="1:6" x14ac:dyDescent="0.25">
      <c r="A404" t="s">
        <v>1190</v>
      </c>
      <c r="B404" t="s">
        <v>1023</v>
      </c>
      <c r="C404" t="s">
        <v>824</v>
      </c>
      <c r="D404" t="s">
        <v>816</v>
      </c>
      <c r="F404" t="s">
        <v>1194</v>
      </c>
    </row>
    <row r="405" spans="1:6" x14ac:dyDescent="0.25">
      <c r="A405" t="s">
        <v>1190</v>
      </c>
      <c r="B405" t="s">
        <v>1148</v>
      </c>
      <c r="C405" t="s">
        <v>825</v>
      </c>
      <c r="D405" t="s">
        <v>816</v>
      </c>
      <c r="F405" t="s">
        <v>1149</v>
      </c>
    </row>
    <row r="406" spans="1:6" x14ac:dyDescent="0.25">
      <c r="A406" t="s">
        <v>1190</v>
      </c>
      <c r="B406" t="s">
        <v>1140</v>
      </c>
      <c r="C406" t="s">
        <v>912</v>
      </c>
      <c r="D406" t="s">
        <v>816</v>
      </c>
      <c r="F406" t="s">
        <v>1170</v>
      </c>
    </row>
    <row r="408" spans="1:6" x14ac:dyDescent="0.25">
      <c r="A408" t="s">
        <v>1191</v>
      </c>
      <c r="B408" t="s">
        <v>1163</v>
      </c>
      <c r="C408" t="s">
        <v>821</v>
      </c>
      <c r="D408" t="s">
        <v>816</v>
      </c>
      <c r="F408" t="s">
        <v>1170</v>
      </c>
    </row>
    <row r="409" spans="1:6" x14ac:dyDescent="0.25">
      <c r="A409" t="s">
        <v>1191</v>
      </c>
      <c r="B409" t="s">
        <v>1145</v>
      </c>
      <c r="C409" t="s">
        <v>913</v>
      </c>
      <c r="D409" t="s">
        <v>816</v>
      </c>
      <c r="F409" t="s">
        <v>1170</v>
      </c>
    </row>
    <row r="410" spans="1:6" x14ac:dyDescent="0.25">
      <c r="A410" t="s">
        <v>1191</v>
      </c>
      <c r="B410" t="s">
        <v>1093</v>
      </c>
      <c r="C410" t="s">
        <v>911</v>
      </c>
      <c r="D410" t="s">
        <v>965</v>
      </c>
      <c r="F410" t="s">
        <v>1094</v>
      </c>
    </row>
    <row r="411" spans="1:6" x14ac:dyDescent="0.25">
      <c r="A411" t="s">
        <v>1191</v>
      </c>
      <c r="B411" t="s">
        <v>1136</v>
      </c>
      <c r="C411" t="s">
        <v>908</v>
      </c>
      <c r="D411" t="s">
        <v>873</v>
      </c>
      <c r="F411" t="s">
        <v>1137</v>
      </c>
    </row>
    <row r="412" spans="1:6" x14ac:dyDescent="0.25">
      <c r="A412" t="s">
        <v>1191</v>
      </c>
      <c r="B412" t="s">
        <v>1036</v>
      </c>
      <c r="C412" t="s">
        <v>909</v>
      </c>
      <c r="D412" t="s">
        <v>873</v>
      </c>
      <c r="F412" t="s">
        <v>1170</v>
      </c>
    </row>
    <row r="414" spans="1:6" x14ac:dyDescent="0.25">
      <c r="A414" t="s">
        <v>1192</v>
      </c>
      <c r="B414" t="s">
        <v>1123</v>
      </c>
      <c r="C414" t="s">
        <v>830</v>
      </c>
      <c r="D414" t="s">
        <v>816</v>
      </c>
      <c r="F414" t="s">
        <v>1170</v>
      </c>
    </row>
    <row r="415" spans="1:6" x14ac:dyDescent="0.25">
      <c r="A415" t="s">
        <v>1192</v>
      </c>
      <c r="B415" t="s">
        <v>1124</v>
      </c>
      <c r="C415" t="s">
        <v>850</v>
      </c>
      <c r="D415" t="s">
        <v>871</v>
      </c>
      <c r="F415" t="s">
        <v>1125</v>
      </c>
    </row>
    <row r="416" spans="1:6" x14ac:dyDescent="0.25">
      <c r="A416" t="s">
        <v>1192</v>
      </c>
      <c r="B416" t="s">
        <v>1018</v>
      </c>
      <c r="C416" t="s">
        <v>847</v>
      </c>
      <c r="D416" t="s">
        <v>871</v>
      </c>
      <c r="F416" t="s">
        <v>1170</v>
      </c>
    </row>
    <row r="417" spans="1:6" x14ac:dyDescent="0.25">
      <c r="A417" t="s">
        <v>1192</v>
      </c>
      <c r="B417" t="s">
        <v>1019</v>
      </c>
      <c r="C417" t="s">
        <v>893</v>
      </c>
      <c r="D417" t="s">
        <v>962</v>
      </c>
      <c r="F417" t="s">
        <v>1170</v>
      </c>
    </row>
    <row r="418" spans="1:6" x14ac:dyDescent="0.25">
      <c r="A418" t="s">
        <v>1192</v>
      </c>
      <c r="B418" t="s">
        <v>1153</v>
      </c>
      <c r="C418" t="s">
        <v>837</v>
      </c>
      <c r="D418" t="s">
        <v>816</v>
      </c>
      <c r="F418" t="s">
        <v>1194</v>
      </c>
    </row>
    <row r="419" spans="1:6" x14ac:dyDescent="0.25">
      <c r="A419" t="s">
        <v>742</v>
      </c>
    </row>
    <row r="420" spans="1:6" x14ac:dyDescent="0.25">
      <c r="A420" t="s">
        <v>1193</v>
      </c>
      <c r="B420" t="s">
        <v>1055</v>
      </c>
      <c r="C420" t="s">
        <v>897</v>
      </c>
      <c r="D420" t="s">
        <v>873</v>
      </c>
      <c r="F420" t="s">
        <v>1056</v>
      </c>
    </row>
    <row r="421" spans="1:6" x14ac:dyDescent="0.25">
      <c r="A421" t="s">
        <v>1193</v>
      </c>
      <c r="B421" t="s">
        <v>1136</v>
      </c>
      <c r="C421" t="s">
        <v>908</v>
      </c>
      <c r="D421" t="s">
        <v>873</v>
      </c>
      <c r="F421" t="s">
        <v>1137</v>
      </c>
    </row>
    <row r="422" spans="1:6" x14ac:dyDescent="0.25">
      <c r="A422" t="s">
        <v>1193</v>
      </c>
      <c r="B422" t="s">
        <v>992</v>
      </c>
      <c r="C422" t="s">
        <v>860</v>
      </c>
      <c r="D422" t="s">
        <v>873</v>
      </c>
      <c r="F422" t="s">
        <v>993</v>
      </c>
    </row>
    <row r="423" spans="1:6" x14ac:dyDescent="0.25">
      <c r="A423" t="s">
        <v>1193</v>
      </c>
      <c r="B423" t="s">
        <v>1070</v>
      </c>
      <c r="C423" t="s">
        <v>898</v>
      </c>
      <c r="D423" t="s">
        <v>873</v>
      </c>
      <c r="F423" t="s">
        <v>1071</v>
      </c>
    </row>
    <row r="424" spans="1:6" x14ac:dyDescent="0.25">
      <c r="A424" t="s">
        <v>1193</v>
      </c>
      <c r="B424" t="s">
        <v>1122</v>
      </c>
      <c r="C424" t="s">
        <v>903</v>
      </c>
      <c r="D424" t="s">
        <v>947</v>
      </c>
      <c r="F424" t="s">
        <v>1172</v>
      </c>
    </row>
    <row r="425" spans="1:6" x14ac:dyDescent="0.25">
      <c r="A425" t="s">
        <v>1195</v>
      </c>
      <c r="B425" t="s">
        <v>1051</v>
      </c>
      <c r="C425" t="s">
        <v>833</v>
      </c>
      <c r="D425" t="s">
        <v>934</v>
      </c>
      <c r="E425" t="s">
        <v>1171</v>
      </c>
      <c r="F425" t="s">
        <v>1052</v>
      </c>
    </row>
    <row r="426" spans="1:6" x14ac:dyDescent="0.25">
      <c r="A426" t="s">
        <v>1195</v>
      </c>
      <c r="B426" t="s">
        <v>1101</v>
      </c>
      <c r="C426" t="s">
        <v>875</v>
      </c>
      <c r="D426" t="s">
        <v>872</v>
      </c>
      <c r="F426" t="s">
        <v>1102</v>
      </c>
    </row>
    <row r="427" spans="1:6" x14ac:dyDescent="0.25">
      <c r="A427" t="s">
        <v>1195</v>
      </c>
      <c r="B427" t="s">
        <v>1133</v>
      </c>
      <c r="C427" t="s">
        <v>876</v>
      </c>
      <c r="D427" t="s">
        <v>872</v>
      </c>
      <c r="F427" t="s">
        <v>1134</v>
      </c>
    </row>
    <row r="428" spans="1:6" x14ac:dyDescent="0.25">
      <c r="A428" t="s">
        <v>1195</v>
      </c>
      <c r="B428" t="s">
        <v>1086</v>
      </c>
      <c r="C428" t="s">
        <v>861</v>
      </c>
      <c r="D428" t="s">
        <v>873</v>
      </c>
      <c r="F428" t="s">
        <v>1087</v>
      </c>
    </row>
    <row r="429" spans="1:6" x14ac:dyDescent="0.25">
      <c r="A429" t="s">
        <v>1195</v>
      </c>
      <c r="B429" t="s">
        <v>1078</v>
      </c>
      <c r="C429" t="s">
        <v>926</v>
      </c>
      <c r="D429" t="s">
        <v>872</v>
      </c>
      <c r="F429" t="s">
        <v>1174</v>
      </c>
    </row>
    <row r="430" spans="1:6" x14ac:dyDescent="0.25">
      <c r="F430" t="s">
        <v>742</v>
      </c>
    </row>
    <row r="431" spans="1:6" x14ac:dyDescent="0.25">
      <c r="A431" t="s">
        <v>1196</v>
      </c>
      <c r="B431" t="s">
        <v>975</v>
      </c>
      <c r="C431" t="s">
        <v>862</v>
      </c>
      <c r="D431" t="s">
        <v>873</v>
      </c>
      <c r="F431" t="s">
        <v>976</v>
      </c>
    </row>
    <row r="432" spans="1:6" x14ac:dyDescent="0.25">
      <c r="A432" t="s">
        <v>1196</v>
      </c>
      <c r="B432" t="s">
        <v>992</v>
      </c>
      <c r="C432" t="s">
        <v>860</v>
      </c>
      <c r="D432" t="s">
        <v>873</v>
      </c>
      <c r="F432" t="s">
        <v>993</v>
      </c>
    </row>
    <row r="433" spans="1:6" x14ac:dyDescent="0.25">
      <c r="A433" t="s">
        <v>1196</v>
      </c>
      <c r="B433" t="s">
        <v>1150</v>
      </c>
      <c r="C433" t="s">
        <v>809</v>
      </c>
      <c r="D433" t="s">
        <v>803</v>
      </c>
      <c r="F433" t="s">
        <v>1151</v>
      </c>
    </row>
    <row r="434" spans="1:6" x14ac:dyDescent="0.25">
      <c r="A434" t="s">
        <v>1196</v>
      </c>
      <c r="B434" t="s">
        <v>1100</v>
      </c>
      <c r="C434" t="s">
        <v>882</v>
      </c>
      <c r="D434" t="s">
        <v>929</v>
      </c>
      <c r="F434" t="s">
        <v>1197</v>
      </c>
    </row>
    <row r="435" spans="1:6" x14ac:dyDescent="0.25">
      <c r="A435" t="s">
        <v>1196</v>
      </c>
      <c r="B435" t="s">
        <v>1068</v>
      </c>
      <c r="C435" t="s">
        <v>866</v>
      </c>
      <c r="D435" t="s">
        <v>960</v>
      </c>
      <c r="F435" t="s">
        <v>1069</v>
      </c>
    </row>
    <row r="436" spans="1:6" x14ac:dyDescent="0.25">
      <c r="F436" t="s">
        <v>742</v>
      </c>
    </row>
    <row r="437" spans="1:6" x14ac:dyDescent="0.25">
      <c r="A437" t="s">
        <v>1198</v>
      </c>
      <c r="B437" t="s">
        <v>1105</v>
      </c>
      <c r="C437" t="s">
        <v>931</v>
      </c>
      <c r="D437" t="s">
        <v>929</v>
      </c>
      <c r="F437" t="s">
        <v>1177</v>
      </c>
    </row>
    <row r="438" spans="1:6" x14ac:dyDescent="0.25">
      <c r="A438" t="s">
        <v>1198</v>
      </c>
      <c r="B438" t="s">
        <v>1047</v>
      </c>
      <c r="C438" t="s">
        <v>932</v>
      </c>
      <c r="D438" t="s">
        <v>929</v>
      </c>
      <c r="F438" t="s">
        <v>1175</v>
      </c>
    </row>
    <row r="439" spans="1:6" x14ac:dyDescent="0.25">
      <c r="A439" t="s">
        <v>1198</v>
      </c>
      <c r="B439" t="s">
        <v>1000</v>
      </c>
      <c r="C439" t="s">
        <v>933</v>
      </c>
      <c r="D439" t="s">
        <v>929</v>
      </c>
      <c r="F439" t="s">
        <v>1180</v>
      </c>
    </row>
    <row r="440" spans="1:6" x14ac:dyDescent="0.25">
      <c r="A440" t="s">
        <v>1198</v>
      </c>
      <c r="B440" t="s">
        <v>1040</v>
      </c>
      <c r="C440" t="s">
        <v>884</v>
      </c>
      <c r="D440" t="s">
        <v>929</v>
      </c>
      <c r="F440" t="s">
        <v>1041</v>
      </c>
    </row>
    <row r="441" spans="1:6" x14ac:dyDescent="0.25">
      <c r="A441" t="s">
        <v>1198</v>
      </c>
      <c r="B441" t="s">
        <v>1157</v>
      </c>
      <c r="C441" t="s">
        <v>883</v>
      </c>
      <c r="D441" t="s">
        <v>929</v>
      </c>
      <c r="F441" t="s">
        <v>1175</v>
      </c>
    </row>
    <row r="442" spans="1:6" x14ac:dyDescent="0.25">
      <c r="F442" t="s">
        <v>742</v>
      </c>
    </row>
    <row r="443" spans="1:6" x14ac:dyDescent="0.25">
      <c r="A443" t="s">
        <v>1199</v>
      </c>
      <c r="B443" t="s">
        <v>1114</v>
      </c>
      <c r="C443" t="s">
        <v>891</v>
      </c>
      <c r="D443" t="s">
        <v>962</v>
      </c>
      <c r="F443" t="s">
        <v>1115</v>
      </c>
    </row>
    <row r="444" spans="1:6" x14ac:dyDescent="0.25">
      <c r="A444" t="s">
        <v>1199</v>
      </c>
      <c r="B444" t="s">
        <v>1103</v>
      </c>
      <c r="C444" t="s">
        <v>920</v>
      </c>
      <c r="D444" t="s">
        <v>871</v>
      </c>
      <c r="F444" t="s">
        <v>1175</v>
      </c>
    </row>
    <row r="445" spans="1:6" x14ac:dyDescent="0.25">
      <c r="A445" t="s">
        <v>1199</v>
      </c>
      <c r="B445" t="s">
        <v>1157</v>
      </c>
      <c r="C445" t="s">
        <v>883</v>
      </c>
      <c r="D445" t="s">
        <v>929</v>
      </c>
      <c r="F445" t="s">
        <v>1175</v>
      </c>
    </row>
    <row r="446" spans="1:6" x14ac:dyDescent="0.25">
      <c r="A446" t="s">
        <v>1199</v>
      </c>
      <c r="B446" t="s">
        <v>1040</v>
      </c>
      <c r="C446" t="s">
        <v>884</v>
      </c>
      <c r="D446" t="s">
        <v>929</v>
      </c>
      <c r="F446" t="s">
        <v>1041</v>
      </c>
    </row>
    <row r="447" spans="1:6" x14ac:dyDescent="0.25">
      <c r="A447" t="s">
        <v>1199</v>
      </c>
      <c r="B447" t="s">
        <v>1017</v>
      </c>
      <c r="C447" t="s">
        <v>936</v>
      </c>
      <c r="D447" t="s">
        <v>934</v>
      </c>
      <c r="F447" t="s">
        <v>1178</v>
      </c>
    </row>
    <row r="448" spans="1:6" x14ac:dyDescent="0.25">
      <c r="F448" t="s">
        <v>742</v>
      </c>
    </row>
    <row r="449" spans="1:6" x14ac:dyDescent="0.25">
      <c r="A449" t="s">
        <v>1200</v>
      </c>
      <c r="B449" t="s">
        <v>996</v>
      </c>
      <c r="C449" t="s">
        <v>867</v>
      </c>
      <c r="D449" t="s">
        <v>874</v>
      </c>
      <c r="F449" t="s">
        <v>1179</v>
      </c>
    </row>
    <row r="450" spans="1:6" x14ac:dyDescent="0.25">
      <c r="A450" t="s">
        <v>1200</v>
      </c>
      <c r="B450" t="s">
        <v>1012</v>
      </c>
      <c r="C450" t="s">
        <v>868</v>
      </c>
      <c r="D450" t="s">
        <v>874</v>
      </c>
      <c r="F450" t="s">
        <v>1179</v>
      </c>
    </row>
    <row r="451" spans="1:6" x14ac:dyDescent="0.25">
      <c r="A451" t="s">
        <v>1200</v>
      </c>
      <c r="B451" t="s">
        <v>1098</v>
      </c>
      <c r="C451" t="s">
        <v>886</v>
      </c>
      <c r="D451" t="s">
        <v>874</v>
      </c>
      <c r="F451" t="s">
        <v>1099</v>
      </c>
    </row>
    <row r="452" spans="1:6" x14ac:dyDescent="0.25">
      <c r="A452" t="s">
        <v>1200</v>
      </c>
      <c r="B452" t="s">
        <v>1038</v>
      </c>
      <c r="C452" t="s">
        <v>887</v>
      </c>
      <c r="D452" t="s">
        <v>874</v>
      </c>
      <c r="F452" t="s">
        <v>1177</v>
      </c>
    </row>
    <row r="453" spans="1:6" x14ac:dyDescent="0.25">
      <c r="A453" t="s">
        <v>1200</v>
      </c>
      <c r="B453" t="s">
        <v>1037</v>
      </c>
      <c r="C453" t="s">
        <v>945</v>
      </c>
      <c r="D453" t="s">
        <v>874</v>
      </c>
      <c r="F453" t="s">
        <v>1177</v>
      </c>
    </row>
    <row r="454" spans="1:6" x14ac:dyDescent="0.25">
      <c r="A454" t="s">
        <v>1200</v>
      </c>
      <c r="B454" t="s">
        <v>1043</v>
      </c>
      <c r="C454" t="s">
        <v>807</v>
      </c>
      <c r="D454" t="s">
        <v>803</v>
      </c>
      <c r="F454" t="s">
        <v>1044</v>
      </c>
    </row>
    <row r="455" spans="1:6" x14ac:dyDescent="0.25">
      <c r="A455" t="s">
        <v>1200</v>
      </c>
      <c r="B455" t="s">
        <v>998</v>
      </c>
      <c r="C455" t="s">
        <v>808</v>
      </c>
      <c r="D455" t="s">
        <v>803</v>
      </c>
      <c r="F455" t="s">
        <v>999</v>
      </c>
    </row>
    <row r="456" spans="1:6" x14ac:dyDescent="0.25">
      <c r="A456" t="s">
        <v>1200</v>
      </c>
      <c r="B456" t="s">
        <v>1034</v>
      </c>
      <c r="C456" t="s">
        <v>814</v>
      </c>
      <c r="D456" t="s">
        <v>803</v>
      </c>
      <c r="F456" t="s">
        <v>1035</v>
      </c>
    </row>
    <row r="457" spans="1:6" x14ac:dyDescent="0.25">
      <c r="F457" t="s">
        <v>742</v>
      </c>
    </row>
    <row r="458" spans="1:6" x14ac:dyDescent="0.25">
      <c r="A458" t="s">
        <v>1201</v>
      </c>
      <c r="B458" t="s">
        <v>971</v>
      </c>
      <c r="C458" t="s">
        <v>885</v>
      </c>
      <c r="D458" t="s">
        <v>934</v>
      </c>
      <c r="E458" t="s">
        <v>929</v>
      </c>
      <c r="F458" t="s">
        <v>1178</v>
      </c>
    </row>
    <row r="459" spans="1:6" x14ac:dyDescent="0.25">
      <c r="A459" t="s">
        <v>1201</v>
      </c>
      <c r="B459" t="s">
        <v>1049</v>
      </c>
      <c r="C459" t="s">
        <v>927</v>
      </c>
      <c r="D459" t="s">
        <v>872</v>
      </c>
      <c r="F459" t="s">
        <v>1050</v>
      </c>
    </row>
    <row r="460" spans="1:6" x14ac:dyDescent="0.25">
      <c r="A460" t="s">
        <v>1201</v>
      </c>
      <c r="B460" t="s">
        <v>1060</v>
      </c>
      <c r="C460" t="s">
        <v>946</v>
      </c>
      <c r="D460" t="s">
        <v>874</v>
      </c>
      <c r="F460" t="s">
        <v>1178</v>
      </c>
    </row>
    <row r="461" spans="1:6" x14ac:dyDescent="0.25">
      <c r="A461" t="s">
        <v>1201</v>
      </c>
      <c r="B461" t="s">
        <v>982</v>
      </c>
      <c r="C461" t="s">
        <v>869</v>
      </c>
      <c r="D461" t="s">
        <v>874</v>
      </c>
      <c r="F461" t="s">
        <v>983</v>
      </c>
    </row>
    <row r="462" spans="1:6" x14ac:dyDescent="0.25">
      <c r="A462" t="s">
        <v>1201</v>
      </c>
      <c r="B462" t="s">
        <v>1012</v>
      </c>
      <c r="C462" t="s">
        <v>868</v>
      </c>
      <c r="D462" t="s">
        <v>874</v>
      </c>
      <c r="F462" t="s">
        <v>1179</v>
      </c>
    </row>
    <row r="463" spans="1:6" x14ac:dyDescent="0.25">
      <c r="F463" t="s">
        <v>742</v>
      </c>
    </row>
    <row r="464" spans="1:6" x14ac:dyDescent="0.25">
      <c r="A464" t="s">
        <v>1202</v>
      </c>
      <c r="B464" t="s">
        <v>1082</v>
      </c>
      <c r="C464" t="s">
        <v>823</v>
      </c>
      <c r="D464" t="s">
        <v>816</v>
      </c>
      <c r="F464" t="s">
        <v>1083</v>
      </c>
    </row>
    <row r="465" spans="1:6" x14ac:dyDescent="0.25">
      <c r="A465" t="s">
        <v>1202</v>
      </c>
      <c r="B465" t="s">
        <v>1081</v>
      </c>
      <c r="C465" t="s">
        <v>878</v>
      </c>
      <c r="D465" t="s">
        <v>961</v>
      </c>
      <c r="F465" t="s">
        <v>1203</v>
      </c>
    </row>
    <row r="466" spans="1:6" x14ac:dyDescent="0.25">
      <c r="A466" t="s">
        <v>1202</v>
      </c>
      <c r="B466" t="s">
        <v>1023</v>
      </c>
      <c r="C466" t="s">
        <v>824</v>
      </c>
      <c r="D466" t="s">
        <v>816</v>
      </c>
      <c r="F466" t="s">
        <v>1203</v>
      </c>
    </row>
    <row r="467" spans="1:6" x14ac:dyDescent="0.25">
      <c r="A467" t="s">
        <v>1202</v>
      </c>
      <c r="B467" t="s">
        <v>1148</v>
      </c>
      <c r="C467" t="s">
        <v>825</v>
      </c>
      <c r="D467" t="s">
        <v>816</v>
      </c>
      <c r="F467" t="s">
        <v>1149</v>
      </c>
    </row>
    <row r="468" spans="1:6" x14ac:dyDescent="0.25">
      <c r="A468" t="s">
        <v>1202</v>
      </c>
      <c r="B468" t="s">
        <v>1126</v>
      </c>
      <c r="C468" t="s">
        <v>880</v>
      </c>
      <c r="D468" t="s">
        <v>961</v>
      </c>
      <c r="F468" t="s">
        <v>1203</v>
      </c>
    </row>
    <row r="469" spans="1:6" x14ac:dyDescent="0.25">
      <c r="A469" t="s">
        <v>1202</v>
      </c>
      <c r="B469" t="s">
        <v>1025</v>
      </c>
      <c r="C469" t="s">
        <v>881</v>
      </c>
      <c r="D469" t="s">
        <v>961</v>
      </c>
      <c r="F469" t="s">
        <v>1203</v>
      </c>
    </row>
    <row r="470" spans="1:6" x14ac:dyDescent="0.25">
      <c r="F470" t="s">
        <v>742</v>
      </c>
    </row>
    <row r="471" spans="1:6" x14ac:dyDescent="0.25">
      <c r="A471" t="s">
        <v>1204</v>
      </c>
      <c r="B471" t="s">
        <v>1001</v>
      </c>
      <c r="C471" t="s">
        <v>811</v>
      </c>
      <c r="D471" t="s">
        <v>803</v>
      </c>
      <c r="F471" t="s">
        <v>1002</v>
      </c>
    </row>
    <row r="472" spans="1:6" x14ac:dyDescent="0.25">
      <c r="A472" t="s">
        <v>1204</v>
      </c>
      <c r="B472" t="s">
        <v>1003</v>
      </c>
      <c r="C472" t="s">
        <v>910</v>
      </c>
      <c r="D472" t="s">
        <v>965</v>
      </c>
      <c r="F472" t="s">
        <v>1004</v>
      </c>
    </row>
    <row r="473" spans="1:6" x14ac:dyDescent="0.25">
      <c r="A473" t="s">
        <v>1204</v>
      </c>
      <c r="B473" t="s">
        <v>975</v>
      </c>
      <c r="C473" t="s">
        <v>862</v>
      </c>
      <c r="D473" t="s">
        <v>873</v>
      </c>
      <c r="F473" t="s">
        <v>976</v>
      </c>
    </row>
    <row r="474" spans="1:6" x14ac:dyDescent="0.25">
      <c r="A474" t="s">
        <v>1204</v>
      </c>
      <c r="B474" t="s">
        <v>998</v>
      </c>
      <c r="C474" t="s">
        <v>808</v>
      </c>
      <c r="D474" t="s">
        <v>803</v>
      </c>
      <c r="F474" t="s">
        <v>999</v>
      </c>
    </row>
    <row r="475" spans="1:6" x14ac:dyDescent="0.25">
      <c r="A475" t="s">
        <v>1204</v>
      </c>
      <c r="B475" t="s">
        <v>1049</v>
      </c>
      <c r="C475" t="s">
        <v>927</v>
      </c>
      <c r="D475" t="s">
        <v>872</v>
      </c>
      <c r="F475" t="s">
        <v>1050</v>
      </c>
    </row>
    <row r="476" spans="1:6" x14ac:dyDescent="0.25">
      <c r="A476" t="s">
        <v>1204</v>
      </c>
      <c r="B476" t="s">
        <v>1005</v>
      </c>
      <c r="C476" t="s">
        <v>877</v>
      </c>
      <c r="D476" t="s">
        <v>872</v>
      </c>
      <c r="F476" t="s">
        <v>1006</v>
      </c>
    </row>
    <row r="477" spans="1:6" x14ac:dyDescent="0.25">
      <c r="F477" t="s">
        <v>742</v>
      </c>
    </row>
    <row r="478" spans="1:6" x14ac:dyDescent="0.25">
      <c r="A478" t="s">
        <v>1205</v>
      </c>
      <c r="B478" t="s">
        <v>1008</v>
      </c>
      <c r="C478" t="s">
        <v>822</v>
      </c>
      <c r="D478" t="s">
        <v>816</v>
      </c>
      <c r="F478" t="s">
        <v>1009</v>
      </c>
    </row>
    <row r="479" spans="1:6" x14ac:dyDescent="0.25">
      <c r="A479" t="s">
        <v>1205</v>
      </c>
      <c r="B479" t="s">
        <v>1010</v>
      </c>
      <c r="C479" t="s">
        <v>851</v>
      </c>
      <c r="D479" t="s">
        <v>871</v>
      </c>
      <c r="F479" t="s">
        <v>1011</v>
      </c>
    </row>
    <row r="480" spans="1:6" x14ac:dyDescent="0.25">
      <c r="A480" t="s">
        <v>1205</v>
      </c>
      <c r="B480" t="s">
        <v>1084</v>
      </c>
      <c r="C480" t="s">
        <v>906</v>
      </c>
      <c r="D480" t="s">
        <v>961</v>
      </c>
      <c r="F480" t="s">
        <v>1085</v>
      </c>
    </row>
    <row r="481" spans="1:6" x14ac:dyDescent="0.25">
      <c r="A481" t="s">
        <v>1205</v>
      </c>
      <c r="B481" t="s">
        <v>1090</v>
      </c>
      <c r="C481" t="s">
        <v>852</v>
      </c>
      <c r="D481" t="s">
        <v>872</v>
      </c>
      <c r="F481" t="s">
        <v>1203</v>
      </c>
    </row>
    <row r="482" spans="1:6" x14ac:dyDescent="0.25">
      <c r="A482" t="s">
        <v>1205</v>
      </c>
      <c r="B482" t="s">
        <v>1070</v>
      </c>
      <c r="C482" t="s">
        <v>898</v>
      </c>
      <c r="D482" t="s">
        <v>873</v>
      </c>
      <c r="F482" t="s">
        <v>1071</v>
      </c>
    </row>
    <row r="483" spans="1:6" x14ac:dyDescent="0.25">
      <c r="A483" t="s">
        <v>1205</v>
      </c>
      <c r="B483" t="s">
        <v>1072</v>
      </c>
      <c r="C483" t="s">
        <v>907</v>
      </c>
      <c r="D483" t="s">
        <v>961</v>
      </c>
      <c r="F483" t="s">
        <v>1073</v>
      </c>
    </row>
    <row r="484" spans="1:6" x14ac:dyDescent="0.25">
      <c r="F484" t="s">
        <v>742</v>
      </c>
    </row>
    <row r="485" spans="1:6" x14ac:dyDescent="0.25">
      <c r="A485" t="s">
        <v>1206</v>
      </c>
      <c r="B485" t="s">
        <v>1100</v>
      </c>
      <c r="C485" t="s">
        <v>882</v>
      </c>
      <c r="D485" t="s">
        <v>929</v>
      </c>
      <c r="F485" t="s">
        <v>1175</v>
      </c>
    </row>
    <row r="486" spans="1:6" x14ac:dyDescent="0.25">
      <c r="A486" t="s">
        <v>1206</v>
      </c>
      <c r="B486" t="s">
        <v>1098</v>
      </c>
      <c r="C486" t="s">
        <v>886</v>
      </c>
      <c r="D486" t="s">
        <v>874</v>
      </c>
      <c r="F486" t="s">
        <v>1099</v>
      </c>
    </row>
    <row r="487" spans="1:6" x14ac:dyDescent="0.25">
      <c r="A487" t="s">
        <v>1206</v>
      </c>
      <c r="B487" t="s">
        <v>1038</v>
      </c>
      <c r="C487" t="s">
        <v>887</v>
      </c>
      <c r="D487" t="s">
        <v>874</v>
      </c>
      <c r="F487" t="s">
        <v>1177</v>
      </c>
    </row>
    <row r="488" spans="1:6" x14ac:dyDescent="0.25">
      <c r="A488" t="s">
        <v>1206</v>
      </c>
      <c r="B488" t="s">
        <v>1037</v>
      </c>
      <c r="C488" t="s">
        <v>945</v>
      </c>
      <c r="D488" t="s">
        <v>874</v>
      </c>
      <c r="F488" t="s">
        <v>1177</v>
      </c>
    </row>
    <row r="489" spans="1:6" x14ac:dyDescent="0.25">
      <c r="A489" t="s">
        <v>1206</v>
      </c>
      <c r="B489" t="s">
        <v>1060</v>
      </c>
      <c r="C489" t="s">
        <v>946</v>
      </c>
      <c r="D489" t="s">
        <v>874</v>
      </c>
      <c r="F489" t="s">
        <v>1178</v>
      </c>
    </row>
    <row r="490" spans="1:6" x14ac:dyDescent="0.25">
      <c r="A490" t="s">
        <v>1206</v>
      </c>
      <c r="B490" t="s">
        <v>996</v>
      </c>
      <c r="C490" t="s">
        <v>867</v>
      </c>
      <c r="D490" t="s">
        <v>874</v>
      </c>
      <c r="F490" t="s">
        <v>1179</v>
      </c>
    </row>
    <row r="491" spans="1:6" x14ac:dyDescent="0.25">
      <c r="F491" t="s">
        <v>742</v>
      </c>
    </row>
    <row r="492" spans="1:6" x14ac:dyDescent="0.25">
      <c r="A492" t="s">
        <v>1207</v>
      </c>
      <c r="B492" t="s">
        <v>1077</v>
      </c>
      <c r="C492" t="s">
        <v>928</v>
      </c>
      <c r="D492" t="s">
        <v>872</v>
      </c>
      <c r="F492" t="s">
        <v>1174</v>
      </c>
    </row>
    <row r="493" spans="1:6" x14ac:dyDescent="0.25">
      <c r="A493" t="s">
        <v>1207</v>
      </c>
      <c r="B493" t="s">
        <v>1007</v>
      </c>
      <c r="C493" t="s">
        <v>854</v>
      </c>
      <c r="D493" t="s">
        <v>872</v>
      </c>
      <c r="F493" t="s">
        <v>1174</v>
      </c>
    </row>
    <row r="494" spans="1:6" x14ac:dyDescent="0.25">
      <c r="A494" t="s">
        <v>1207</v>
      </c>
      <c r="B494" t="s">
        <v>1049</v>
      </c>
      <c r="C494" t="s">
        <v>927</v>
      </c>
      <c r="D494" t="s">
        <v>872</v>
      </c>
      <c r="F494" t="s">
        <v>1050</v>
      </c>
    </row>
    <row r="495" spans="1:6" x14ac:dyDescent="0.25">
      <c r="A495" t="s">
        <v>1207</v>
      </c>
      <c r="B495" t="s">
        <v>1078</v>
      </c>
      <c r="C495" t="s">
        <v>926</v>
      </c>
      <c r="D495" t="s">
        <v>872</v>
      </c>
      <c r="F495" t="s">
        <v>1174</v>
      </c>
    </row>
    <row r="496" spans="1:6" x14ac:dyDescent="0.25">
      <c r="A496" t="s">
        <v>1207</v>
      </c>
      <c r="B496" t="s">
        <v>1086</v>
      </c>
      <c r="C496" t="s">
        <v>861</v>
      </c>
      <c r="D496" t="s">
        <v>873</v>
      </c>
      <c r="F496" t="s">
        <v>1087</v>
      </c>
    </row>
    <row r="497" spans="1:6" x14ac:dyDescent="0.25">
      <c r="F497" t="s">
        <v>742</v>
      </c>
    </row>
    <row r="498" spans="1:6" x14ac:dyDescent="0.25">
      <c r="A498" t="s">
        <v>1208</v>
      </c>
      <c r="B498" t="s">
        <v>1065</v>
      </c>
      <c r="C498" t="s">
        <v>855</v>
      </c>
      <c r="D498" t="s">
        <v>872</v>
      </c>
      <c r="F498" t="s">
        <v>1174</v>
      </c>
    </row>
    <row r="499" spans="1:6" x14ac:dyDescent="0.25">
      <c r="A499" t="s">
        <v>1208</v>
      </c>
      <c r="B499" t="s">
        <v>981</v>
      </c>
      <c r="C499" t="s">
        <v>853</v>
      </c>
      <c r="D499" t="s">
        <v>872</v>
      </c>
      <c r="F499" t="s">
        <v>1174</v>
      </c>
    </row>
    <row r="500" spans="1:6" x14ac:dyDescent="0.25">
      <c r="A500" t="s">
        <v>1208</v>
      </c>
      <c r="B500" t="s">
        <v>1043</v>
      </c>
      <c r="C500" t="s">
        <v>807</v>
      </c>
      <c r="D500" t="s">
        <v>803</v>
      </c>
      <c r="F500" t="s">
        <v>1044</v>
      </c>
    </row>
    <row r="501" spans="1:6" x14ac:dyDescent="0.25">
      <c r="A501" t="s">
        <v>1208</v>
      </c>
      <c r="B501" t="s">
        <v>998</v>
      </c>
      <c r="C501" t="s">
        <v>808</v>
      </c>
      <c r="D501" t="s">
        <v>803</v>
      </c>
      <c r="F501" t="s">
        <v>999</v>
      </c>
    </row>
    <row r="502" spans="1:6" x14ac:dyDescent="0.25">
      <c r="A502" t="s">
        <v>1208</v>
      </c>
      <c r="B502" t="s">
        <v>1012</v>
      </c>
      <c r="C502" t="s">
        <v>868</v>
      </c>
      <c r="D502" t="s">
        <v>874</v>
      </c>
      <c r="F502" t="s">
        <v>1179</v>
      </c>
    </row>
    <row r="503" spans="1:6" x14ac:dyDescent="0.25">
      <c r="A503" t="s">
        <v>1208</v>
      </c>
      <c r="B503" t="s">
        <v>1086</v>
      </c>
      <c r="C503" t="s">
        <v>861</v>
      </c>
      <c r="D503" t="s">
        <v>873</v>
      </c>
      <c r="F503" t="s">
        <v>1087</v>
      </c>
    </row>
    <row r="504" spans="1:6" x14ac:dyDescent="0.25">
      <c r="A504" t="s">
        <v>1208</v>
      </c>
      <c r="B504" t="s">
        <v>975</v>
      </c>
      <c r="C504" t="s">
        <v>862</v>
      </c>
      <c r="D504" t="s">
        <v>873</v>
      </c>
      <c r="F504" t="s">
        <v>976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441D3-BF89-449F-8B7B-6CA19EF1B2C3}">
  <dimension ref="A1:H2"/>
  <sheetViews>
    <sheetView workbookViewId="0">
      <selection activeCell="G1" sqref="G1:G1048576"/>
    </sheetView>
  </sheetViews>
  <sheetFormatPr defaultColWidth="18.5703125" defaultRowHeight="15" x14ac:dyDescent="0.25"/>
  <sheetData>
    <row r="1" spans="1:8" s="31" customFormat="1" ht="16.5" thickTop="1" thickBot="1" x14ac:dyDescent="0.3">
      <c r="A1" s="43" t="s">
        <v>770</v>
      </c>
      <c r="B1" s="43" t="s">
        <v>1</v>
      </c>
      <c r="C1" s="43" t="s">
        <v>768</v>
      </c>
      <c r="D1" s="43" t="s">
        <v>771</v>
      </c>
      <c r="E1" s="43" t="s">
        <v>789</v>
      </c>
      <c r="F1" s="43" t="s">
        <v>772</v>
      </c>
      <c r="G1" s="44" t="s">
        <v>790</v>
      </c>
      <c r="H1" s="43" t="s">
        <v>791</v>
      </c>
    </row>
    <row r="2" spans="1:8" ht="15.75" thickTop="1" x14ac:dyDescent="0.25"/>
  </sheetData>
  <dataValidations count="2">
    <dataValidation type="list" allowBlank="1" showInputMessage="1" showErrorMessage="1" sqref="D2:D100" xr:uid="{062DCBF6-62FE-4258-A397-77DC9B1B25AB}">
      <formula1>"Met, In Progress, Not Met"</formula1>
    </dataValidation>
    <dataValidation type="list" allowBlank="1" showInputMessage="1" showErrorMessage="1" sqref="C2:C100" xr:uid="{23678AB0-62B9-4E6A-B8F3-486A2F7A9662}">
      <formula1>SkillList</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5CD65-F049-4AD2-9FCD-93903BB87694}">
  <dimension ref="A1:H3"/>
  <sheetViews>
    <sheetView workbookViewId="0">
      <selection activeCell="I15" sqref="I15"/>
    </sheetView>
  </sheetViews>
  <sheetFormatPr defaultColWidth="22" defaultRowHeight="15" x14ac:dyDescent="0.25"/>
  <cols>
    <col min="5" max="5" width="33.42578125" customWidth="1"/>
    <col min="8" max="8" width="25.7109375" customWidth="1"/>
  </cols>
  <sheetData>
    <row r="1" spans="1:8" x14ac:dyDescent="0.25">
      <c r="A1" t="s">
        <v>778</v>
      </c>
      <c r="B1" t="s">
        <v>773</v>
      </c>
      <c r="C1" t="s">
        <v>774</v>
      </c>
      <c r="D1" t="s">
        <v>775</v>
      </c>
      <c r="E1" t="s">
        <v>776</v>
      </c>
      <c r="F1" t="s">
        <v>777</v>
      </c>
      <c r="H1" t="s">
        <v>805</v>
      </c>
    </row>
    <row r="2" spans="1:8" x14ac:dyDescent="0.25">
      <c r="H2" t="s">
        <v>803</v>
      </c>
    </row>
    <row r="3" spans="1:8" x14ac:dyDescent="0.25">
      <c r="H3" t="s">
        <v>816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81AF98-823F-4358-BB46-47D1BA6D3819}">
  <sheetPr codeName="Sheet4"/>
  <dimension ref="A1:B1"/>
  <sheetViews>
    <sheetView workbookViewId="0">
      <selection sqref="A1:B1"/>
    </sheetView>
  </sheetViews>
  <sheetFormatPr defaultRowHeight="15" x14ac:dyDescent="0.25"/>
  <sheetData>
    <row r="1" spans="1:2" x14ac:dyDescent="0.25">
      <c r="A1" t="s">
        <v>1</v>
      </c>
      <c r="B1" t="s">
        <v>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39C57-E0B3-40DD-9602-09466529A839}">
  <sheetPr codeName="Sheet5"/>
  <dimension ref="A1:B1"/>
  <sheetViews>
    <sheetView workbookViewId="0">
      <selection activeCell="P51" sqref="P51"/>
    </sheetView>
  </sheetViews>
  <sheetFormatPr defaultRowHeight="15" x14ac:dyDescent="0.25"/>
  <cols>
    <col min="1" max="1" width="15" customWidth="1"/>
  </cols>
  <sheetData>
    <row r="1" spans="1:2" x14ac:dyDescent="0.25">
      <c r="A1" t="s">
        <v>725</v>
      </c>
      <c r="B1" t="s">
        <v>722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D7323-9868-439A-AC29-6B4741D2D5B3}">
  <dimension ref="A2:D53"/>
  <sheetViews>
    <sheetView workbookViewId="0">
      <selection activeCell="L25" sqref="L25"/>
    </sheetView>
  </sheetViews>
  <sheetFormatPr defaultRowHeight="15" x14ac:dyDescent="0.25"/>
  <cols>
    <col min="2" max="2" width="72.140625" customWidth="1"/>
  </cols>
  <sheetData>
    <row r="2" spans="2:4" x14ac:dyDescent="0.25">
      <c r="B2" t="s">
        <v>1209</v>
      </c>
      <c r="D2" t="s">
        <v>1209</v>
      </c>
    </row>
    <row r="3" spans="2:4" x14ac:dyDescent="0.25">
      <c r="B3" t="s">
        <v>1210</v>
      </c>
      <c r="D3" t="s">
        <v>1210</v>
      </c>
    </row>
    <row r="4" spans="2:4" x14ac:dyDescent="0.25">
      <c r="B4" t="s">
        <v>1211</v>
      </c>
      <c r="D4" t="s">
        <v>1211</v>
      </c>
    </row>
    <row r="5" spans="2:4" x14ac:dyDescent="0.25">
      <c r="B5" t="s">
        <v>1212</v>
      </c>
      <c r="D5" t="s">
        <v>1212</v>
      </c>
    </row>
    <row r="6" spans="2:4" x14ac:dyDescent="0.25">
      <c r="B6" t="s">
        <v>1213</v>
      </c>
      <c r="D6" t="s">
        <v>1233</v>
      </c>
    </row>
    <row r="7" spans="2:4" x14ac:dyDescent="0.25">
      <c r="B7" t="s">
        <v>1214</v>
      </c>
      <c r="D7" t="s">
        <v>1214</v>
      </c>
    </row>
    <row r="8" spans="2:4" x14ac:dyDescent="0.25">
      <c r="B8" t="s">
        <v>1215</v>
      </c>
      <c r="D8" t="s">
        <v>1215</v>
      </c>
    </row>
    <row r="9" spans="2:4" x14ac:dyDescent="0.25">
      <c r="B9" t="s">
        <v>1216</v>
      </c>
      <c r="D9" t="s">
        <v>1234</v>
      </c>
    </row>
    <row r="10" spans="2:4" x14ac:dyDescent="0.25">
      <c r="B10" t="s">
        <v>1217</v>
      </c>
      <c r="D10" t="s">
        <v>1217</v>
      </c>
    </row>
    <row r="11" spans="2:4" x14ac:dyDescent="0.25">
      <c r="B11" t="s">
        <v>1218</v>
      </c>
      <c r="D11" t="s">
        <v>1235</v>
      </c>
    </row>
    <row r="12" spans="2:4" x14ac:dyDescent="0.25">
      <c r="B12" t="s">
        <v>1219</v>
      </c>
      <c r="D12" t="s">
        <v>1219</v>
      </c>
    </row>
    <row r="13" spans="2:4" x14ac:dyDescent="0.25">
      <c r="B13" t="s">
        <v>1220</v>
      </c>
      <c r="D13" t="s">
        <v>1220</v>
      </c>
    </row>
    <row r="14" spans="2:4" x14ac:dyDescent="0.25">
      <c r="B14" t="s">
        <v>1221</v>
      </c>
      <c r="D14" t="s">
        <v>1221</v>
      </c>
    </row>
    <row r="15" spans="2:4" x14ac:dyDescent="0.25">
      <c r="B15" t="s">
        <v>1222</v>
      </c>
      <c r="D15" t="s">
        <v>1222</v>
      </c>
    </row>
    <row r="16" spans="2:4" x14ac:dyDescent="0.25">
      <c r="B16" t="s">
        <v>1223</v>
      </c>
      <c r="D16" t="s">
        <v>1223</v>
      </c>
    </row>
    <row r="17" spans="1:4" x14ac:dyDescent="0.25">
      <c r="B17" t="s">
        <v>1224</v>
      </c>
      <c r="D17" t="s">
        <v>1224</v>
      </c>
    </row>
    <row r="18" spans="1:4" x14ac:dyDescent="0.25">
      <c r="B18" t="s">
        <v>1225</v>
      </c>
      <c r="D18" t="s">
        <v>1225</v>
      </c>
    </row>
    <row r="19" spans="1:4" x14ac:dyDescent="0.25">
      <c r="B19" t="s">
        <v>1226</v>
      </c>
      <c r="D19" t="s">
        <v>1226</v>
      </c>
    </row>
    <row r="20" spans="1:4" x14ac:dyDescent="0.25">
      <c r="B20" t="s">
        <v>1227</v>
      </c>
      <c r="D20" t="s">
        <v>1227</v>
      </c>
    </row>
    <row r="21" spans="1:4" x14ac:dyDescent="0.25">
      <c r="B21" t="s">
        <v>1228</v>
      </c>
      <c r="D21" t="s">
        <v>1228</v>
      </c>
    </row>
    <row r="22" spans="1:4" x14ac:dyDescent="0.25">
      <c r="B22" t="s">
        <v>1229</v>
      </c>
      <c r="D22" t="s">
        <v>1229</v>
      </c>
    </row>
    <row r="23" spans="1:4" x14ac:dyDescent="0.25">
      <c r="B23" t="s">
        <v>1230</v>
      </c>
      <c r="D23" t="s">
        <v>1230</v>
      </c>
    </row>
    <row r="24" spans="1:4" x14ac:dyDescent="0.25">
      <c r="B24" t="s">
        <v>804</v>
      </c>
      <c r="D24" t="s">
        <v>804</v>
      </c>
    </row>
    <row r="25" spans="1:4" x14ac:dyDescent="0.25">
      <c r="B25" t="s">
        <v>1231</v>
      </c>
      <c r="D25" t="s">
        <v>1231</v>
      </c>
    </row>
    <row r="26" spans="1:4" x14ac:dyDescent="0.25">
      <c r="B26" t="s">
        <v>1232</v>
      </c>
      <c r="D26" t="s">
        <v>1232</v>
      </c>
    </row>
    <row r="28" spans="1:4" x14ac:dyDescent="0.25">
      <c r="A28" t="s">
        <v>1236</v>
      </c>
    </row>
    <row r="29" spans="1:4" x14ac:dyDescent="0.25">
      <c r="B29" t="s">
        <v>1209</v>
      </c>
    </row>
    <row r="30" spans="1:4" x14ac:dyDescent="0.25">
      <c r="B30" t="s">
        <v>1210</v>
      </c>
    </row>
    <row r="31" spans="1:4" x14ac:dyDescent="0.25">
      <c r="B31" t="s">
        <v>1211</v>
      </c>
    </row>
    <row r="32" spans="1:4" x14ac:dyDescent="0.25">
      <c r="B32" t="s">
        <v>1212</v>
      </c>
    </row>
    <row r="33" spans="2:2" x14ac:dyDescent="0.25">
      <c r="B33" t="s">
        <v>1233</v>
      </c>
    </row>
    <row r="34" spans="2:2" x14ac:dyDescent="0.25">
      <c r="B34" t="s">
        <v>1214</v>
      </c>
    </row>
    <row r="35" spans="2:2" x14ac:dyDescent="0.25">
      <c r="B35" t="s">
        <v>1215</v>
      </c>
    </row>
    <row r="36" spans="2:2" x14ac:dyDescent="0.25">
      <c r="B36" t="s">
        <v>1234</v>
      </c>
    </row>
    <row r="37" spans="2:2" x14ac:dyDescent="0.25">
      <c r="B37" t="s">
        <v>1217</v>
      </c>
    </row>
    <row r="38" spans="2:2" x14ac:dyDescent="0.25">
      <c r="B38" t="s">
        <v>1235</v>
      </c>
    </row>
    <row r="39" spans="2:2" x14ac:dyDescent="0.25">
      <c r="B39" t="s">
        <v>1219</v>
      </c>
    </row>
    <row r="40" spans="2:2" x14ac:dyDescent="0.25">
      <c r="B40" t="s">
        <v>1220</v>
      </c>
    </row>
    <row r="41" spans="2:2" x14ac:dyDescent="0.25">
      <c r="B41" t="s">
        <v>1221</v>
      </c>
    </row>
    <row r="42" spans="2:2" x14ac:dyDescent="0.25">
      <c r="B42" t="s">
        <v>1222</v>
      </c>
    </row>
    <row r="43" spans="2:2" x14ac:dyDescent="0.25">
      <c r="B43" t="s">
        <v>1223</v>
      </c>
    </row>
    <row r="44" spans="2:2" x14ac:dyDescent="0.25">
      <c r="B44" t="s">
        <v>1224</v>
      </c>
    </row>
    <row r="45" spans="2:2" x14ac:dyDescent="0.25">
      <c r="B45" t="s">
        <v>1225</v>
      </c>
    </row>
    <row r="46" spans="2:2" x14ac:dyDescent="0.25">
      <c r="B46" t="s">
        <v>1226</v>
      </c>
    </row>
    <row r="47" spans="2:2" x14ac:dyDescent="0.25">
      <c r="B47" t="s">
        <v>1227</v>
      </c>
    </row>
    <row r="48" spans="2:2" x14ac:dyDescent="0.25">
      <c r="B48" t="s">
        <v>1228</v>
      </c>
    </row>
    <row r="49" spans="2:2" x14ac:dyDescent="0.25">
      <c r="B49" t="s">
        <v>1229</v>
      </c>
    </row>
    <row r="50" spans="2:2" x14ac:dyDescent="0.25">
      <c r="B50" t="s">
        <v>1230</v>
      </c>
    </row>
    <row r="51" spans="2:2" x14ac:dyDescent="0.25">
      <c r="B51" t="s">
        <v>804</v>
      </c>
    </row>
    <row r="52" spans="2:2" x14ac:dyDescent="0.25">
      <c r="B52" t="s">
        <v>1231</v>
      </c>
    </row>
    <row r="53" spans="2:2" x14ac:dyDescent="0.25">
      <c r="B53" t="s">
        <v>1232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7639D8-92A1-401B-B265-FBEA6E268632}">
  <dimension ref="A2:G107"/>
  <sheetViews>
    <sheetView workbookViewId="0">
      <selection activeCell="D3" sqref="D3"/>
    </sheetView>
  </sheetViews>
  <sheetFormatPr defaultRowHeight="15" x14ac:dyDescent="0.25"/>
  <cols>
    <col min="1" max="1" width="12.28515625" customWidth="1"/>
    <col min="2" max="2" width="38.140625" customWidth="1"/>
    <col min="4" max="4" width="100.140625" bestFit="1" customWidth="1"/>
    <col min="5" max="5" width="62.42578125" bestFit="1" customWidth="1"/>
    <col min="6" max="6" width="17.28515625" bestFit="1" customWidth="1"/>
  </cols>
  <sheetData>
    <row r="2" spans="1:7" x14ac:dyDescent="0.25">
      <c r="A2" t="s">
        <v>1</v>
      </c>
      <c r="B2" t="s">
        <v>2</v>
      </c>
      <c r="C2" t="s">
        <v>793</v>
      </c>
      <c r="D2" t="s">
        <v>1238</v>
      </c>
      <c r="E2" t="s">
        <v>768</v>
      </c>
      <c r="F2" t="s">
        <v>769</v>
      </c>
      <c r="G2" t="s">
        <v>783</v>
      </c>
    </row>
    <row r="3" spans="1:7" x14ac:dyDescent="0.25">
      <c r="A3">
        <v>10601</v>
      </c>
      <c r="B3" t="s">
        <v>219</v>
      </c>
      <c r="C3">
        <v>2</v>
      </c>
      <c r="D3" t="s">
        <v>1239</v>
      </c>
      <c r="E3" t="s">
        <v>1240</v>
      </c>
      <c r="F3" t="s">
        <v>792</v>
      </c>
      <c r="G3">
        <v>2</v>
      </c>
    </row>
    <row r="4" spans="1:7" x14ac:dyDescent="0.25">
      <c r="A4">
        <v>10601</v>
      </c>
      <c r="B4" t="s">
        <v>219</v>
      </c>
      <c r="C4">
        <v>2</v>
      </c>
      <c r="D4" t="s">
        <v>1241</v>
      </c>
      <c r="E4" t="s">
        <v>1242</v>
      </c>
      <c r="F4" t="s">
        <v>792</v>
      </c>
      <c r="G4">
        <v>2</v>
      </c>
    </row>
    <row r="5" spans="1:7" x14ac:dyDescent="0.25">
      <c r="A5">
        <v>10601</v>
      </c>
      <c r="B5" t="s">
        <v>219</v>
      </c>
      <c r="C5">
        <v>2</v>
      </c>
      <c r="D5" t="s">
        <v>1243</v>
      </c>
      <c r="E5" t="s">
        <v>1244</v>
      </c>
      <c r="F5" t="s">
        <v>792</v>
      </c>
      <c r="G5">
        <v>2</v>
      </c>
    </row>
    <row r="6" spans="1:7" x14ac:dyDescent="0.25">
      <c r="A6">
        <v>10601</v>
      </c>
      <c r="B6" t="s">
        <v>219</v>
      </c>
      <c r="C6">
        <v>2</v>
      </c>
      <c r="D6" t="s">
        <v>1245</v>
      </c>
      <c r="E6" t="s">
        <v>1246</v>
      </c>
      <c r="F6" t="s">
        <v>792</v>
      </c>
      <c r="G6">
        <v>2</v>
      </c>
    </row>
    <row r="7" spans="1:7" x14ac:dyDescent="0.25">
      <c r="A7">
        <v>10601</v>
      </c>
      <c r="B7" t="s">
        <v>219</v>
      </c>
      <c r="C7">
        <v>2</v>
      </c>
      <c r="D7" t="s">
        <v>1247</v>
      </c>
      <c r="E7" t="s">
        <v>1248</v>
      </c>
      <c r="F7" t="s">
        <v>792</v>
      </c>
      <c r="G7">
        <v>2</v>
      </c>
    </row>
    <row r="8" spans="1:7" x14ac:dyDescent="0.25">
      <c r="A8">
        <v>10601</v>
      </c>
      <c r="B8" t="s">
        <v>219</v>
      </c>
      <c r="C8">
        <v>2</v>
      </c>
      <c r="D8" t="s">
        <v>1249</v>
      </c>
      <c r="E8" t="s">
        <v>1250</v>
      </c>
      <c r="F8" t="s">
        <v>792</v>
      </c>
      <c r="G8">
        <v>2</v>
      </c>
    </row>
    <row r="9" spans="1:7" x14ac:dyDescent="0.25">
      <c r="A9">
        <v>10601</v>
      </c>
      <c r="B9" t="s">
        <v>219</v>
      </c>
      <c r="C9">
        <v>2</v>
      </c>
      <c r="D9" t="s">
        <v>1251</v>
      </c>
      <c r="E9" t="s">
        <v>1252</v>
      </c>
      <c r="F9" t="s">
        <v>792</v>
      </c>
      <c r="G9">
        <v>2</v>
      </c>
    </row>
    <row r="10" spans="1:7" x14ac:dyDescent="0.25">
      <c r="A10">
        <v>10601</v>
      </c>
      <c r="B10" t="s">
        <v>219</v>
      </c>
      <c r="C10">
        <v>2</v>
      </c>
      <c r="D10" t="s">
        <v>1253</v>
      </c>
      <c r="E10" t="s">
        <v>1254</v>
      </c>
      <c r="F10" t="s">
        <v>1255</v>
      </c>
      <c r="G10">
        <v>1</v>
      </c>
    </row>
    <row r="11" spans="1:7" x14ac:dyDescent="0.25">
      <c r="A11">
        <v>10601</v>
      </c>
      <c r="B11" t="s">
        <v>219</v>
      </c>
      <c r="C11">
        <v>2</v>
      </c>
      <c r="D11" t="s">
        <v>1256</v>
      </c>
      <c r="E11" t="s">
        <v>1257</v>
      </c>
      <c r="F11" t="s">
        <v>1255</v>
      </c>
      <c r="G11">
        <v>1</v>
      </c>
    </row>
    <row r="13" spans="1:7" x14ac:dyDescent="0.25">
      <c r="A13">
        <v>10602</v>
      </c>
      <c r="B13" t="s">
        <v>297</v>
      </c>
      <c r="C13">
        <v>2</v>
      </c>
      <c r="D13" t="s">
        <v>1258</v>
      </c>
      <c r="E13" t="s">
        <v>1259</v>
      </c>
      <c r="F13" t="s">
        <v>792</v>
      </c>
      <c r="G13">
        <v>2</v>
      </c>
    </row>
    <row r="14" spans="1:7" x14ac:dyDescent="0.25">
      <c r="A14">
        <v>10602</v>
      </c>
      <c r="B14" t="s">
        <v>297</v>
      </c>
      <c r="C14">
        <v>2</v>
      </c>
      <c r="D14" t="s">
        <v>1260</v>
      </c>
      <c r="E14" t="s">
        <v>1261</v>
      </c>
      <c r="F14" t="s">
        <v>792</v>
      </c>
      <c r="G14">
        <v>2</v>
      </c>
    </row>
    <row r="15" spans="1:7" x14ac:dyDescent="0.25">
      <c r="A15">
        <v>10602</v>
      </c>
      <c r="B15" t="s">
        <v>297</v>
      </c>
      <c r="C15">
        <v>2</v>
      </c>
      <c r="D15" t="s">
        <v>1262</v>
      </c>
      <c r="E15" t="s">
        <v>1263</v>
      </c>
      <c r="F15" t="s">
        <v>792</v>
      </c>
      <c r="G15">
        <v>2</v>
      </c>
    </row>
    <row r="16" spans="1:7" x14ac:dyDescent="0.25">
      <c r="A16">
        <v>10602</v>
      </c>
      <c r="B16" t="s">
        <v>297</v>
      </c>
      <c r="C16">
        <v>2</v>
      </c>
      <c r="D16" t="s">
        <v>1264</v>
      </c>
      <c r="E16" t="s">
        <v>1265</v>
      </c>
      <c r="F16" t="s">
        <v>792</v>
      </c>
      <c r="G16">
        <v>2</v>
      </c>
    </row>
    <row r="17" spans="1:7" x14ac:dyDescent="0.25">
      <c r="A17">
        <v>10602</v>
      </c>
      <c r="B17" t="s">
        <v>297</v>
      </c>
      <c r="C17">
        <v>2</v>
      </c>
      <c r="D17" t="s">
        <v>1266</v>
      </c>
      <c r="E17" t="s">
        <v>1267</v>
      </c>
      <c r="F17" t="s">
        <v>792</v>
      </c>
      <c r="G17">
        <v>2</v>
      </c>
    </row>
    <row r="18" spans="1:7" x14ac:dyDescent="0.25">
      <c r="A18">
        <v>10602</v>
      </c>
      <c r="B18" t="s">
        <v>297</v>
      </c>
      <c r="C18">
        <v>2</v>
      </c>
      <c r="D18" t="s">
        <v>1268</v>
      </c>
      <c r="E18" t="s">
        <v>1269</v>
      </c>
      <c r="F18" t="s">
        <v>792</v>
      </c>
      <c r="G18">
        <v>2</v>
      </c>
    </row>
    <row r="19" spans="1:7" x14ac:dyDescent="0.25">
      <c r="A19">
        <v>10602</v>
      </c>
      <c r="B19" t="s">
        <v>297</v>
      </c>
      <c r="C19">
        <v>2</v>
      </c>
      <c r="D19" t="s">
        <v>1256</v>
      </c>
      <c r="E19" t="s">
        <v>1358</v>
      </c>
      <c r="F19" t="s">
        <v>792</v>
      </c>
      <c r="G19">
        <v>2</v>
      </c>
    </row>
    <row r="20" spans="1:7" x14ac:dyDescent="0.25">
      <c r="A20">
        <v>10602</v>
      </c>
      <c r="B20" t="s">
        <v>297</v>
      </c>
      <c r="C20">
        <v>2</v>
      </c>
      <c r="D20" t="s">
        <v>1270</v>
      </c>
      <c r="E20" t="s">
        <v>1271</v>
      </c>
      <c r="F20" t="s">
        <v>1255</v>
      </c>
      <c r="G20">
        <v>1</v>
      </c>
    </row>
    <row r="22" spans="1:7" x14ac:dyDescent="0.25">
      <c r="A22">
        <v>10603</v>
      </c>
      <c r="B22" t="s">
        <v>146</v>
      </c>
      <c r="C22">
        <v>2</v>
      </c>
      <c r="D22" t="s">
        <v>1258</v>
      </c>
      <c r="E22" t="s">
        <v>1272</v>
      </c>
      <c r="F22" t="s">
        <v>792</v>
      </c>
      <c r="G22">
        <v>2</v>
      </c>
    </row>
    <row r="23" spans="1:7" x14ac:dyDescent="0.25">
      <c r="A23">
        <v>10603</v>
      </c>
      <c r="B23" t="s">
        <v>146</v>
      </c>
      <c r="C23">
        <v>2</v>
      </c>
      <c r="D23" t="s">
        <v>1273</v>
      </c>
      <c r="E23" t="s">
        <v>1274</v>
      </c>
      <c r="F23" t="s">
        <v>792</v>
      </c>
      <c r="G23">
        <v>2</v>
      </c>
    </row>
    <row r="24" spans="1:7" x14ac:dyDescent="0.25">
      <c r="A24">
        <v>10603</v>
      </c>
      <c r="B24" t="s">
        <v>146</v>
      </c>
      <c r="C24">
        <v>2</v>
      </c>
      <c r="D24" t="s">
        <v>1264</v>
      </c>
      <c r="E24" t="s">
        <v>1275</v>
      </c>
      <c r="F24" t="s">
        <v>792</v>
      </c>
      <c r="G24">
        <v>2</v>
      </c>
    </row>
    <row r="25" spans="1:7" x14ac:dyDescent="0.25">
      <c r="A25">
        <v>10603</v>
      </c>
      <c r="B25" t="s">
        <v>146</v>
      </c>
      <c r="C25">
        <v>2</v>
      </c>
      <c r="D25" t="s">
        <v>1260</v>
      </c>
      <c r="E25" t="s">
        <v>1359</v>
      </c>
      <c r="F25" t="s">
        <v>792</v>
      </c>
      <c r="G25">
        <v>2</v>
      </c>
    </row>
    <row r="26" spans="1:7" x14ac:dyDescent="0.25">
      <c r="A26">
        <v>10603</v>
      </c>
      <c r="B26" t="s">
        <v>146</v>
      </c>
      <c r="C26">
        <v>2</v>
      </c>
      <c r="D26" t="s">
        <v>1276</v>
      </c>
      <c r="E26" t="s">
        <v>1277</v>
      </c>
      <c r="F26" t="s">
        <v>792</v>
      </c>
      <c r="G26">
        <v>2</v>
      </c>
    </row>
    <row r="27" spans="1:7" x14ac:dyDescent="0.25">
      <c r="A27">
        <v>10603</v>
      </c>
      <c r="B27" t="s">
        <v>146</v>
      </c>
      <c r="C27">
        <v>2</v>
      </c>
      <c r="D27" t="s">
        <v>1262</v>
      </c>
      <c r="E27" t="s">
        <v>1278</v>
      </c>
      <c r="F27" t="s">
        <v>792</v>
      </c>
      <c r="G27">
        <v>2</v>
      </c>
    </row>
    <row r="28" spans="1:7" x14ac:dyDescent="0.25">
      <c r="A28">
        <v>10603</v>
      </c>
      <c r="B28" t="s">
        <v>146</v>
      </c>
      <c r="C28">
        <v>2</v>
      </c>
      <c r="D28" t="s">
        <v>1270</v>
      </c>
      <c r="E28" t="s">
        <v>1271</v>
      </c>
      <c r="F28" t="s">
        <v>1255</v>
      </c>
      <c r="G28">
        <v>1</v>
      </c>
    </row>
    <row r="30" spans="1:7" x14ac:dyDescent="0.25">
      <c r="A30">
        <v>10501</v>
      </c>
      <c r="B30" t="s">
        <v>156</v>
      </c>
      <c r="C30">
        <v>3</v>
      </c>
      <c r="D30" t="s">
        <v>1268</v>
      </c>
      <c r="E30" t="s">
        <v>1279</v>
      </c>
      <c r="F30" t="s">
        <v>792</v>
      </c>
      <c r="G30">
        <v>2</v>
      </c>
    </row>
    <row r="31" spans="1:7" x14ac:dyDescent="0.25">
      <c r="A31">
        <v>10501</v>
      </c>
      <c r="B31" t="s">
        <v>156</v>
      </c>
      <c r="C31">
        <v>3</v>
      </c>
      <c r="D31" t="s">
        <v>1338</v>
      </c>
      <c r="E31" t="s">
        <v>1280</v>
      </c>
      <c r="F31" t="s">
        <v>792</v>
      </c>
      <c r="G31">
        <v>2</v>
      </c>
    </row>
    <row r="32" spans="1:7" x14ac:dyDescent="0.25">
      <c r="A32">
        <v>10501</v>
      </c>
      <c r="B32" t="s">
        <v>156</v>
      </c>
      <c r="C32">
        <v>3</v>
      </c>
      <c r="D32" t="s">
        <v>1266</v>
      </c>
      <c r="E32" t="s">
        <v>1281</v>
      </c>
      <c r="F32" t="s">
        <v>792</v>
      </c>
      <c r="G32">
        <v>2</v>
      </c>
    </row>
    <row r="33" spans="1:7" x14ac:dyDescent="0.25">
      <c r="A33">
        <v>10501</v>
      </c>
      <c r="B33" t="s">
        <v>156</v>
      </c>
      <c r="C33">
        <v>3</v>
      </c>
      <c r="D33" t="s">
        <v>1339</v>
      </c>
      <c r="E33" t="s">
        <v>1282</v>
      </c>
      <c r="F33" t="s">
        <v>792</v>
      </c>
      <c r="G33">
        <v>2</v>
      </c>
    </row>
    <row r="34" spans="1:7" x14ac:dyDescent="0.25">
      <c r="A34">
        <v>10501</v>
      </c>
      <c r="B34" t="s">
        <v>156</v>
      </c>
      <c r="C34">
        <v>3</v>
      </c>
      <c r="D34" t="s">
        <v>1340</v>
      </c>
      <c r="E34" t="s">
        <v>1283</v>
      </c>
      <c r="F34" t="s">
        <v>792</v>
      </c>
      <c r="G34">
        <v>2</v>
      </c>
    </row>
    <row r="35" spans="1:7" x14ac:dyDescent="0.25">
      <c r="A35">
        <v>10501</v>
      </c>
      <c r="B35" t="s">
        <v>156</v>
      </c>
      <c r="C35">
        <v>3</v>
      </c>
      <c r="D35" t="s">
        <v>1341</v>
      </c>
      <c r="E35" t="s">
        <v>1284</v>
      </c>
      <c r="F35" t="s">
        <v>792</v>
      </c>
      <c r="G35">
        <v>2</v>
      </c>
    </row>
    <row r="36" spans="1:7" x14ac:dyDescent="0.25">
      <c r="A36">
        <v>10501</v>
      </c>
      <c r="B36" t="s">
        <v>156</v>
      </c>
      <c r="C36">
        <v>3</v>
      </c>
      <c r="D36" t="s">
        <v>1249</v>
      </c>
      <c r="E36" t="s">
        <v>1285</v>
      </c>
      <c r="F36" t="s">
        <v>792</v>
      </c>
      <c r="G36">
        <v>2</v>
      </c>
    </row>
    <row r="37" spans="1:7" x14ac:dyDescent="0.25">
      <c r="A37">
        <v>10501</v>
      </c>
      <c r="B37" t="s">
        <v>156</v>
      </c>
      <c r="C37">
        <v>3</v>
      </c>
      <c r="D37" t="s">
        <v>1332</v>
      </c>
      <c r="E37" t="s">
        <v>1286</v>
      </c>
      <c r="F37" t="s">
        <v>792</v>
      </c>
      <c r="G37">
        <v>2</v>
      </c>
    </row>
    <row r="38" spans="1:7" x14ac:dyDescent="0.25">
      <c r="A38">
        <v>10501</v>
      </c>
      <c r="B38" t="s">
        <v>156</v>
      </c>
      <c r="C38">
        <v>3</v>
      </c>
      <c r="D38" t="s">
        <v>1251</v>
      </c>
      <c r="E38" t="s">
        <v>1287</v>
      </c>
      <c r="F38" t="s">
        <v>792</v>
      </c>
      <c r="G38">
        <v>2</v>
      </c>
    </row>
    <row r="39" spans="1:7" x14ac:dyDescent="0.25">
      <c r="A39">
        <v>10501</v>
      </c>
      <c r="B39" t="s">
        <v>156</v>
      </c>
      <c r="C39">
        <v>3</v>
      </c>
      <c r="D39" t="s">
        <v>1334</v>
      </c>
      <c r="E39" t="s">
        <v>1288</v>
      </c>
      <c r="F39" t="s">
        <v>792</v>
      </c>
      <c r="G39">
        <v>2</v>
      </c>
    </row>
    <row r="40" spans="1:7" x14ac:dyDescent="0.25">
      <c r="A40">
        <v>10501</v>
      </c>
      <c r="B40" t="s">
        <v>156</v>
      </c>
      <c r="C40">
        <v>3</v>
      </c>
      <c r="D40" t="s">
        <v>1342</v>
      </c>
      <c r="E40" t="s">
        <v>1289</v>
      </c>
      <c r="F40" t="s">
        <v>1255</v>
      </c>
      <c r="G40">
        <v>1</v>
      </c>
    </row>
    <row r="41" spans="1:7" x14ac:dyDescent="0.25">
      <c r="A41">
        <v>10501</v>
      </c>
      <c r="B41" t="s">
        <v>156</v>
      </c>
      <c r="C41">
        <v>3</v>
      </c>
      <c r="D41" t="s">
        <v>1270</v>
      </c>
      <c r="E41" t="s">
        <v>1290</v>
      </c>
      <c r="F41" t="s">
        <v>1255</v>
      </c>
      <c r="G41">
        <v>1</v>
      </c>
    </row>
    <row r="43" spans="1:7" x14ac:dyDescent="0.25">
      <c r="A43">
        <v>10502</v>
      </c>
      <c r="B43" t="s">
        <v>187</v>
      </c>
      <c r="C43">
        <v>3</v>
      </c>
      <c r="D43" t="s">
        <v>1338</v>
      </c>
      <c r="E43" t="s">
        <v>1291</v>
      </c>
      <c r="F43" t="s">
        <v>792</v>
      </c>
      <c r="G43">
        <v>2</v>
      </c>
    </row>
    <row r="44" spans="1:7" x14ac:dyDescent="0.25">
      <c r="A44">
        <v>10502</v>
      </c>
      <c r="B44" t="s">
        <v>187</v>
      </c>
      <c r="C44">
        <v>3</v>
      </c>
      <c r="D44" t="s">
        <v>1343</v>
      </c>
      <c r="E44" t="s">
        <v>1292</v>
      </c>
      <c r="F44" t="s">
        <v>792</v>
      </c>
      <c r="G44">
        <v>2</v>
      </c>
    </row>
    <row r="45" spans="1:7" x14ac:dyDescent="0.25">
      <c r="A45">
        <v>10502</v>
      </c>
      <c r="B45" t="s">
        <v>187</v>
      </c>
      <c r="C45">
        <v>3</v>
      </c>
      <c r="D45" t="s">
        <v>1256</v>
      </c>
      <c r="E45" t="s">
        <v>1293</v>
      </c>
      <c r="F45" t="s">
        <v>792</v>
      </c>
      <c r="G45">
        <v>2</v>
      </c>
    </row>
    <row r="46" spans="1:7" x14ac:dyDescent="0.25">
      <c r="A46">
        <v>10502</v>
      </c>
      <c r="B46" t="s">
        <v>187</v>
      </c>
      <c r="C46">
        <v>3</v>
      </c>
      <c r="D46" t="s">
        <v>1344</v>
      </c>
      <c r="E46" t="s">
        <v>1294</v>
      </c>
      <c r="F46" t="s">
        <v>792</v>
      </c>
      <c r="G46">
        <v>2</v>
      </c>
    </row>
    <row r="47" spans="1:7" x14ac:dyDescent="0.25">
      <c r="A47">
        <v>10502</v>
      </c>
      <c r="B47" t="s">
        <v>187</v>
      </c>
      <c r="C47">
        <v>3</v>
      </c>
      <c r="D47" t="s">
        <v>1249</v>
      </c>
      <c r="E47" t="s">
        <v>1295</v>
      </c>
      <c r="F47" t="s">
        <v>792</v>
      </c>
      <c r="G47">
        <v>2</v>
      </c>
    </row>
    <row r="48" spans="1:7" x14ac:dyDescent="0.25">
      <c r="A48">
        <v>10502</v>
      </c>
      <c r="B48" t="s">
        <v>187</v>
      </c>
      <c r="C48">
        <v>3</v>
      </c>
      <c r="D48" t="s">
        <v>1270</v>
      </c>
      <c r="E48" t="s">
        <v>1296</v>
      </c>
      <c r="F48" t="s">
        <v>1255</v>
      </c>
      <c r="G48">
        <v>1</v>
      </c>
    </row>
    <row r="49" spans="1:7" x14ac:dyDescent="0.25">
      <c r="A49">
        <v>10502</v>
      </c>
      <c r="B49" t="s">
        <v>187</v>
      </c>
      <c r="C49">
        <v>3</v>
      </c>
      <c r="D49" t="s">
        <v>1334</v>
      </c>
      <c r="E49" t="s">
        <v>1288</v>
      </c>
      <c r="F49" t="s">
        <v>792</v>
      </c>
      <c r="G49">
        <v>2</v>
      </c>
    </row>
    <row r="50" spans="1:7" x14ac:dyDescent="0.25">
      <c r="A50">
        <v>10502</v>
      </c>
      <c r="B50" t="s">
        <v>187</v>
      </c>
      <c r="C50">
        <v>3</v>
      </c>
      <c r="D50" t="s">
        <v>1270</v>
      </c>
      <c r="E50" t="s">
        <v>1290</v>
      </c>
      <c r="F50" t="s">
        <v>1255</v>
      </c>
      <c r="G50">
        <v>1</v>
      </c>
    </row>
    <row r="52" spans="1:7" x14ac:dyDescent="0.25">
      <c r="A52">
        <v>10503</v>
      </c>
      <c r="B52" t="s">
        <v>164</v>
      </c>
      <c r="C52">
        <v>3</v>
      </c>
      <c r="D52" t="s">
        <v>1268</v>
      </c>
      <c r="E52" t="s">
        <v>1297</v>
      </c>
      <c r="F52" t="s">
        <v>792</v>
      </c>
      <c r="G52">
        <v>2</v>
      </c>
    </row>
    <row r="53" spans="1:7" x14ac:dyDescent="0.25">
      <c r="A53">
        <v>10503</v>
      </c>
      <c r="B53" t="s">
        <v>164</v>
      </c>
      <c r="C53">
        <v>3</v>
      </c>
      <c r="D53" t="s">
        <v>1266</v>
      </c>
      <c r="E53" t="s">
        <v>1298</v>
      </c>
      <c r="F53" t="s">
        <v>792</v>
      </c>
      <c r="G53">
        <v>2</v>
      </c>
    </row>
    <row r="54" spans="1:7" x14ac:dyDescent="0.25">
      <c r="A54">
        <v>10503</v>
      </c>
      <c r="B54" t="s">
        <v>164</v>
      </c>
      <c r="C54">
        <v>3</v>
      </c>
      <c r="D54" t="s">
        <v>1334</v>
      </c>
      <c r="E54" t="s">
        <v>1288</v>
      </c>
      <c r="F54" t="s">
        <v>792</v>
      </c>
      <c r="G54">
        <v>2</v>
      </c>
    </row>
    <row r="55" spans="1:7" x14ac:dyDescent="0.25">
      <c r="A55">
        <v>10503</v>
      </c>
      <c r="B55" t="s">
        <v>164</v>
      </c>
      <c r="C55">
        <v>3</v>
      </c>
      <c r="D55" t="s">
        <v>1270</v>
      </c>
      <c r="E55" t="s">
        <v>1290</v>
      </c>
      <c r="F55" t="s">
        <v>1255</v>
      </c>
      <c r="G55">
        <v>1</v>
      </c>
    </row>
    <row r="57" spans="1:7" x14ac:dyDescent="0.25">
      <c r="A57">
        <v>10401</v>
      </c>
      <c r="B57" t="s">
        <v>184</v>
      </c>
      <c r="C57">
        <v>4</v>
      </c>
      <c r="D57" t="s">
        <v>1268</v>
      </c>
      <c r="E57" t="s">
        <v>1299</v>
      </c>
      <c r="F57" t="s">
        <v>792</v>
      </c>
      <c r="G57">
        <v>2</v>
      </c>
    </row>
    <row r="58" spans="1:7" x14ac:dyDescent="0.25">
      <c r="A58">
        <v>10401</v>
      </c>
      <c r="B58" t="s">
        <v>184</v>
      </c>
      <c r="C58">
        <v>4</v>
      </c>
      <c r="D58" t="s">
        <v>1251</v>
      </c>
      <c r="E58" t="s">
        <v>1300</v>
      </c>
      <c r="F58" t="s">
        <v>792</v>
      </c>
      <c r="G58">
        <v>2</v>
      </c>
    </row>
    <row r="59" spans="1:7" x14ac:dyDescent="0.25">
      <c r="A59">
        <v>10401</v>
      </c>
      <c r="B59" t="s">
        <v>184</v>
      </c>
      <c r="C59">
        <v>4</v>
      </c>
      <c r="D59" t="s">
        <v>1345</v>
      </c>
      <c r="E59" t="s">
        <v>1360</v>
      </c>
      <c r="F59" t="s">
        <v>792</v>
      </c>
      <c r="G59">
        <v>2</v>
      </c>
    </row>
    <row r="60" spans="1:7" x14ac:dyDescent="0.25">
      <c r="A60">
        <v>10401</v>
      </c>
      <c r="B60" t="s">
        <v>184</v>
      </c>
      <c r="C60">
        <v>4</v>
      </c>
      <c r="D60" t="s">
        <v>1346</v>
      </c>
      <c r="E60" t="s">
        <v>1301</v>
      </c>
      <c r="F60" t="s">
        <v>792</v>
      </c>
      <c r="G60">
        <v>2</v>
      </c>
    </row>
    <row r="61" spans="1:7" x14ac:dyDescent="0.25">
      <c r="A61">
        <v>10401</v>
      </c>
      <c r="B61" t="s">
        <v>184</v>
      </c>
      <c r="C61">
        <v>4</v>
      </c>
      <c r="D61" t="s">
        <v>1347</v>
      </c>
      <c r="E61" t="s">
        <v>1302</v>
      </c>
      <c r="F61" t="s">
        <v>792</v>
      </c>
      <c r="G61">
        <v>2</v>
      </c>
    </row>
    <row r="62" spans="1:7" x14ac:dyDescent="0.25">
      <c r="A62">
        <v>10401</v>
      </c>
      <c r="B62" t="s">
        <v>184</v>
      </c>
      <c r="C62">
        <v>4</v>
      </c>
      <c r="D62" t="s">
        <v>1341</v>
      </c>
      <c r="E62" t="s">
        <v>1303</v>
      </c>
      <c r="F62" t="s">
        <v>1255</v>
      </c>
      <c r="G62">
        <v>1</v>
      </c>
    </row>
    <row r="63" spans="1:7" x14ac:dyDescent="0.25">
      <c r="A63">
        <v>10401</v>
      </c>
      <c r="B63" t="s">
        <v>184</v>
      </c>
      <c r="C63">
        <v>4</v>
      </c>
      <c r="D63" t="s">
        <v>1348</v>
      </c>
      <c r="E63" t="s">
        <v>1304</v>
      </c>
      <c r="F63" t="s">
        <v>792</v>
      </c>
      <c r="G63">
        <v>2</v>
      </c>
    </row>
    <row r="64" spans="1:7" x14ac:dyDescent="0.25">
      <c r="A64">
        <v>10401</v>
      </c>
      <c r="B64" t="s">
        <v>184</v>
      </c>
      <c r="C64">
        <v>4</v>
      </c>
      <c r="D64" t="s">
        <v>1334</v>
      </c>
      <c r="E64" t="s">
        <v>1361</v>
      </c>
      <c r="F64" t="s">
        <v>792</v>
      </c>
      <c r="G64">
        <v>2</v>
      </c>
    </row>
    <row r="65" spans="1:7" x14ac:dyDescent="0.25">
      <c r="A65">
        <v>10401</v>
      </c>
      <c r="B65" t="s">
        <v>184</v>
      </c>
      <c r="C65">
        <v>4</v>
      </c>
      <c r="D65" t="s">
        <v>1270</v>
      </c>
      <c r="E65" t="s">
        <v>1290</v>
      </c>
      <c r="F65" t="s">
        <v>1255</v>
      </c>
      <c r="G65">
        <v>1</v>
      </c>
    </row>
    <row r="67" spans="1:7" x14ac:dyDescent="0.25">
      <c r="A67">
        <v>10402</v>
      </c>
      <c r="B67" t="s">
        <v>458</v>
      </c>
      <c r="C67">
        <v>4</v>
      </c>
      <c r="D67" t="s">
        <v>1328</v>
      </c>
      <c r="E67" t="s">
        <v>1305</v>
      </c>
      <c r="F67" t="s">
        <v>792</v>
      </c>
      <c r="G67">
        <v>2</v>
      </c>
    </row>
    <row r="68" spans="1:7" x14ac:dyDescent="0.25">
      <c r="A68">
        <v>10402</v>
      </c>
      <c r="B68" t="s">
        <v>458</v>
      </c>
      <c r="C68">
        <v>4</v>
      </c>
      <c r="D68" t="s">
        <v>1349</v>
      </c>
      <c r="E68" t="s">
        <v>1306</v>
      </c>
      <c r="F68" t="s">
        <v>792</v>
      </c>
      <c r="G68">
        <v>2</v>
      </c>
    </row>
    <row r="69" spans="1:7" x14ac:dyDescent="0.25">
      <c r="A69">
        <v>10402</v>
      </c>
      <c r="B69" t="s">
        <v>458</v>
      </c>
      <c r="C69">
        <v>4</v>
      </c>
      <c r="D69" t="s">
        <v>1268</v>
      </c>
      <c r="E69" t="s">
        <v>1307</v>
      </c>
      <c r="F69" t="s">
        <v>792</v>
      </c>
      <c r="G69">
        <v>2</v>
      </c>
    </row>
    <row r="70" spans="1:7" x14ac:dyDescent="0.25">
      <c r="A70">
        <v>10402</v>
      </c>
      <c r="B70" t="s">
        <v>458</v>
      </c>
      <c r="C70">
        <v>4</v>
      </c>
      <c r="D70" t="s">
        <v>1350</v>
      </c>
      <c r="E70" t="s">
        <v>1308</v>
      </c>
      <c r="F70" t="s">
        <v>792</v>
      </c>
      <c r="G70">
        <v>2</v>
      </c>
    </row>
    <row r="71" spans="1:7" x14ac:dyDescent="0.25">
      <c r="A71">
        <v>10402</v>
      </c>
      <c r="B71" t="s">
        <v>458</v>
      </c>
      <c r="C71">
        <v>4</v>
      </c>
      <c r="D71" t="s">
        <v>1330</v>
      </c>
      <c r="E71" t="s">
        <v>1309</v>
      </c>
      <c r="F71" t="s">
        <v>792</v>
      </c>
      <c r="G71">
        <v>2</v>
      </c>
    </row>
    <row r="72" spans="1:7" x14ac:dyDescent="0.25">
      <c r="A72">
        <v>10402</v>
      </c>
      <c r="B72" t="s">
        <v>458</v>
      </c>
      <c r="C72">
        <v>4</v>
      </c>
      <c r="D72" t="s">
        <v>1351</v>
      </c>
      <c r="E72" t="s">
        <v>1310</v>
      </c>
      <c r="F72" t="s">
        <v>792</v>
      </c>
      <c r="G72">
        <v>2</v>
      </c>
    </row>
    <row r="73" spans="1:7" x14ac:dyDescent="0.25">
      <c r="A73">
        <v>10402</v>
      </c>
      <c r="B73" t="s">
        <v>458</v>
      </c>
      <c r="C73">
        <v>4</v>
      </c>
      <c r="D73" t="s">
        <v>1352</v>
      </c>
      <c r="E73" t="s">
        <v>1311</v>
      </c>
      <c r="F73" t="s">
        <v>792</v>
      </c>
      <c r="G73">
        <v>2</v>
      </c>
    </row>
    <row r="74" spans="1:7" x14ac:dyDescent="0.25">
      <c r="A74">
        <v>10402</v>
      </c>
      <c r="B74" t="s">
        <v>458</v>
      </c>
      <c r="C74">
        <v>4</v>
      </c>
      <c r="D74" t="s">
        <v>1353</v>
      </c>
      <c r="E74" t="s">
        <v>1312</v>
      </c>
      <c r="F74" t="s">
        <v>792</v>
      </c>
      <c r="G74">
        <v>2</v>
      </c>
    </row>
    <row r="75" spans="1:7" x14ac:dyDescent="0.25">
      <c r="A75">
        <v>10402</v>
      </c>
      <c r="B75" t="s">
        <v>458</v>
      </c>
      <c r="C75">
        <v>4</v>
      </c>
      <c r="D75" t="s">
        <v>1354</v>
      </c>
      <c r="E75" t="s">
        <v>1313</v>
      </c>
      <c r="F75" t="s">
        <v>792</v>
      </c>
      <c r="G75">
        <v>2</v>
      </c>
    </row>
    <row r="76" spans="1:7" x14ac:dyDescent="0.25">
      <c r="A76">
        <v>10402</v>
      </c>
      <c r="B76" t="s">
        <v>458</v>
      </c>
      <c r="C76">
        <v>4</v>
      </c>
      <c r="D76" t="s">
        <v>1355</v>
      </c>
      <c r="E76" t="s">
        <v>1314</v>
      </c>
      <c r="F76" t="s">
        <v>792</v>
      </c>
      <c r="G76">
        <v>2</v>
      </c>
    </row>
    <row r="77" spans="1:7" x14ac:dyDescent="0.25">
      <c r="A77">
        <v>10402</v>
      </c>
      <c r="B77" t="s">
        <v>458</v>
      </c>
      <c r="C77">
        <v>4</v>
      </c>
      <c r="D77" t="s">
        <v>1356</v>
      </c>
      <c r="E77" t="s">
        <v>1315</v>
      </c>
      <c r="F77" t="s">
        <v>792</v>
      </c>
      <c r="G77">
        <v>2</v>
      </c>
    </row>
    <row r="78" spans="1:7" x14ac:dyDescent="0.25">
      <c r="A78">
        <v>10402</v>
      </c>
      <c r="B78" t="s">
        <v>458</v>
      </c>
      <c r="C78">
        <v>4</v>
      </c>
      <c r="D78" t="s">
        <v>1343</v>
      </c>
      <c r="E78" t="s">
        <v>1316</v>
      </c>
      <c r="F78" t="s">
        <v>792</v>
      </c>
      <c r="G78">
        <v>2</v>
      </c>
    </row>
    <row r="79" spans="1:7" x14ac:dyDescent="0.25">
      <c r="A79">
        <v>10402</v>
      </c>
      <c r="B79" t="s">
        <v>458</v>
      </c>
      <c r="C79">
        <v>4</v>
      </c>
      <c r="D79" t="s">
        <v>1357</v>
      </c>
      <c r="E79" t="s">
        <v>1317</v>
      </c>
      <c r="F79" t="s">
        <v>792</v>
      </c>
      <c r="G79">
        <v>2</v>
      </c>
    </row>
    <row r="80" spans="1:7" x14ac:dyDescent="0.25">
      <c r="A80">
        <v>10402</v>
      </c>
      <c r="B80" t="s">
        <v>458</v>
      </c>
      <c r="C80">
        <v>4</v>
      </c>
      <c r="D80" t="s">
        <v>1251</v>
      </c>
      <c r="E80" t="s">
        <v>1318</v>
      </c>
      <c r="F80" t="s">
        <v>1255</v>
      </c>
      <c r="G80">
        <v>1</v>
      </c>
    </row>
    <row r="81" spans="1:7" x14ac:dyDescent="0.25">
      <c r="A81">
        <v>10402</v>
      </c>
      <c r="B81" t="s">
        <v>458</v>
      </c>
      <c r="C81">
        <v>4</v>
      </c>
      <c r="D81" t="s">
        <v>1334</v>
      </c>
      <c r="E81" t="s">
        <v>1361</v>
      </c>
      <c r="F81" t="s">
        <v>792</v>
      </c>
      <c r="G81">
        <v>2</v>
      </c>
    </row>
    <row r="82" spans="1:7" x14ac:dyDescent="0.25">
      <c r="A82">
        <v>10402</v>
      </c>
      <c r="B82" t="s">
        <v>458</v>
      </c>
      <c r="C82">
        <v>4</v>
      </c>
      <c r="D82" t="s">
        <v>1270</v>
      </c>
      <c r="E82" t="s">
        <v>1290</v>
      </c>
      <c r="F82" t="s">
        <v>1255</v>
      </c>
      <c r="G82">
        <v>1</v>
      </c>
    </row>
    <row r="84" spans="1:7" x14ac:dyDescent="0.25">
      <c r="A84">
        <v>10403</v>
      </c>
      <c r="B84" t="s">
        <v>249</v>
      </c>
      <c r="C84">
        <v>4</v>
      </c>
      <c r="D84" t="s">
        <v>1334</v>
      </c>
      <c r="E84" t="s">
        <v>1319</v>
      </c>
      <c r="F84" t="s">
        <v>792</v>
      </c>
      <c r="G84">
        <v>2</v>
      </c>
    </row>
    <row r="85" spans="1:7" x14ac:dyDescent="0.25">
      <c r="A85">
        <v>10403</v>
      </c>
      <c r="B85" t="s">
        <v>249</v>
      </c>
      <c r="C85">
        <v>4</v>
      </c>
      <c r="D85" t="s">
        <v>1328</v>
      </c>
      <c r="E85" t="s">
        <v>1320</v>
      </c>
      <c r="F85" t="s">
        <v>792</v>
      </c>
      <c r="G85">
        <v>2</v>
      </c>
    </row>
    <row r="86" spans="1:7" x14ac:dyDescent="0.25">
      <c r="A86">
        <v>10403</v>
      </c>
      <c r="B86" t="s">
        <v>249</v>
      </c>
      <c r="C86">
        <v>4</v>
      </c>
      <c r="D86" t="s">
        <v>1341</v>
      </c>
      <c r="E86" t="s">
        <v>1303</v>
      </c>
      <c r="F86" t="s">
        <v>1255</v>
      </c>
      <c r="G86">
        <v>1</v>
      </c>
    </row>
    <row r="87" spans="1:7" x14ac:dyDescent="0.25">
      <c r="A87">
        <v>10403</v>
      </c>
      <c r="B87" t="s">
        <v>249</v>
      </c>
      <c r="C87">
        <v>4</v>
      </c>
      <c r="D87" t="s">
        <v>1334</v>
      </c>
      <c r="E87" t="s">
        <v>1361</v>
      </c>
      <c r="F87" t="s">
        <v>792</v>
      </c>
      <c r="G87">
        <v>2</v>
      </c>
    </row>
    <row r="88" spans="1:7" x14ac:dyDescent="0.25">
      <c r="A88">
        <v>10403</v>
      </c>
      <c r="B88" t="s">
        <v>249</v>
      </c>
      <c r="C88">
        <v>4</v>
      </c>
      <c r="D88" t="s">
        <v>1270</v>
      </c>
      <c r="E88" t="s">
        <v>1290</v>
      </c>
      <c r="F88" t="s">
        <v>1255</v>
      </c>
      <c r="G88">
        <v>1</v>
      </c>
    </row>
    <row r="90" spans="1:7" x14ac:dyDescent="0.25">
      <c r="A90">
        <v>10301</v>
      </c>
      <c r="B90" t="s">
        <v>222</v>
      </c>
      <c r="C90">
        <v>5</v>
      </c>
      <c r="D90" t="s">
        <v>1321</v>
      </c>
      <c r="E90" t="s">
        <v>1322</v>
      </c>
      <c r="F90" t="s">
        <v>792</v>
      </c>
      <c r="G90">
        <v>2</v>
      </c>
    </row>
    <row r="91" spans="1:7" x14ac:dyDescent="0.25">
      <c r="A91">
        <v>10301</v>
      </c>
      <c r="B91" t="s">
        <v>222</v>
      </c>
      <c r="C91">
        <v>5</v>
      </c>
      <c r="D91" t="s">
        <v>1323</v>
      </c>
      <c r="E91" t="s">
        <v>1324</v>
      </c>
      <c r="F91" t="s">
        <v>792</v>
      </c>
      <c r="G91">
        <v>2</v>
      </c>
    </row>
    <row r="92" spans="1:7" x14ac:dyDescent="0.25">
      <c r="A92">
        <v>10301</v>
      </c>
      <c r="B92" t="s">
        <v>222</v>
      </c>
      <c r="C92">
        <v>5</v>
      </c>
      <c r="D92" t="s">
        <v>1325</v>
      </c>
      <c r="E92" t="s">
        <v>1326</v>
      </c>
      <c r="F92" t="s">
        <v>792</v>
      </c>
      <c r="G92">
        <v>2</v>
      </c>
    </row>
    <row r="93" spans="1:7" x14ac:dyDescent="0.25">
      <c r="A93">
        <v>10301</v>
      </c>
      <c r="B93" t="s">
        <v>222</v>
      </c>
      <c r="C93">
        <v>5</v>
      </c>
      <c r="D93" t="s">
        <v>1268</v>
      </c>
      <c r="E93" t="s">
        <v>1327</v>
      </c>
      <c r="F93" t="s">
        <v>792</v>
      </c>
      <c r="G93">
        <v>2</v>
      </c>
    </row>
    <row r="94" spans="1:7" x14ac:dyDescent="0.25">
      <c r="A94">
        <v>10301</v>
      </c>
      <c r="B94" t="s">
        <v>222</v>
      </c>
      <c r="C94">
        <v>5</v>
      </c>
      <c r="D94" t="s">
        <v>1328</v>
      </c>
      <c r="E94" t="s">
        <v>1329</v>
      </c>
      <c r="F94" t="s">
        <v>792</v>
      </c>
      <c r="G94">
        <v>2</v>
      </c>
    </row>
    <row r="95" spans="1:7" x14ac:dyDescent="0.25">
      <c r="A95">
        <v>10301</v>
      </c>
      <c r="B95" t="s">
        <v>222</v>
      </c>
      <c r="C95">
        <v>5</v>
      </c>
      <c r="D95" t="s">
        <v>1330</v>
      </c>
      <c r="E95" t="s">
        <v>1331</v>
      </c>
      <c r="F95" t="s">
        <v>792</v>
      </c>
      <c r="G95">
        <v>2</v>
      </c>
    </row>
    <row r="96" spans="1:7" x14ac:dyDescent="0.25">
      <c r="A96">
        <v>10301</v>
      </c>
      <c r="B96" t="s">
        <v>222</v>
      </c>
      <c r="C96">
        <v>5</v>
      </c>
      <c r="D96" t="s">
        <v>1332</v>
      </c>
      <c r="E96" t="s">
        <v>1333</v>
      </c>
      <c r="F96" t="s">
        <v>792</v>
      </c>
      <c r="G96">
        <v>2</v>
      </c>
    </row>
    <row r="97" spans="1:7" x14ac:dyDescent="0.25">
      <c r="A97">
        <v>10301</v>
      </c>
      <c r="B97" t="s">
        <v>222</v>
      </c>
      <c r="C97">
        <v>5</v>
      </c>
      <c r="D97" t="s">
        <v>1334</v>
      </c>
      <c r="E97" t="s">
        <v>1362</v>
      </c>
      <c r="F97" t="s">
        <v>792</v>
      </c>
      <c r="G97">
        <v>2</v>
      </c>
    </row>
    <row r="98" spans="1:7" x14ac:dyDescent="0.25">
      <c r="A98">
        <v>10301</v>
      </c>
      <c r="B98" t="s">
        <v>222</v>
      </c>
      <c r="C98">
        <v>5</v>
      </c>
      <c r="D98" t="s">
        <v>1270</v>
      </c>
      <c r="E98" t="s">
        <v>1290</v>
      </c>
      <c r="F98" t="s">
        <v>1255</v>
      </c>
      <c r="G98">
        <v>1</v>
      </c>
    </row>
    <row r="100" spans="1:7" x14ac:dyDescent="0.25">
      <c r="A100">
        <v>10302</v>
      </c>
      <c r="B100" t="s">
        <v>240</v>
      </c>
      <c r="C100">
        <v>5</v>
      </c>
      <c r="D100" t="s">
        <v>1323</v>
      </c>
      <c r="E100" t="s">
        <v>1335</v>
      </c>
      <c r="F100" t="s">
        <v>792</v>
      </c>
      <c r="G100">
        <v>2</v>
      </c>
    </row>
    <row r="101" spans="1:7" x14ac:dyDescent="0.25">
      <c r="A101">
        <v>10302</v>
      </c>
      <c r="B101" t="s">
        <v>240</v>
      </c>
      <c r="C101">
        <v>5</v>
      </c>
      <c r="D101" t="s">
        <v>1268</v>
      </c>
      <c r="E101" t="s">
        <v>1336</v>
      </c>
      <c r="F101" t="s">
        <v>792</v>
      </c>
      <c r="G101">
        <v>2</v>
      </c>
    </row>
    <row r="102" spans="1:7" x14ac:dyDescent="0.25">
      <c r="A102">
        <v>10302</v>
      </c>
      <c r="B102" t="s">
        <v>240</v>
      </c>
      <c r="C102">
        <v>5</v>
      </c>
      <c r="D102" t="s">
        <v>1334</v>
      </c>
      <c r="E102" t="s">
        <v>1362</v>
      </c>
      <c r="F102" t="s">
        <v>792</v>
      </c>
      <c r="G102">
        <v>2</v>
      </c>
    </row>
    <row r="103" spans="1:7" x14ac:dyDescent="0.25">
      <c r="A103">
        <v>10302</v>
      </c>
      <c r="B103" t="s">
        <v>240</v>
      </c>
      <c r="C103">
        <v>5</v>
      </c>
      <c r="D103" t="s">
        <v>1270</v>
      </c>
      <c r="E103" t="s">
        <v>1290</v>
      </c>
      <c r="F103" t="s">
        <v>1255</v>
      </c>
      <c r="G103">
        <v>1</v>
      </c>
    </row>
    <row r="105" spans="1:7" x14ac:dyDescent="0.25">
      <c r="A105">
        <v>10303</v>
      </c>
      <c r="B105" t="s">
        <v>200</v>
      </c>
      <c r="C105">
        <v>5</v>
      </c>
      <c r="D105" t="s">
        <v>1323</v>
      </c>
      <c r="E105" t="s">
        <v>1337</v>
      </c>
      <c r="F105" t="s">
        <v>792</v>
      </c>
      <c r="G105">
        <v>2</v>
      </c>
    </row>
    <row r="106" spans="1:7" x14ac:dyDescent="0.25">
      <c r="A106">
        <v>10303</v>
      </c>
      <c r="B106" t="s">
        <v>200</v>
      </c>
      <c r="C106">
        <v>5</v>
      </c>
      <c r="D106" t="s">
        <v>1334</v>
      </c>
      <c r="E106" t="s">
        <v>1362</v>
      </c>
      <c r="F106" t="s">
        <v>792</v>
      </c>
      <c r="G106">
        <v>2</v>
      </c>
    </row>
    <row r="107" spans="1:7" x14ac:dyDescent="0.25">
      <c r="A107">
        <v>10303</v>
      </c>
      <c r="B107" t="s">
        <v>200</v>
      </c>
      <c r="C107">
        <v>5</v>
      </c>
      <c r="D107" t="s">
        <v>1270</v>
      </c>
      <c r="E107" t="s">
        <v>1290</v>
      </c>
      <c r="F107" t="s">
        <v>1255</v>
      </c>
      <c r="G107">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30828-358C-4C48-B153-835262F56D2D}">
  <dimension ref="B1:J76"/>
  <sheetViews>
    <sheetView workbookViewId="0">
      <selection activeCell="J23" sqref="J23"/>
    </sheetView>
  </sheetViews>
  <sheetFormatPr defaultRowHeight="15" x14ac:dyDescent="0.25"/>
  <cols>
    <col min="2" max="2" width="41.42578125" customWidth="1"/>
    <col min="3" max="3" width="29" bestFit="1" customWidth="1"/>
    <col min="4" max="4" width="17.5703125" bestFit="1" customWidth="1"/>
    <col min="5" max="5" width="9.85546875" bestFit="1" customWidth="1"/>
    <col min="6" max="6" width="15.85546875" bestFit="1" customWidth="1"/>
    <col min="7" max="7" width="39" bestFit="1" customWidth="1"/>
    <col min="8" max="8" width="46.85546875" bestFit="1" customWidth="1"/>
    <col min="9" max="9" width="10.140625" bestFit="1" customWidth="1"/>
    <col min="10" max="10" width="60.42578125" bestFit="1" customWidth="1"/>
  </cols>
  <sheetData>
    <row r="1" spans="2:10" ht="24" x14ac:dyDescent="0.25">
      <c r="B1" s="57" t="s">
        <v>1364</v>
      </c>
      <c r="C1" s="58" t="s">
        <v>1477</v>
      </c>
      <c r="D1" s="58" t="s">
        <v>1478</v>
      </c>
      <c r="J1" s="56"/>
    </row>
    <row r="2" spans="2:10" x14ac:dyDescent="0.25">
      <c r="C2" s="20" t="s">
        <v>838</v>
      </c>
      <c r="D2" s="20" t="s">
        <v>1365</v>
      </c>
      <c r="J2" s="56"/>
    </row>
    <row r="3" spans="2:10" ht="30" x14ac:dyDescent="0.25">
      <c r="C3" s="20" t="s">
        <v>1366</v>
      </c>
      <c r="D3" s="20" t="s">
        <v>955</v>
      </c>
      <c r="J3" s="56"/>
    </row>
    <row r="4" spans="2:10" x14ac:dyDescent="0.25">
      <c r="C4" s="20" t="s">
        <v>1232</v>
      </c>
      <c r="D4" s="20" t="s">
        <v>1367</v>
      </c>
      <c r="J4" s="56"/>
    </row>
    <row r="5" spans="2:10" x14ac:dyDescent="0.25">
      <c r="C5" s="20" t="s">
        <v>1368</v>
      </c>
      <c r="D5" s="20" t="s">
        <v>1369</v>
      </c>
      <c r="J5" s="56"/>
    </row>
    <row r="6" spans="2:10" x14ac:dyDescent="0.25">
      <c r="C6" s="20" t="s">
        <v>1370</v>
      </c>
      <c r="D6" s="20" t="s">
        <v>1371</v>
      </c>
      <c r="J6" s="56"/>
    </row>
    <row r="7" spans="2:10" x14ac:dyDescent="0.25">
      <c r="C7" s="20" t="s">
        <v>804</v>
      </c>
      <c r="D7" s="20" t="s">
        <v>1372</v>
      </c>
      <c r="J7" s="56"/>
    </row>
    <row r="8" spans="2:10" ht="24" x14ac:dyDescent="0.25">
      <c r="B8" s="57" t="s">
        <v>1373</v>
      </c>
      <c r="J8" s="56"/>
    </row>
    <row r="9" spans="2:10" x14ac:dyDescent="0.25">
      <c r="C9" s="20" t="s">
        <v>1374</v>
      </c>
      <c r="D9" s="20" t="s">
        <v>816</v>
      </c>
      <c r="J9" s="56"/>
    </row>
    <row r="10" spans="2:10" x14ac:dyDescent="0.25">
      <c r="C10" s="20" t="s">
        <v>1375</v>
      </c>
      <c r="D10" s="20" t="s">
        <v>1376</v>
      </c>
      <c r="J10" s="56"/>
    </row>
    <row r="11" spans="2:10" x14ac:dyDescent="0.25">
      <c r="C11" s="20" t="s">
        <v>1377</v>
      </c>
      <c r="D11" s="20" t="s">
        <v>1378</v>
      </c>
      <c r="J11" s="56"/>
    </row>
    <row r="12" spans="2:10" x14ac:dyDescent="0.25">
      <c r="C12" s="20" t="s">
        <v>1379</v>
      </c>
      <c r="D12" s="20" t="s">
        <v>1380</v>
      </c>
    </row>
    <row r="13" spans="2:10" x14ac:dyDescent="0.25">
      <c r="C13" s="20" t="s">
        <v>823</v>
      </c>
      <c r="D13" s="20" t="s">
        <v>1381</v>
      </c>
    </row>
    <row r="14" spans="2:10" x14ac:dyDescent="0.25">
      <c r="C14" s="20" t="s">
        <v>1382</v>
      </c>
      <c r="D14" s="20" t="s">
        <v>1383</v>
      </c>
    </row>
    <row r="15" spans="2:10" x14ac:dyDescent="0.25">
      <c r="C15" s="20" t="s">
        <v>1219</v>
      </c>
      <c r="D15" s="20" t="s">
        <v>1384</v>
      </c>
    </row>
    <row r="16" spans="2:10" ht="24" x14ac:dyDescent="0.25">
      <c r="B16" s="57" t="s">
        <v>1385</v>
      </c>
    </row>
    <row r="17" spans="2:4" x14ac:dyDescent="0.25">
      <c r="C17" s="20" t="s">
        <v>1386</v>
      </c>
      <c r="D17" s="20" t="s">
        <v>1387</v>
      </c>
    </row>
    <row r="18" spans="2:4" x14ac:dyDescent="0.25">
      <c r="C18" s="20" t="s">
        <v>1388</v>
      </c>
      <c r="D18" s="20" t="s">
        <v>1389</v>
      </c>
    </row>
    <row r="19" spans="2:4" x14ac:dyDescent="0.25">
      <c r="C19" s="20" t="s">
        <v>1390</v>
      </c>
      <c r="D19" s="20" t="s">
        <v>962</v>
      </c>
    </row>
    <row r="20" spans="2:4" x14ac:dyDescent="0.25">
      <c r="C20" s="20" t="s">
        <v>1391</v>
      </c>
      <c r="D20" s="20" t="s">
        <v>1392</v>
      </c>
    </row>
    <row r="21" spans="2:4" x14ac:dyDescent="0.25">
      <c r="C21" s="20" t="s">
        <v>1393</v>
      </c>
      <c r="D21" s="20" t="s">
        <v>1394</v>
      </c>
    </row>
    <row r="22" spans="2:4" x14ac:dyDescent="0.25">
      <c r="C22" s="20" t="s">
        <v>1395</v>
      </c>
      <c r="D22" s="20" t="s">
        <v>871</v>
      </c>
    </row>
    <row r="23" spans="2:4" x14ac:dyDescent="0.25">
      <c r="C23" s="20" t="s">
        <v>1396</v>
      </c>
      <c r="D23" s="20" t="s">
        <v>1397</v>
      </c>
    </row>
    <row r="24" spans="2:4" ht="24" x14ac:dyDescent="0.25">
      <c r="B24" s="57" t="s">
        <v>1398</v>
      </c>
    </row>
    <row r="25" spans="2:4" x14ac:dyDescent="0.25">
      <c r="C25" s="20" t="s">
        <v>1268</v>
      </c>
      <c r="D25" s="20" t="s">
        <v>872</v>
      </c>
    </row>
    <row r="26" spans="2:4" x14ac:dyDescent="0.25">
      <c r="C26" s="20" t="s">
        <v>1399</v>
      </c>
      <c r="D26" s="20" t="s">
        <v>1400</v>
      </c>
    </row>
    <row r="27" spans="2:4" x14ac:dyDescent="0.25">
      <c r="C27" s="20" t="s">
        <v>1231</v>
      </c>
      <c r="D27" s="20" t="s">
        <v>1401</v>
      </c>
    </row>
    <row r="28" spans="2:4" x14ac:dyDescent="0.25">
      <c r="C28" s="20" t="s">
        <v>1325</v>
      </c>
      <c r="D28" s="20" t="s">
        <v>934</v>
      </c>
    </row>
    <row r="29" spans="2:4" x14ac:dyDescent="0.25">
      <c r="C29" s="20" t="s">
        <v>1402</v>
      </c>
      <c r="D29" s="20" t="s">
        <v>874</v>
      </c>
    </row>
    <row r="30" spans="2:4" x14ac:dyDescent="0.25">
      <c r="C30" s="20" t="s">
        <v>1403</v>
      </c>
      <c r="D30" s="20" t="s">
        <v>1404</v>
      </c>
    </row>
    <row r="31" spans="2:4" x14ac:dyDescent="0.25">
      <c r="C31" s="20" t="s">
        <v>1405</v>
      </c>
      <c r="D31" s="20" t="s">
        <v>1406</v>
      </c>
    </row>
    <row r="32" spans="2:4" x14ac:dyDescent="0.25">
      <c r="C32" s="20" t="s">
        <v>910</v>
      </c>
      <c r="D32" s="20" t="s">
        <v>1407</v>
      </c>
    </row>
    <row r="33" spans="2:4" x14ac:dyDescent="0.25">
      <c r="C33" s="20" t="s">
        <v>857</v>
      </c>
      <c r="D33" s="20" t="s">
        <v>1408</v>
      </c>
    </row>
    <row r="34" spans="2:4" ht="24" x14ac:dyDescent="0.25">
      <c r="B34" s="57" t="s">
        <v>1409</v>
      </c>
    </row>
    <row r="35" spans="2:4" x14ac:dyDescent="0.25">
      <c r="C35" s="20" t="s">
        <v>1410</v>
      </c>
      <c r="D35" s="20" t="s">
        <v>873</v>
      </c>
    </row>
    <row r="36" spans="2:4" x14ac:dyDescent="0.25">
      <c r="C36" s="20" t="s">
        <v>833</v>
      </c>
      <c r="D36" s="20" t="s">
        <v>1411</v>
      </c>
    </row>
    <row r="37" spans="2:4" x14ac:dyDescent="0.25">
      <c r="C37" s="20" t="s">
        <v>1412</v>
      </c>
      <c r="D37" s="20" t="s">
        <v>961</v>
      </c>
    </row>
    <row r="38" spans="2:4" x14ac:dyDescent="0.25">
      <c r="C38" s="20" t="s">
        <v>1413</v>
      </c>
      <c r="D38" s="20" t="s">
        <v>965</v>
      </c>
    </row>
    <row r="39" spans="2:4" x14ac:dyDescent="0.25">
      <c r="C39" s="20" t="s">
        <v>1414</v>
      </c>
      <c r="D39" s="20" t="s">
        <v>1415</v>
      </c>
    </row>
    <row r="40" spans="2:4" x14ac:dyDescent="0.25">
      <c r="C40" s="20" t="s">
        <v>1416</v>
      </c>
      <c r="D40" s="20" t="s">
        <v>1417</v>
      </c>
    </row>
    <row r="41" spans="2:4" x14ac:dyDescent="0.25">
      <c r="C41" s="20" t="s">
        <v>1418</v>
      </c>
      <c r="D41" s="20" t="s">
        <v>1419</v>
      </c>
    </row>
    <row r="42" spans="2:4" ht="24" x14ac:dyDescent="0.25">
      <c r="B42" s="57" t="s">
        <v>1420</v>
      </c>
    </row>
    <row r="43" spans="2:4" x14ac:dyDescent="0.25">
      <c r="C43" s="20" t="s">
        <v>1421</v>
      </c>
      <c r="D43" s="20" t="s">
        <v>947</v>
      </c>
    </row>
    <row r="44" spans="2:4" x14ac:dyDescent="0.25">
      <c r="C44" s="20" t="s">
        <v>1422</v>
      </c>
      <c r="D44" s="20" t="s">
        <v>1423</v>
      </c>
    </row>
    <row r="45" spans="2:4" x14ac:dyDescent="0.25">
      <c r="C45" s="20" t="s">
        <v>1424</v>
      </c>
      <c r="D45" s="20" t="s">
        <v>1237</v>
      </c>
    </row>
    <row r="46" spans="2:4" x14ac:dyDescent="0.25">
      <c r="C46" s="20" t="s">
        <v>1222</v>
      </c>
      <c r="D46" s="20" t="s">
        <v>1425</v>
      </c>
    </row>
    <row r="47" spans="2:4" x14ac:dyDescent="0.25">
      <c r="C47" s="20" t="s">
        <v>1426</v>
      </c>
      <c r="D47" s="20" t="s">
        <v>1427</v>
      </c>
    </row>
    <row r="48" spans="2:4" x14ac:dyDescent="0.25">
      <c r="C48" s="20" t="s">
        <v>1428</v>
      </c>
      <c r="D48" s="20" t="s">
        <v>1429</v>
      </c>
    </row>
    <row r="49" spans="2:4" x14ac:dyDescent="0.25">
      <c r="C49" s="20" t="s">
        <v>1430</v>
      </c>
      <c r="D49" s="20" t="s">
        <v>1431</v>
      </c>
    </row>
    <row r="50" spans="2:4" ht="26.45" customHeight="1" x14ac:dyDescent="0.25">
      <c r="B50" s="57" t="s">
        <v>1432</v>
      </c>
    </row>
    <row r="51" spans="2:4" x14ac:dyDescent="0.25">
      <c r="C51" s="20" t="s">
        <v>1209</v>
      </c>
      <c r="D51" s="20" t="s">
        <v>1433</v>
      </c>
    </row>
    <row r="52" spans="2:4" x14ac:dyDescent="0.25">
      <c r="C52" s="20" t="s">
        <v>1434</v>
      </c>
      <c r="D52" s="20" t="s">
        <v>1435</v>
      </c>
    </row>
    <row r="53" spans="2:4" x14ac:dyDescent="0.25">
      <c r="C53" s="20" t="s">
        <v>1211</v>
      </c>
      <c r="D53" s="20" t="s">
        <v>1436</v>
      </c>
    </row>
    <row r="54" spans="2:4" x14ac:dyDescent="0.25">
      <c r="C54" s="20" t="s">
        <v>1437</v>
      </c>
      <c r="D54" s="20" t="s">
        <v>1438</v>
      </c>
    </row>
    <row r="55" spans="2:4" x14ac:dyDescent="0.25">
      <c r="C55" s="20" t="s">
        <v>1233</v>
      </c>
      <c r="D55" s="20" t="s">
        <v>1439</v>
      </c>
    </row>
    <row r="56" spans="2:4" x14ac:dyDescent="0.25">
      <c r="C56" s="20" t="s">
        <v>1440</v>
      </c>
      <c r="D56" s="20" t="s">
        <v>1441</v>
      </c>
    </row>
    <row r="57" spans="2:4" x14ac:dyDescent="0.25">
      <c r="C57" s="20" t="s">
        <v>1262</v>
      </c>
      <c r="D57" s="20" t="s">
        <v>1442</v>
      </c>
    </row>
    <row r="58" spans="2:4" x14ac:dyDescent="0.25">
      <c r="C58" s="20" t="s">
        <v>1215</v>
      </c>
      <c r="D58" s="20" t="s">
        <v>1443</v>
      </c>
    </row>
    <row r="59" spans="2:4" ht="24" x14ac:dyDescent="0.25">
      <c r="B59" s="57" t="s">
        <v>1444</v>
      </c>
    </row>
    <row r="60" spans="2:4" x14ac:dyDescent="0.25">
      <c r="C60" s="20" t="s">
        <v>1445</v>
      </c>
      <c r="D60" s="20" t="s">
        <v>1446</v>
      </c>
    </row>
    <row r="61" spans="2:4" x14ac:dyDescent="0.25">
      <c r="C61" s="20" t="s">
        <v>1447</v>
      </c>
      <c r="D61" s="20" t="s">
        <v>1448</v>
      </c>
    </row>
    <row r="62" spans="2:4" x14ac:dyDescent="0.25">
      <c r="C62" s="20" t="s">
        <v>1449</v>
      </c>
      <c r="D62" s="20" t="s">
        <v>1450</v>
      </c>
    </row>
    <row r="63" spans="2:4" x14ac:dyDescent="0.25">
      <c r="C63" s="20" t="s">
        <v>1451</v>
      </c>
      <c r="D63" s="20" t="s">
        <v>1452</v>
      </c>
    </row>
    <row r="64" spans="2:4" x14ac:dyDescent="0.25">
      <c r="C64" s="20" t="s">
        <v>1453</v>
      </c>
      <c r="D64" s="20" t="s">
        <v>1454</v>
      </c>
    </row>
    <row r="65" spans="2:4" ht="24" x14ac:dyDescent="0.25">
      <c r="B65" s="57" t="s">
        <v>1455</v>
      </c>
    </row>
    <row r="66" spans="2:4" x14ac:dyDescent="0.25">
      <c r="C66" s="20" t="s">
        <v>1456</v>
      </c>
      <c r="D66" s="20" t="s">
        <v>1457</v>
      </c>
    </row>
    <row r="67" spans="2:4" x14ac:dyDescent="0.25">
      <c r="C67" s="20" t="s">
        <v>1458</v>
      </c>
      <c r="D67" s="20" t="s">
        <v>1459</v>
      </c>
    </row>
    <row r="68" spans="2:4" x14ac:dyDescent="0.25">
      <c r="C68" s="20" t="s">
        <v>1460</v>
      </c>
      <c r="D68" s="20" t="s">
        <v>1461</v>
      </c>
    </row>
    <row r="69" spans="2:4" x14ac:dyDescent="0.25">
      <c r="C69" s="20" t="s">
        <v>1462</v>
      </c>
      <c r="D69" s="20" t="s">
        <v>1463</v>
      </c>
    </row>
    <row r="70" spans="2:4" x14ac:dyDescent="0.25">
      <c r="C70" s="20" t="s">
        <v>1464</v>
      </c>
      <c r="D70" s="20" t="s">
        <v>1465</v>
      </c>
    </row>
    <row r="71" spans="2:4" ht="24" x14ac:dyDescent="0.25">
      <c r="B71" s="57" t="s">
        <v>1466</v>
      </c>
    </row>
    <row r="72" spans="2:4" x14ac:dyDescent="0.25">
      <c r="C72" s="20" t="s">
        <v>1467</v>
      </c>
      <c r="D72" s="20" t="s">
        <v>1468</v>
      </c>
    </row>
    <row r="73" spans="2:4" x14ac:dyDescent="0.25">
      <c r="C73" s="20" t="s">
        <v>1469</v>
      </c>
      <c r="D73" s="20" t="s">
        <v>1470</v>
      </c>
    </row>
    <row r="74" spans="2:4" x14ac:dyDescent="0.25">
      <c r="C74" s="20" t="s">
        <v>1471</v>
      </c>
      <c r="D74" s="20" t="s">
        <v>1472</v>
      </c>
    </row>
    <row r="75" spans="2:4" x14ac:dyDescent="0.25">
      <c r="C75" s="20" t="s">
        <v>1473</v>
      </c>
      <c r="D75" s="20" t="s">
        <v>1474</v>
      </c>
    </row>
    <row r="76" spans="2:4" x14ac:dyDescent="0.25">
      <c r="C76" s="20" t="s">
        <v>1475</v>
      </c>
      <c r="D76" s="20" t="s">
        <v>1476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D6ACDE-49A6-479A-8B6D-07EB995E1221}">
  <dimension ref="A2:L1167"/>
  <sheetViews>
    <sheetView topLeftCell="C1" workbookViewId="0">
      <selection activeCell="C1" sqref="A1:XFD1048576"/>
    </sheetView>
  </sheetViews>
  <sheetFormatPr defaultRowHeight="15" x14ac:dyDescent="0.25"/>
  <cols>
    <col min="1" max="1" width="39.5703125" bestFit="1" customWidth="1"/>
    <col min="2" max="2" width="46.42578125" bestFit="1" customWidth="1"/>
    <col min="3" max="3" width="7.7109375" bestFit="1" customWidth="1"/>
    <col min="4" max="4" width="37.42578125" bestFit="1" customWidth="1"/>
    <col min="5" max="5" width="4.85546875" bestFit="1" customWidth="1"/>
    <col min="6" max="6" width="11.140625" bestFit="1" customWidth="1"/>
    <col min="7" max="7" width="27.85546875" bestFit="1" customWidth="1"/>
    <col min="8" max="8" width="59.28515625" bestFit="1" customWidth="1"/>
    <col min="9" max="9" width="54.28515625" bestFit="1" customWidth="1"/>
    <col min="10" max="10" width="30.5703125" bestFit="1" customWidth="1"/>
    <col min="11" max="11" width="13.5703125" bestFit="1" customWidth="1"/>
    <col min="12" max="13" width="1.85546875" bestFit="1" customWidth="1"/>
    <col min="14" max="14" width="17.28515625" customWidth="1"/>
    <col min="15" max="15" width="20.140625" bestFit="1" customWidth="1"/>
    <col min="16" max="16" width="5.85546875" bestFit="1" customWidth="1"/>
    <col min="17" max="17" width="12.85546875" bestFit="1" customWidth="1"/>
    <col min="18" max="18" width="1.85546875" bestFit="1" customWidth="1"/>
    <col min="19" max="19" width="7.140625" bestFit="1" customWidth="1"/>
    <col min="20" max="20" width="76.140625" bestFit="1" customWidth="1"/>
    <col min="21" max="21" width="50.5703125" bestFit="1" customWidth="1"/>
    <col min="22" max="22" width="59.5703125" bestFit="1" customWidth="1"/>
    <col min="23" max="23" width="8" bestFit="1" customWidth="1"/>
    <col min="24" max="24" width="1.85546875" bestFit="1" customWidth="1"/>
  </cols>
  <sheetData>
    <row r="2" spans="1:12" x14ac:dyDescent="0.25">
      <c r="A2" t="s">
        <v>4543</v>
      </c>
      <c r="B2" t="s">
        <v>1622</v>
      </c>
      <c r="C2">
        <v>10801</v>
      </c>
      <c r="D2" t="s">
        <v>1597</v>
      </c>
      <c r="E2">
        <v>1</v>
      </c>
      <c r="F2" t="s">
        <v>1598</v>
      </c>
      <c r="G2" t="s">
        <v>1599</v>
      </c>
      <c r="H2" t="s">
        <v>1600</v>
      </c>
      <c r="I2" t="s">
        <v>1601</v>
      </c>
      <c r="K2" t="s">
        <v>795</v>
      </c>
      <c r="L2">
        <v>2</v>
      </c>
    </row>
    <row r="3" spans="1:12" x14ac:dyDescent="0.25">
      <c r="A3" t="s">
        <v>4543</v>
      </c>
      <c r="B3" t="s">
        <v>1622</v>
      </c>
      <c r="C3">
        <v>10801</v>
      </c>
      <c r="D3" t="s">
        <v>1597</v>
      </c>
      <c r="E3">
        <v>1</v>
      </c>
      <c r="F3" t="s">
        <v>1602</v>
      </c>
      <c r="G3" t="s">
        <v>1603</v>
      </c>
      <c r="H3" t="s">
        <v>1604</v>
      </c>
      <c r="I3" t="s">
        <v>1605</v>
      </c>
      <c r="K3" t="s">
        <v>795</v>
      </c>
      <c r="L3">
        <v>2</v>
      </c>
    </row>
    <row r="4" spans="1:12" x14ac:dyDescent="0.25">
      <c r="A4" t="s">
        <v>4543</v>
      </c>
      <c r="B4" t="s">
        <v>1622</v>
      </c>
      <c r="C4">
        <v>10801</v>
      </c>
      <c r="D4" t="s">
        <v>1597</v>
      </c>
      <c r="E4">
        <v>1</v>
      </c>
      <c r="F4" t="s">
        <v>1606</v>
      </c>
      <c r="G4" t="s">
        <v>1607</v>
      </c>
      <c r="H4" t="s">
        <v>1608</v>
      </c>
      <c r="I4" t="s">
        <v>1609</v>
      </c>
      <c r="K4" t="s">
        <v>795</v>
      </c>
      <c r="L4">
        <v>2</v>
      </c>
    </row>
    <row r="5" spans="1:12" x14ac:dyDescent="0.25">
      <c r="A5" t="s">
        <v>4543</v>
      </c>
      <c r="B5" t="s">
        <v>1622</v>
      </c>
      <c r="C5">
        <v>10801</v>
      </c>
      <c r="D5" t="s">
        <v>1597</v>
      </c>
      <c r="E5">
        <v>1</v>
      </c>
      <c r="F5" t="s">
        <v>1610</v>
      </c>
      <c r="G5" t="s">
        <v>1611</v>
      </c>
      <c r="H5" t="s">
        <v>1612</v>
      </c>
      <c r="I5" t="s">
        <v>1613</v>
      </c>
      <c r="K5" t="s">
        <v>795</v>
      </c>
      <c r="L5">
        <v>2</v>
      </c>
    </row>
    <row r="6" spans="1:12" x14ac:dyDescent="0.25">
      <c r="A6" t="s">
        <v>4543</v>
      </c>
      <c r="B6" t="s">
        <v>1622</v>
      </c>
      <c r="C6">
        <v>10801</v>
      </c>
      <c r="D6" t="s">
        <v>1597</v>
      </c>
      <c r="E6">
        <v>1</v>
      </c>
      <c r="F6" t="s">
        <v>1614</v>
      </c>
      <c r="G6" t="s">
        <v>1615</v>
      </c>
      <c r="H6" t="s">
        <v>1616</v>
      </c>
      <c r="I6" t="s">
        <v>1617</v>
      </c>
      <c r="K6" t="s">
        <v>795</v>
      </c>
      <c r="L6">
        <v>2</v>
      </c>
    </row>
    <row r="7" spans="1:12" x14ac:dyDescent="0.25">
      <c r="A7" t="s">
        <v>4543</v>
      </c>
      <c r="B7" t="s">
        <v>1622</v>
      </c>
      <c r="C7">
        <v>10801</v>
      </c>
      <c r="D7" t="s">
        <v>1597</v>
      </c>
      <c r="E7">
        <v>1</v>
      </c>
      <c r="F7" t="s">
        <v>1618</v>
      </c>
      <c r="G7" t="s">
        <v>1619</v>
      </c>
      <c r="H7" t="s">
        <v>1620</v>
      </c>
      <c r="I7" t="s">
        <v>1621</v>
      </c>
      <c r="K7" t="s">
        <v>795</v>
      </c>
      <c r="L7">
        <v>2</v>
      </c>
    </row>
    <row r="8" spans="1:12" x14ac:dyDescent="0.25">
      <c r="A8" t="s">
        <v>4543</v>
      </c>
      <c r="B8" t="s">
        <v>1482</v>
      </c>
      <c r="C8">
        <v>10801</v>
      </c>
      <c r="D8" t="s">
        <v>1597</v>
      </c>
      <c r="E8">
        <v>1</v>
      </c>
      <c r="F8" t="s">
        <v>1623</v>
      </c>
      <c r="G8" t="s">
        <v>1624</v>
      </c>
      <c r="H8" t="s">
        <v>1625</v>
      </c>
      <c r="I8" t="s">
        <v>1626</v>
      </c>
      <c r="K8" t="s">
        <v>795</v>
      </c>
      <c r="L8">
        <v>2</v>
      </c>
    </row>
    <row r="9" spans="1:12" x14ac:dyDescent="0.25">
      <c r="A9" t="s">
        <v>4543</v>
      </c>
      <c r="B9" t="s">
        <v>1482</v>
      </c>
      <c r="C9">
        <v>10801</v>
      </c>
      <c r="D9" t="s">
        <v>1597</v>
      </c>
      <c r="E9">
        <v>1</v>
      </c>
      <c r="F9" t="s">
        <v>1623</v>
      </c>
      <c r="G9" t="s">
        <v>1624</v>
      </c>
      <c r="H9" t="s">
        <v>1627</v>
      </c>
      <c r="I9" t="s">
        <v>1628</v>
      </c>
      <c r="K9" t="s">
        <v>795</v>
      </c>
      <c r="L9">
        <v>2</v>
      </c>
    </row>
    <row r="10" spans="1:12" x14ac:dyDescent="0.25">
      <c r="A10" t="s">
        <v>4543</v>
      </c>
      <c r="B10" t="s">
        <v>1482</v>
      </c>
      <c r="C10">
        <v>10801</v>
      </c>
      <c r="D10" t="s">
        <v>1597</v>
      </c>
      <c r="E10">
        <v>1</v>
      </c>
      <c r="F10" t="s">
        <v>1623</v>
      </c>
      <c r="G10" t="s">
        <v>1624</v>
      </c>
      <c r="H10" t="s">
        <v>1629</v>
      </c>
      <c r="I10" t="s">
        <v>1630</v>
      </c>
      <c r="K10" t="s">
        <v>795</v>
      </c>
      <c r="L10">
        <v>2</v>
      </c>
    </row>
    <row r="11" spans="1:12" x14ac:dyDescent="0.25">
      <c r="A11" t="s">
        <v>4543</v>
      </c>
      <c r="B11" t="s">
        <v>1482</v>
      </c>
      <c r="C11">
        <v>10801</v>
      </c>
      <c r="D11" t="s">
        <v>1597</v>
      </c>
      <c r="E11">
        <v>1</v>
      </c>
      <c r="F11" t="s">
        <v>1623</v>
      </c>
      <c r="G11" t="s">
        <v>1624</v>
      </c>
      <c r="H11" t="s">
        <v>1631</v>
      </c>
      <c r="I11" t="s">
        <v>1632</v>
      </c>
      <c r="K11" t="s">
        <v>795</v>
      </c>
      <c r="L11">
        <v>2</v>
      </c>
    </row>
    <row r="12" spans="1:12" x14ac:dyDescent="0.25">
      <c r="A12" t="s">
        <v>4543</v>
      </c>
      <c r="B12" t="s">
        <v>1482</v>
      </c>
      <c r="C12">
        <v>10801</v>
      </c>
      <c r="D12" t="s">
        <v>1597</v>
      </c>
      <c r="E12">
        <v>1</v>
      </c>
      <c r="F12" t="s">
        <v>1633</v>
      </c>
      <c r="G12" t="s">
        <v>1634</v>
      </c>
      <c r="H12" t="s">
        <v>1635</v>
      </c>
      <c r="I12" t="s">
        <v>1636</v>
      </c>
      <c r="K12" t="s">
        <v>795</v>
      </c>
      <c r="L12">
        <v>2</v>
      </c>
    </row>
    <row r="13" spans="1:12" x14ac:dyDescent="0.25">
      <c r="A13" t="s">
        <v>4543</v>
      </c>
      <c r="B13" t="s">
        <v>1486</v>
      </c>
      <c r="C13">
        <v>10801</v>
      </c>
      <c r="D13" t="s">
        <v>1597</v>
      </c>
      <c r="E13">
        <v>1</v>
      </c>
      <c r="F13" t="s">
        <v>1637</v>
      </c>
      <c r="G13" t="s">
        <v>1638</v>
      </c>
      <c r="H13" t="s">
        <v>1639</v>
      </c>
      <c r="I13" t="s">
        <v>1640</v>
      </c>
      <c r="K13" t="s">
        <v>795</v>
      </c>
      <c r="L13">
        <v>2</v>
      </c>
    </row>
    <row r="14" spans="1:12" x14ac:dyDescent="0.25">
      <c r="A14" t="s">
        <v>4543</v>
      </c>
      <c r="B14" t="s">
        <v>1486</v>
      </c>
      <c r="C14">
        <v>10801</v>
      </c>
      <c r="D14" t="s">
        <v>1597</v>
      </c>
      <c r="E14">
        <v>1</v>
      </c>
      <c r="F14" t="s">
        <v>1637</v>
      </c>
      <c r="G14" t="s">
        <v>1638</v>
      </c>
      <c r="H14" t="s">
        <v>1641</v>
      </c>
      <c r="I14" t="s">
        <v>1642</v>
      </c>
      <c r="K14" t="s">
        <v>795</v>
      </c>
      <c r="L14">
        <v>2</v>
      </c>
    </row>
    <row r="15" spans="1:12" x14ac:dyDescent="0.25">
      <c r="A15" t="s">
        <v>4543</v>
      </c>
      <c r="B15" t="s">
        <v>1486</v>
      </c>
      <c r="C15">
        <v>10801</v>
      </c>
      <c r="D15" t="s">
        <v>1597</v>
      </c>
      <c r="E15">
        <v>1</v>
      </c>
      <c r="F15" t="s">
        <v>1643</v>
      </c>
      <c r="G15" t="s">
        <v>1644</v>
      </c>
      <c r="H15" t="s">
        <v>1645</v>
      </c>
      <c r="I15" t="s">
        <v>1646</v>
      </c>
      <c r="K15" t="s">
        <v>795</v>
      </c>
      <c r="L15">
        <v>2</v>
      </c>
    </row>
    <row r="16" spans="1:12" x14ac:dyDescent="0.25">
      <c r="A16" t="s">
        <v>4543</v>
      </c>
      <c r="B16" t="s">
        <v>1486</v>
      </c>
      <c r="C16">
        <v>10801</v>
      </c>
      <c r="D16" t="s">
        <v>1597</v>
      </c>
      <c r="E16">
        <v>1</v>
      </c>
      <c r="F16" t="s">
        <v>1647</v>
      </c>
      <c r="G16" t="s">
        <v>1648</v>
      </c>
      <c r="H16" t="s">
        <v>1649</v>
      </c>
      <c r="I16" t="s">
        <v>1650</v>
      </c>
      <c r="K16" t="s">
        <v>795</v>
      </c>
      <c r="L16">
        <v>2</v>
      </c>
    </row>
    <row r="17" spans="1:12" x14ac:dyDescent="0.25">
      <c r="A17" t="s">
        <v>4543</v>
      </c>
      <c r="B17" t="s">
        <v>1486</v>
      </c>
      <c r="C17">
        <v>10801</v>
      </c>
      <c r="D17" t="s">
        <v>1597</v>
      </c>
      <c r="E17">
        <v>1</v>
      </c>
      <c r="F17" t="s">
        <v>1651</v>
      </c>
      <c r="G17" t="s">
        <v>1652</v>
      </c>
      <c r="H17" t="s">
        <v>1653</v>
      </c>
      <c r="I17" t="s">
        <v>1654</v>
      </c>
      <c r="K17" t="s">
        <v>795</v>
      </c>
      <c r="L17">
        <v>2</v>
      </c>
    </row>
    <row r="18" spans="1:12" x14ac:dyDescent="0.25">
      <c r="A18" t="s">
        <v>4543</v>
      </c>
      <c r="B18" t="s">
        <v>1492</v>
      </c>
      <c r="C18">
        <v>10801</v>
      </c>
      <c r="D18" t="s">
        <v>1597</v>
      </c>
      <c r="E18">
        <v>1</v>
      </c>
      <c r="F18" t="s">
        <v>1655</v>
      </c>
      <c r="G18" t="s">
        <v>1656</v>
      </c>
      <c r="H18" t="s">
        <v>1657</v>
      </c>
      <c r="I18" t="s">
        <v>1658</v>
      </c>
      <c r="K18" t="s">
        <v>795</v>
      </c>
      <c r="L18">
        <v>2</v>
      </c>
    </row>
    <row r="19" spans="1:12" x14ac:dyDescent="0.25">
      <c r="A19" t="s">
        <v>4543</v>
      </c>
      <c r="B19" t="s">
        <v>1492</v>
      </c>
      <c r="C19">
        <v>10801</v>
      </c>
      <c r="D19" t="s">
        <v>1597</v>
      </c>
      <c r="E19">
        <v>1</v>
      </c>
      <c r="F19" t="s">
        <v>1659</v>
      </c>
      <c r="G19" t="s">
        <v>1660</v>
      </c>
      <c r="H19" t="s">
        <v>1661</v>
      </c>
      <c r="I19" t="s">
        <v>1662</v>
      </c>
      <c r="K19" t="s">
        <v>795</v>
      </c>
      <c r="L19">
        <v>2</v>
      </c>
    </row>
    <row r="20" spans="1:12" x14ac:dyDescent="0.25">
      <c r="A20" t="s">
        <v>4543</v>
      </c>
      <c r="B20" t="s">
        <v>1492</v>
      </c>
      <c r="C20">
        <v>10801</v>
      </c>
      <c r="D20" t="s">
        <v>1597</v>
      </c>
      <c r="E20">
        <v>1</v>
      </c>
      <c r="F20" t="s">
        <v>1659</v>
      </c>
      <c r="G20" t="s">
        <v>1660</v>
      </c>
      <c r="H20" t="s">
        <v>1663</v>
      </c>
      <c r="I20" t="s">
        <v>1664</v>
      </c>
      <c r="K20" t="s">
        <v>795</v>
      </c>
      <c r="L20">
        <v>2</v>
      </c>
    </row>
    <row r="21" spans="1:12" x14ac:dyDescent="0.25">
      <c r="A21" t="s">
        <v>4543</v>
      </c>
      <c r="B21" t="s">
        <v>1492</v>
      </c>
      <c r="C21">
        <v>10801</v>
      </c>
      <c r="D21" t="s">
        <v>1597</v>
      </c>
      <c r="E21">
        <v>1</v>
      </c>
      <c r="F21" t="s">
        <v>1659</v>
      </c>
      <c r="G21" t="s">
        <v>1660</v>
      </c>
      <c r="H21" t="s">
        <v>1665</v>
      </c>
      <c r="I21" t="s">
        <v>1666</v>
      </c>
      <c r="K21" t="s">
        <v>795</v>
      </c>
      <c r="L21">
        <v>2</v>
      </c>
    </row>
    <row r="22" spans="1:12" x14ac:dyDescent="0.25">
      <c r="A22" t="s">
        <v>4543</v>
      </c>
      <c r="B22" t="s">
        <v>1492</v>
      </c>
      <c r="C22">
        <v>10801</v>
      </c>
      <c r="D22" t="s">
        <v>1597</v>
      </c>
      <c r="E22">
        <v>1</v>
      </c>
      <c r="F22" t="s">
        <v>1667</v>
      </c>
      <c r="G22" t="s">
        <v>1668</v>
      </c>
      <c r="H22" t="s">
        <v>1669</v>
      </c>
      <c r="I22" t="s">
        <v>1670</v>
      </c>
      <c r="K22" t="s">
        <v>795</v>
      </c>
      <c r="L22">
        <v>2</v>
      </c>
    </row>
    <row r="23" spans="1:12" x14ac:dyDescent="0.25">
      <c r="A23" t="s">
        <v>4543</v>
      </c>
      <c r="B23" t="s">
        <v>1495</v>
      </c>
      <c r="C23">
        <v>10801</v>
      </c>
      <c r="D23" t="s">
        <v>1597</v>
      </c>
      <c r="E23">
        <v>1</v>
      </c>
      <c r="F23" t="s">
        <v>1671</v>
      </c>
      <c r="G23" t="s">
        <v>1672</v>
      </c>
      <c r="H23" t="s">
        <v>1673</v>
      </c>
      <c r="I23" t="s">
        <v>1674</v>
      </c>
      <c r="K23" t="s">
        <v>795</v>
      </c>
      <c r="L23">
        <v>2</v>
      </c>
    </row>
    <row r="24" spans="1:12" x14ac:dyDescent="0.25">
      <c r="A24" t="s">
        <v>4543</v>
      </c>
      <c r="B24" t="s">
        <v>1495</v>
      </c>
      <c r="C24">
        <v>10801</v>
      </c>
      <c r="D24" t="s">
        <v>1597</v>
      </c>
      <c r="E24">
        <v>1</v>
      </c>
      <c r="F24" t="s">
        <v>1671</v>
      </c>
      <c r="G24" t="s">
        <v>1672</v>
      </c>
      <c r="H24" t="s">
        <v>1675</v>
      </c>
      <c r="I24" t="s">
        <v>1676</v>
      </c>
      <c r="K24" t="s">
        <v>795</v>
      </c>
      <c r="L24">
        <v>2</v>
      </c>
    </row>
    <row r="25" spans="1:12" x14ac:dyDescent="0.25">
      <c r="A25" t="s">
        <v>4540</v>
      </c>
      <c r="B25" t="s">
        <v>1622</v>
      </c>
      <c r="C25">
        <v>10811</v>
      </c>
      <c r="D25" t="s">
        <v>1725</v>
      </c>
      <c r="E25">
        <v>1.5</v>
      </c>
      <c r="F25" t="s">
        <v>1598</v>
      </c>
      <c r="G25" t="s">
        <v>1599</v>
      </c>
      <c r="H25" t="s">
        <v>1600</v>
      </c>
      <c r="I25" t="s">
        <v>1601</v>
      </c>
      <c r="K25" t="s">
        <v>795</v>
      </c>
      <c r="L25">
        <v>2</v>
      </c>
    </row>
    <row r="26" spans="1:12" x14ac:dyDescent="0.25">
      <c r="A26" t="s">
        <v>4540</v>
      </c>
      <c r="B26" t="s">
        <v>1622</v>
      </c>
      <c r="C26">
        <v>10811</v>
      </c>
      <c r="D26" t="s">
        <v>1725</v>
      </c>
      <c r="E26">
        <v>1.5</v>
      </c>
      <c r="F26" t="s">
        <v>1602</v>
      </c>
      <c r="G26" t="s">
        <v>1603</v>
      </c>
      <c r="H26" t="s">
        <v>1604</v>
      </c>
      <c r="I26" t="s">
        <v>1605</v>
      </c>
      <c r="K26" t="s">
        <v>795</v>
      </c>
      <c r="L26">
        <v>2</v>
      </c>
    </row>
    <row r="27" spans="1:12" x14ac:dyDescent="0.25">
      <c r="A27" t="s">
        <v>4540</v>
      </c>
      <c r="B27" t="s">
        <v>1622</v>
      </c>
      <c r="C27">
        <v>10811</v>
      </c>
      <c r="D27" t="s">
        <v>1725</v>
      </c>
      <c r="E27">
        <v>1.5</v>
      </c>
      <c r="F27" t="s">
        <v>1606</v>
      </c>
      <c r="G27" t="s">
        <v>1607</v>
      </c>
      <c r="H27" t="s">
        <v>1608</v>
      </c>
      <c r="I27" t="s">
        <v>1609</v>
      </c>
      <c r="K27" t="s">
        <v>795</v>
      </c>
      <c r="L27">
        <v>2</v>
      </c>
    </row>
    <row r="28" spans="1:12" x14ac:dyDescent="0.25">
      <c r="A28" t="s">
        <v>4540</v>
      </c>
      <c r="B28" t="s">
        <v>1622</v>
      </c>
      <c r="C28">
        <v>10811</v>
      </c>
      <c r="D28" t="s">
        <v>1725</v>
      </c>
      <c r="E28">
        <v>1.5</v>
      </c>
      <c r="F28" t="s">
        <v>1610</v>
      </c>
      <c r="G28" t="s">
        <v>1611</v>
      </c>
      <c r="H28" t="s">
        <v>1612</v>
      </c>
      <c r="I28" t="s">
        <v>1613</v>
      </c>
      <c r="K28" t="s">
        <v>795</v>
      </c>
      <c r="L28">
        <v>2</v>
      </c>
    </row>
    <row r="29" spans="1:12" x14ac:dyDescent="0.25">
      <c r="A29" t="s">
        <v>4540</v>
      </c>
      <c r="B29" t="s">
        <v>1622</v>
      </c>
      <c r="C29">
        <v>10811</v>
      </c>
      <c r="D29" t="s">
        <v>1725</v>
      </c>
      <c r="E29">
        <v>1.5</v>
      </c>
      <c r="F29" t="s">
        <v>1614</v>
      </c>
      <c r="G29" t="s">
        <v>1615</v>
      </c>
      <c r="H29" t="s">
        <v>1616</v>
      </c>
      <c r="I29" t="s">
        <v>1617</v>
      </c>
      <c r="K29" t="s">
        <v>795</v>
      </c>
      <c r="L29">
        <v>2</v>
      </c>
    </row>
    <row r="30" spans="1:12" x14ac:dyDescent="0.25">
      <c r="A30" t="s">
        <v>4540</v>
      </c>
      <c r="B30" t="s">
        <v>1622</v>
      </c>
      <c r="C30">
        <v>10811</v>
      </c>
      <c r="D30" t="s">
        <v>1725</v>
      </c>
      <c r="E30">
        <v>1.5</v>
      </c>
      <c r="F30" t="s">
        <v>1618</v>
      </c>
      <c r="G30" t="s">
        <v>1619</v>
      </c>
      <c r="H30" t="s">
        <v>1620</v>
      </c>
      <c r="I30" t="s">
        <v>1621</v>
      </c>
      <c r="K30" t="s">
        <v>795</v>
      </c>
      <c r="L30">
        <v>2</v>
      </c>
    </row>
    <row r="31" spans="1:12" x14ac:dyDescent="0.25">
      <c r="A31" t="s">
        <v>4540</v>
      </c>
      <c r="B31" t="s">
        <v>1724</v>
      </c>
      <c r="C31">
        <v>10811</v>
      </c>
      <c r="D31" t="s">
        <v>1725</v>
      </c>
      <c r="E31">
        <v>1.5</v>
      </c>
      <c r="F31" t="s">
        <v>1598</v>
      </c>
      <c r="G31" t="s">
        <v>1726</v>
      </c>
      <c r="H31" t="s">
        <v>1727</v>
      </c>
      <c r="I31" t="s">
        <v>1728</v>
      </c>
      <c r="K31" t="s">
        <v>795</v>
      </c>
      <c r="L31">
        <v>2</v>
      </c>
    </row>
    <row r="32" spans="1:12" x14ac:dyDescent="0.25">
      <c r="A32" t="s">
        <v>4540</v>
      </c>
      <c r="B32" t="s">
        <v>1724</v>
      </c>
      <c r="C32">
        <v>10811</v>
      </c>
      <c r="D32" t="s">
        <v>1725</v>
      </c>
      <c r="E32">
        <v>1.5</v>
      </c>
      <c r="F32" t="s">
        <v>1598</v>
      </c>
      <c r="G32" t="s">
        <v>1729</v>
      </c>
      <c r="H32" t="s">
        <v>1730</v>
      </c>
      <c r="I32" t="s">
        <v>1731</v>
      </c>
      <c r="K32" t="s">
        <v>795</v>
      </c>
      <c r="L32">
        <v>2</v>
      </c>
    </row>
    <row r="33" spans="1:12" x14ac:dyDescent="0.25">
      <c r="A33" t="s">
        <v>4540</v>
      </c>
      <c r="B33" t="s">
        <v>1724</v>
      </c>
      <c r="C33">
        <v>10811</v>
      </c>
      <c r="D33" t="s">
        <v>1725</v>
      </c>
      <c r="E33">
        <v>1.5</v>
      </c>
      <c r="F33" t="s">
        <v>1598</v>
      </c>
      <c r="G33" t="s">
        <v>1732</v>
      </c>
      <c r="H33" t="s">
        <v>1733</v>
      </c>
      <c r="I33" t="s">
        <v>1734</v>
      </c>
      <c r="K33" t="s">
        <v>795</v>
      </c>
      <c r="L33">
        <v>2</v>
      </c>
    </row>
    <row r="34" spans="1:12" x14ac:dyDescent="0.25">
      <c r="A34" t="s">
        <v>4540</v>
      </c>
      <c r="B34" t="s">
        <v>1735</v>
      </c>
      <c r="C34">
        <v>10811</v>
      </c>
      <c r="D34" t="s">
        <v>1725</v>
      </c>
      <c r="E34">
        <v>1.5</v>
      </c>
      <c r="F34" t="s">
        <v>1602</v>
      </c>
      <c r="G34" t="s">
        <v>1603</v>
      </c>
      <c r="H34" t="s">
        <v>1736</v>
      </c>
      <c r="I34" t="s">
        <v>1737</v>
      </c>
      <c r="K34" t="s">
        <v>795</v>
      </c>
      <c r="L34">
        <v>2</v>
      </c>
    </row>
    <row r="35" spans="1:12" x14ac:dyDescent="0.25">
      <c r="A35" t="s">
        <v>4540</v>
      </c>
      <c r="B35" t="s">
        <v>1735</v>
      </c>
      <c r="C35">
        <v>10811</v>
      </c>
      <c r="D35" t="s">
        <v>1725</v>
      </c>
      <c r="E35">
        <v>1.5</v>
      </c>
      <c r="F35" t="s">
        <v>1602</v>
      </c>
      <c r="G35" t="s">
        <v>1738</v>
      </c>
      <c r="H35" t="s">
        <v>1739</v>
      </c>
      <c r="I35" t="s">
        <v>1740</v>
      </c>
      <c r="K35" t="s">
        <v>795</v>
      </c>
      <c r="L35">
        <v>2</v>
      </c>
    </row>
    <row r="36" spans="1:12" x14ac:dyDescent="0.25">
      <c r="A36" t="s">
        <v>4540</v>
      </c>
      <c r="B36" t="s">
        <v>1735</v>
      </c>
      <c r="C36">
        <v>10811</v>
      </c>
      <c r="D36" t="s">
        <v>1725</v>
      </c>
      <c r="E36">
        <v>1.5</v>
      </c>
      <c r="F36" t="s">
        <v>1602</v>
      </c>
      <c r="G36" t="s">
        <v>1741</v>
      </c>
      <c r="H36" t="s">
        <v>1742</v>
      </c>
      <c r="I36" t="s">
        <v>1743</v>
      </c>
      <c r="K36" t="s">
        <v>795</v>
      </c>
      <c r="L36">
        <v>2</v>
      </c>
    </row>
    <row r="37" spans="1:12" x14ac:dyDescent="0.25">
      <c r="A37" t="s">
        <v>4540</v>
      </c>
      <c r="B37" t="s">
        <v>1744</v>
      </c>
      <c r="C37">
        <v>10811</v>
      </c>
      <c r="D37" t="s">
        <v>1725</v>
      </c>
      <c r="E37">
        <v>1.5</v>
      </c>
      <c r="F37" t="s">
        <v>1606</v>
      </c>
      <c r="G37" t="s">
        <v>1607</v>
      </c>
      <c r="H37" t="s">
        <v>1745</v>
      </c>
      <c r="I37" t="s">
        <v>1746</v>
      </c>
      <c r="K37" t="s">
        <v>795</v>
      </c>
      <c r="L37">
        <v>2</v>
      </c>
    </row>
    <row r="38" spans="1:12" x14ac:dyDescent="0.25">
      <c r="A38" t="s">
        <v>4540</v>
      </c>
      <c r="B38" t="s">
        <v>1744</v>
      </c>
      <c r="C38">
        <v>10811</v>
      </c>
      <c r="D38" t="s">
        <v>1725</v>
      </c>
      <c r="E38">
        <v>1.5</v>
      </c>
      <c r="F38" t="s">
        <v>1606</v>
      </c>
      <c r="G38" t="s">
        <v>1747</v>
      </c>
      <c r="H38" t="s">
        <v>1748</v>
      </c>
      <c r="I38" t="s">
        <v>1749</v>
      </c>
      <c r="K38" t="s">
        <v>795</v>
      </c>
      <c r="L38">
        <v>2</v>
      </c>
    </row>
    <row r="39" spans="1:12" x14ac:dyDescent="0.25">
      <c r="A39" t="s">
        <v>4540</v>
      </c>
      <c r="B39" t="s">
        <v>1744</v>
      </c>
      <c r="C39">
        <v>10811</v>
      </c>
      <c r="D39" t="s">
        <v>1725</v>
      </c>
      <c r="E39">
        <v>1.5</v>
      </c>
      <c r="F39" t="s">
        <v>1606</v>
      </c>
      <c r="G39" t="s">
        <v>1750</v>
      </c>
      <c r="H39" t="s">
        <v>1751</v>
      </c>
      <c r="I39" t="s">
        <v>1752</v>
      </c>
      <c r="K39" t="s">
        <v>795</v>
      </c>
      <c r="L39">
        <v>2</v>
      </c>
    </row>
    <row r="40" spans="1:12" x14ac:dyDescent="0.25">
      <c r="A40" t="s">
        <v>4540</v>
      </c>
      <c r="B40" t="s">
        <v>1753</v>
      </c>
      <c r="C40">
        <v>10811</v>
      </c>
      <c r="D40" t="s">
        <v>1725</v>
      </c>
      <c r="E40">
        <v>1.5</v>
      </c>
      <c r="F40" t="s">
        <v>1754</v>
      </c>
      <c r="G40" t="s">
        <v>1755</v>
      </c>
      <c r="H40" t="s">
        <v>1756</v>
      </c>
      <c r="I40" t="s">
        <v>1757</v>
      </c>
      <c r="K40" t="s">
        <v>795</v>
      </c>
      <c r="L40">
        <v>2</v>
      </c>
    </row>
    <row r="41" spans="1:12" x14ac:dyDescent="0.25">
      <c r="A41" t="s">
        <v>4540</v>
      </c>
      <c r="B41" t="s">
        <v>1753</v>
      </c>
      <c r="C41">
        <v>10811</v>
      </c>
      <c r="D41" t="s">
        <v>1725</v>
      </c>
      <c r="E41">
        <v>1.5</v>
      </c>
      <c r="F41" t="s">
        <v>1754</v>
      </c>
      <c r="G41" t="s">
        <v>1758</v>
      </c>
      <c r="H41" t="s">
        <v>1759</v>
      </c>
      <c r="I41" t="s">
        <v>1760</v>
      </c>
      <c r="K41" t="s">
        <v>795</v>
      </c>
      <c r="L41">
        <v>2</v>
      </c>
    </row>
    <row r="42" spans="1:12" x14ac:dyDescent="0.25">
      <c r="A42" t="s">
        <v>4540</v>
      </c>
      <c r="B42" t="s">
        <v>1753</v>
      </c>
      <c r="C42">
        <v>10811</v>
      </c>
      <c r="D42" t="s">
        <v>1725</v>
      </c>
      <c r="E42">
        <v>1.5</v>
      </c>
      <c r="F42" t="s">
        <v>1754</v>
      </c>
      <c r="G42" t="s">
        <v>1363</v>
      </c>
      <c r="H42" t="s">
        <v>1761</v>
      </c>
      <c r="I42" t="s">
        <v>1762</v>
      </c>
      <c r="K42" t="s">
        <v>795</v>
      </c>
      <c r="L42">
        <v>2</v>
      </c>
    </row>
    <row r="43" spans="1:12" x14ac:dyDescent="0.25">
      <c r="A43" t="s">
        <v>4540</v>
      </c>
      <c r="B43" t="s">
        <v>1763</v>
      </c>
      <c r="C43">
        <v>10811</v>
      </c>
      <c r="D43" t="s">
        <v>1725</v>
      </c>
      <c r="E43">
        <v>1.5</v>
      </c>
      <c r="F43" t="s">
        <v>1659</v>
      </c>
      <c r="G43" t="s">
        <v>1764</v>
      </c>
      <c r="H43" t="s">
        <v>1765</v>
      </c>
      <c r="I43" t="s">
        <v>1766</v>
      </c>
      <c r="K43" t="s">
        <v>795</v>
      </c>
      <c r="L43">
        <v>2</v>
      </c>
    </row>
    <row r="44" spans="1:12" x14ac:dyDescent="0.25">
      <c r="A44" t="s">
        <v>4540</v>
      </c>
      <c r="B44" t="s">
        <v>1763</v>
      </c>
      <c r="C44">
        <v>10811</v>
      </c>
      <c r="D44" t="s">
        <v>1725</v>
      </c>
      <c r="E44">
        <v>1.5</v>
      </c>
      <c r="F44" t="s">
        <v>1643</v>
      </c>
      <c r="G44" t="s">
        <v>1767</v>
      </c>
      <c r="H44" t="s">
        <v>1768</v>
      </c>
      <c r="I44" t="s">
        <v>1769</v>
      </c>
      <c r="K44" t="s">
        <v>795</v>
      </c>
      <c r="L44">
        <v>2</v>
      </c>
    </row>
    <row r="45" spans="1:12" x14ac:dyDescent="0.25">
      <c r="A45" t="s">
        <v>4540</v>
      </c>
      <c r="B45" t="s">
        <v>1770</v>
      </c>
      <c r="C45">
        <v>10811</v>
      </c>
      <c r="D45" t="s">
        <v>1725</v>
      </c>
      <c r="E45">
        <v>1.5</v>
      </c>
      <c r="F45" t="s">
        <v>1633</v>
      </c>
      <c r="G45" t="s">
        <v>1634</v>
      </c>
      <c r="H45" t="s">
        <v>1771</v>
      </c>
      <c r="I45" t="s">
        <v>1772</v>
      </c>
      <c r="K45" t="s">
        <v>795</v>
      </c>
      <c r="L45">
        <v>2</v>
      </c>
    </row>
    <row r="46" spans="1:12" x14ac:dyDescent="0.25">
      <c r="A46" t="s">
        <v>4540</v>
      </c>
      <c r="B46" t="s">
        <v>1770</v>
      </c>
      <c r="C46">
        <v>10811</v>
      </c>
      <c r="D46" t="s">
        <v>1725</v>
      </c>
      <c r="E46">
        <v>1.5</v>
      </c>
      <c r="F46" t="s">
        <v>1614</v>
      </c>
      <c r="G46" t="s">
        <v>1615</v>
      </c>
      <c r="H46" t="s">
        <v>1773</v>
      </c>
      <c r="I46" t="s">
        <v>1774</v>
      </c>
      <c r="K46" t="s">
        <v>795</v>
      </c>
      <c r="L46">
        <v>2</v>
      </c>
    </row>
    <row r="47" spans="1:12" x14ac:dyDescent="0.25">
      <c r="A47" t="s">
        <v>4540</v>
      </c>
      <c r="B47" t="s">
        <v>1770</v>
      </c>
      <c r="C47">
        <v>10811</v>
      </c>
      <c r="D47" t="s">
        <v>1725</v>
      </c>
      <c r="E47">
        <v>1.5</v>
      </c>
      <c r="F47" t="s">
        <v>1633</v>
      </c>
      <c r="G47" t="s">
        <v>1775</v>
      </c>
      <c r="H47" t="s">
        <v>1776</v>
      </c>
      <c r="I47" t="s">
        <v>1777</v>
      </c>
      <c r="K47" t="s">
        <v>795</v>
      </c>
      <c r="L47">
        <v>2</v>
      </c>
    </row>
    <row r="48" spans="1:12" x14ac:dyDescent="0.25">
      <c r="A48" t="s">
        <v>4542</v>
      </c>
      <c r="B48" t="s">
        <v>1622</v>
      </c>
      <c r="C48">
        <v>10802</v>
      </c>
      <c r="D48" t="s">
        <v>1677</v>
      </c>
      <c r="E48">
        <v>2</v>
      </c>
      <c r="F48" t="s">
        <v>1598</v>
      </c>
      <c r="G48" t="s">
        <v>1599</v>
      </c>
      <c r="H48" t="s">
        <v>1600</v>
      </c>
      <c r="I48" t="s">
        <v>1601</v>
      </c>
      <c r="K48" t="s">
        <v>795</v>
      </c>
      <c r="L48">
        <v>2</v>
      </c>
    </row>
    <row r="49" spans="1:12" x14ac:dyDescent="0.25">
      <c r="A49" t="s">
        <v>4542</v>
      </c>
      <c r="B49" t="s">
        <v>1622</v>
      </c>
      <c r="C49">
        <v>10802</v>
      </c>
      <c r="D49" t="s">
        <v>1677</v>
      </c>
      <c r="E49">
        <v>2</v>
      </c>
      <c r="F49" t="s">
        <v>1602</v>
      </c>
      <c r="G49" t="s">
        <v>1603</v>
      </c>
      <c r="H49" t="s">
        <v>1604</v>
      </c>
      <c r="I49" t="s">
        <v>1605</v>
      </c>
      <c r="K49" t="s">
        <v>795</v>
      </c>
      <c r="L49">
        <v>2</v>
      </c>
    </row>
    <row r="50" spans="1:12" x14ac:dyDescent="0.25">
      <c r="A50" t="s">
        <v>4542</v>
      </c>
      <c r="B50" t="s">
        <v>1622</v>
      </c>
      <c r="C50">
        <v>10802</v>
      </c>
      <c r="D50" t="s">
        <v>1677</v>
      </c>
      <c r="E50">
        <v>2</v>
      </c>
      <c r="F50" t="s">
        <v>1606</v>
      </c>
      <c r="G50" t="s">
        <v>1607</v>
      </c>
      <c r="H50" t="s">
        <v>1608</v>
      </c>
      <c r="I50" t="s">
        <v>1609</v>
      </c>
      <c r="K50" t="s">
        <v>795</v>
      </c>
      <c r="L50">
        <v>2</v>
      </c>
    </row>
    <row r="51" spans="1:12" x14ac:dyDescent="0.25">
      <c r="A51" t="s">
        <v>4542</v>
      </c>
      <c r="B51" t="s">
        <v>1622</v>
      </c>
      <c r="C51">
        <v>10802</v>
      </c>
      <c r="D51" t="s">
        <v>1677</v>
      </c>
      <c r="E51">
        <v>2</v>
      </c>
      <c r="F51" t="s">
        <v>1610</v>
      </c>
      <c r="G51" t="s">
        <v>1611</v>
      </c>
      <c r="H51" t="s">
        <v>1612</v>
      </c>
      <c r="I51" t="s">
        <v>1613</v>
      </c>
      <c r="K51" t="s">
        <v>795</v>
      </c>
      <c r="L51">
        <v>2</v>
      </c>
    </row>
    <row r="52" spans="1:12" x14ac:dyDescent="0.25">
      <c r="A52" t="s">
        <v>4542</v>
      </c>
      <c r="B52" t="s">
        <v>1622</v>
      </c>
      <c r="C52">
        <v>10802</v>
      </c>
      <c r="D52" t="s">
        <v>1677</v>
      </c>
      <c r="E52">
        <v>2</v>
      </c>
      <c r="F52" t="s">
        <v>1614</v>
      </c>
      <c r="G52" t="s">
        <v>1615</v>
      </c>
      <c r="H52" t="s">
        <v>1616</v>
      </c>
      <c r="I52" t="s">
        <v>1617</v>
      </c>
      <c r="K52" t="s">
        <v>795</v>
      </c>
      <c r="L52">
        <v>2</v>
      </c>
    </row>
    <row r="53" spans="1:12" x14ac:dyDescent="0.25">
      <c r="A53" t="s">
        <v>4542</v>
      </c>
      <c r="B53" t="s">
        <v>1622</v>
      </c>
      <c r="C53">
        <v>10802</v>
      </c>
      <c r="D53" t="s">
        <v>1677</v>
      </c>
      <c r="E53">
        <v>2</v>
      </c>
      <c r="F53" t="s">
        <v>1618</v>
      </c>
      <c r="G53" t="s">
        <v>1619</v>
      </c>
      <c r="H53" t="s">
        <v>1620</v>
      </c>
      <c r="I53" t="s">
        <v>1621</v>
      </c>
      <c r="K53" t="s">
        <v>795</v>
      </c>
      <c r="L53">
        <v>2</v>
      </c>
    </row>
    <row r="54" spans="1:12" x14ac:dyDescent="0.25">
      <c r="A54" t="s">
        <v>4542</v>
      </c>
      <c r="B54" t="s">
        <v>1498</v>
      </c>
      <c r="C54">
        <v>10802</v>
      </c>
      <c r="D54" t="s">
        <v>1677</v>
      </c>
      <c r="E54">
        <v>2</v>
      </c>
      <c r="F54" t="s">
        <v>1655</v>
      </c>
      <c r="G54" t="s">
        <v>1678</v>
      </c>
      <c r="H54" t="s">
        <v>1679</v>
      </c>
      <c r="I54" t="s">
        <v>1680</v>
      </c>
      <c r="K54" t="s">
        <v>795</v>
      </c>
      <c r="L54">
        <v>2</v>
      </c>
    </row>
    <row r="55" spans="1:12" x14ac:dyDescent="0.25">
      <c r="A55" t="s">
        <v>4542</v>
      </c>
      <c r="B55" t="s">
        <v>1498</v>
      </c>
      <c r="C55">
        <v>10802</v>
      </c>
      <c r="D55" t="s">
        <v>1677</v>
      </c>
      <c r="E55">
        <v>2</v>
      </c>
      <c r="F55" t="s">
        <v>1655</v>
      </c>
      <c r="G55" t="s">
        <v>1678</v>
      </c>
      <c r="H55" t="s">
        <v>1681</v>
      </c>
      <c r="I55" t="s">
        <v>1682</v>
      </c>
      <c r="K55" t="s">
        <v>795</v>
      </c>
      <c r="L55">
        <v>2</v>
      </c>
    </row>
    <row r="56" spans="1:12" x14ac:dyDescent="0.25">
      <c r="A56" t="s">
        <v>4542</v>
      </c>
      <c r="B56" t="s">
        <v>1501</v>
      </c>
      <c r="C56">
        <v>10802</v>
      </c>
      <c r="D56" t="s">
        <v>1677</v>
      </c>
      <c r="E56">
        <v>2</v>
      </c>
      <c r="F56" t="s">
        <v>1683</v>
      </c>
      <c r="G56" t="s">
        <v>1684</v>
      </c>
      <c r="H56" t="s">
        <v>1685</v>
      </c>
      <c r="I56" t="s">
        <v>1686</v>
      </c>
      <c r="K56" t="s">
        <v>795</v>
      </c>
      <c r="L56">
        <v>2</v>
      </c>
    </row>
    <row r="57" spans="1:12" x14ac:dyDescent="0.25">
      <c r="A57" t="s">
        <v>4542</v>
      </c>
      <c r="B57" t="s">
        <v>1501</v>
      </c>
      <c r="C57">
        <v>10802</v>
      </c>
      <c r="D57" t="s">
        <v>1677</v>
      </c>
      <c r="E57">
        <v>2</v>
      </c>
      <c r="F57" t="s">
        <v>1667</v>
      </c>
      <c r="G57" t="s">
        <v>1668</v>
      </c>
      <c r="H57" t="s">
        <v>1687</v>
      </c>
      <c r="I57" t="s">
        <v>1688</v>
      </c>
      <c r="K57" t="s">
        <v>795</v>
      </c>
      <c r="L57">
        <v>2</v>
      </c>
    </row>
    <row r="58" spans="1:12" x14ac:dyDescent="0.25">
      <c r="A58" t="s">
        <v>4542</v>
      </c>
      <c r="B58" t="s">
        <v>1501</v>
      </c>
      <c r="C58">
        <v>10802</v>
      </c>
      <c r="D58" t="s">
        <v>1677</v>
      </c>
      <c r="E58">
        <v>2</v>
      </c>
      <c r="F58" t="s">
        <v>1689</v>
      </c>
      <c r="G58" t="s">
        <v>1690</v>
      </c>
      <c r="H58" t="s">
        <v>1691</v>
      </c>
      <c r="I58" t="s">
        <v>1692</v>
      </c>
      <c r="K58" t="s">
        <v>795</v>
      </c>
      <c r="L58">
        <v>2</v>
      </c>
    </row>
    <row r="59" spans="1:12" x14ac:dyDescent="0.25">
      <c r="A59" t="s">
        <v>4542</v>
      </c>
      <c r="B59" t="s">
        <v>1501</v>
      </c>
      <c r="C59">
        <v>10802</v>
      </c>
      <c r="D59" t="s">
        <v>1677</v>
      </c>
      <c r="E59">
        <v>2</v>
      </c>
      <c r="F59" t="s">
        <v>1689</v>
      </c>
      <c r="G59" t="s">
        <v>1690</v>
      </c>
      <c r="H59" t="s">
        <v>1693</v>
      </c>
      <c r="I59" t="s">
        <v>1694</v>
      </c>
      <c r="K59" t="s">
        <v>795</v>
      </c>
      <c r="L59">
        <v>2</v>
      </c>
    </row>
    <row r="60" spans="1:12" x14ac:dyDescent="0.25">
      <c r="A60" t="s">
        <v>4542</v>
      </c>
      <c r="B60" t="s">
        <v>1695</v>
      </c>
      <c r="C60">
        <v>10802</v>
      </c>
      <c r="D60" t="s">
        <v>1677</v>
      </c>
      <c r="E60">
        <v>2</v>
      </c>
      <c r="F60" t="s">
        <v>1623</v>
      </c>
      <c r="G60" t="s">
        <v>1624</v>
      </c>
      <c r="H60" t="s">
        <v>1696</v>
      </c>
      <c r="I60" t="s">
        <v>1697</v>
      </c>
      <c r="K60" t="s">
        <v>795</v>
      </c>
      <c r="L60">
        <v>2</v>
      </c>
    </row>
    <row r="61" spans="1:12" x14ac:dyDescent="0.25">
      <c r="A61" t="s">
        <v>4542</v>
      </c>
      <c r="B61" t="s">
        <v>1695</v>
      </c>
      <c r="C61">
        <v>10802</v>
      </c>
      <c r="D61" t="s">
        <v>1677</v>
      </c>
      <c r="E61">
        <v>2</v>
      </c>
      <c r="F61" t="s">
        <v>1623</v>
      </c>
      <c r="G61" t="s">
        <v>1624</v>
      </c>
      <c r="H61" t="s">
        <v>1698</v>
      </c>
      <c r="I61" t="s">
        <v>1699</v>
      </c>
      <c r="K61" t="s">
        <v>795</v>
      </c>
      <c r="L61">
        <v>2</v>
      </c>
    </row>
    <row r="62" spans="1:12" x14ac:dyDescent="0.25">
      <c r="A62" t="s">
        <v>4542</v>
      </c>
      <c r="B62" t="s">
        <v>1695</v>
      </c>
      <c r="C62">
        <v>10802</v>
      </c>
      <c r="D62" t="s">
        <v>1677</v>
      </c>
      <c r="E62">
        <v>2</v>
      </c>
      <c r="F62" t="s">
        <v>1623</v>
      </c>
      <c r="G62" t="s">
        <v>1624</v>
      </c>
      <c r="H62" t="s">
        <v>1700</v>
      </c>
      <c r="I62" t="s">
        <v>1701</v>
      </c>
      <c r="K62" t="s">
        <v>795</v>
      </c>
      <c r="L62">
        <v>2</v>
      </c>
    </row>
    <row r="63" spans="1:12" x14ac:dyDescent="0.25">
      <c r="A63" t="s">
        <v>4542</v>
      </c>
      <c r="B63" t="s">
        <v>1695</v>
      </c>
      <c r="C63">
        <v>10802</v>
      </c>
      <c r="D63" t="s">
        <v>1677</v>
      </c>
      <c r="E63">
        <v>2</v>
      </c>
      <c r="F63" t="s">
        <v>1623</v>
      </c>
      <c r="G63" t="s">
        <v>1624</v>
      </c>
      <c r="H63" t="s">
        <v>1702</v>
      </c>
      <c r="I63" t="s">
        <v>1703</v>
      </c>
      <c r="K63" t="s">
        <v>795</v>
      </c>
      <c r="L63">
        <v>2</v>
      </c>
    </row>
    <row r="64" spans="1:12" x14ac:dyDescent="0.25">
      <c r="A64" t="s">
        <v>4542</v>
      </c>
      <c r="B64" t="s">
        <v>1695</v>
      </c>
      <c r="C64">
        <v>10802</v>
      </c>
      <c r="D64" t="s">
        <v>1677</v>
      </c>
      <c r="E64">
        <v>2</v>
      </c>
      <c r="F64" t="s">
        <v>1623</v>
      </c>
      <c r="G64" t="s">
        <v>1624</v>
      </c>
      <c r="H64" t="s">
        <v>1704</v>
      </c>
      <c r="I64" t="s">
        <v>1705</v>
      </c>
      <c r="K64" t="s">
        <v>795</v>
      </c>
      <c r="L64">
        <v>2</v>
      </c>
    </row>
    <row r="65" spans="1:12" x14ac:dyDescent="0.25">
      <c r="A65" t="s">
        <v>4542</v>
      </c>
      <c r="B65" t="s">
        <v>1695</v>
      </c>
      <c r="C65">
        <v>10802</v>
      </c>
      <c r="D65" t="s">
        <v>1677</v>
      </c>
      <c r="E65">
        <v>2</v>
      </c>
      <c r="F65" t="s">
        <v>1623</v>
      </c>
      <c r="G65" t="s">
        <v>1624</v>
      </c>
      <c r="H65" t="s">
        <v>1706</v>
      </c>
      <c r="I65" t="s">
        <v>1707</v>
      </c>
      <c r="K65" t="s">
        <v>795</v>
      </c>
      <c r="L65">
        <v>2</v>
      </c>
    </row>
    <row r="66" spans="1:12" x14ac:dyDescent="0.25">
      <c r="A66" t="s">
        <v>4542</v>
      </c>
      <c r="B66" t="s">
        <v>1507</v>
      </c>
      <c r="C66">
        <v>10802</v>
      </c>
      <c r="D66" t="s">
        <v>1677</v>
      </c>
      <c r="E66">
        <v>2</v>
      </c>
      <c r="F66" t="s">
        <v>1708</v>
      </c>
      <c r="G66" t="s">
        <v>1709</v>
      </c>
      <c r="H66" t="s">
        <v>1710</v>
      </c>
      <c r="I66" t="s">
        <v>1711</v>
      </c>
      <c r="K66" t="s">
        <v>795</v>
      </c>
      <c r="L66">
        <v>2</v>
      </c>
    </row>
    <row r="67" spans="1:12" x14ac:dyDescent="0.25">
      <c r="A67" t="s">
        <v>4542</v>
      </c>
      <c r="B67" t="s">
        <v>1507</v>
      </c>
      <c r="C67">
        <v>10802</v>
      </c>
      <c r="D67" t="s">
        <v>1677</v>
      </c>
      <c r="E67">
        <v>2</v>
      </c>
      <c r="F67" t="s">
        <v>1712</v>
      </c>
      <c r="G67" t="s">
        <v>1713</v>
      </c>
      <c r="H67" t="s">
        <v>1714</v>
      </c>
      <c r="I67" t="s">
        <v>1715</v>
      </c>
      <c r="K67" t="s">
        <v>795</v>
      </c>
      <c r="L67">
        <v>2</v>
      </c>
    </row>
    <row r="68" spans="1:12" x14ac:dyDescent="0.25">
      <c r="A68" t="s">
        <v>4542</v>
      </c>
      <c r="B68" t="s">
        <v>1510</v>
      </c>
      <c r="C68">
        <v>10802</v>
      </c>
      <c r="D68" t="s">
        <v>1677</v>
      </c>
      <c r="E68">
        <v>2</v>
      </c>
      <c r="F68" t="s">
        <v>1716</v>
      </c>
      <c r="G68" t="s">
        <v>1717</v>
      </c>
      <c r="H68" t="s">
        <v>1718</v>
      </c>
      <c r="I68" t="s">
        <v>1719</v>
      </c>
      <c r="K68" t="s">
        <v>795</v>
      </c>
      <c r="L68">
        <v>2</v>
      </c>
    </row>
    <row r="69" spans="1:12" x14ac:dyDescent="0.25">
      <c r="A69" t="s">
        <v>4542</v>
      </c>
      <c r="B69" t="s">
        <v>1510</v>
      </c>
      <c r="C69">
        <v>10802</v>
      </c>
      <c r="D69" t="s">
        <v>1677</v>
      </c>
      <c r="E69">
        <v>2</v>
      </c>
      <c r="F69" t="s">
        <v>1716</v>
      </c>
      <c r="G69" t="s">
        <v>1717</v>
      </c>
      <c r="H69" t="s">
        <v>1720</v>
      </c>
      <c r="I69" t="s">
        <v>1721</v>
      </c>
      <c r="K69" t="s">
        <v>795</v>
      </c>
      <c r="L69">
        <v>2</v>
      </c>
    </row>
    <row r="70" spans="1:12" x14ac:dyDescent="0.25">
      <c r="A70" t="s">
        <v>4542</v>
      </c>
      <c r="B70" t="s">
        <v>1510</v>
      </c>
      <c r="C70">
        <v>10802</v>
      </c>
      <c r="D70" t="s">
        <v>1677</v>
      </c>
      <c r="E70">
        <v>2</v>
      </c>
      <c r="F70" t="s">
        <v>1716</v>
      </c>
      <c r="G70" t="s">
        <v>1717</v>
      </c>
      <c r="H70" t="s">
        <v>1722</v>
      </c>
      <c r="I70" t="s">
        <v>1723</v>
      </c>
      <c r="K70" t="s">
        <v>795</v>
      </c>
      <c r="L70">
        <v>2</v>
      </c>
    </row>
    <row r="71" spans="1:12" x14ac:dyDescent="0.25">
      <c r="A71" t="s">
        <v>4541</v>
      </c>
      <c r="B71" t="s">
        <v>1622</v>
      </c>
      <c r="C71">
        <v>10812</v>
      </c>
      <c r="D71" t="s">
        <v>1778</v>
      </c>
      <c r="E71">
        <v>2.5</v>
      </c>
      <c r="F71" t="s">
        <v>1598</v>
      </c>
      <c r="G71" t="s">
        <v>1599</v>
      </c>
      <c r="H71" t="s">
        <v>1600</v>
      </c>
      <c r="I71" t="s">
        <v>1601</v>
      </c>
      <c r="K71" t="s">
        <v>795</v>
      </c>
      <c r="L71">
        <v>2</v>
      </c>
    </row>
    <row r="72" spans="1:12" x14ac:dyDescent="0.25">
      <c r="A72" t="s">
        <v>4541</v>
      </c>
      <c r="B72" t="s">
        <v>1622</v>
      </c>
      <c r="C72">
        <v>10812</v>
      </c>
      <c r="D72" t="s">
        <v>1778</v>
      </c>
      <c r="E72">
        <v>2.5</v>
      </c>
      <c r="F72" t="s">
        <v>1602</v>
      </c>
      <c r="G72" t="s">
        <v>1603</v>
      </c>
      <c r="H72" t="s">
        <v>1604</v>
      </c>
      <c r="I72" t="s">
        <v>1605</v>
      </c>
      <c r="K72" t="s">
        <v>795</v>
      </c>
      <c r="L72">
        <v>2</v>
      </c>
    </row>
    <row r="73" spans="1:12" x14ac:dyDescent="0.25">
      <c r="A73" t="s">
        <v>4541</v>
      </c>
      <c r="B73" t="s">
        <v>1622</v>
      </c>
      <c r="C73">
        <v>10812</v>
      </c>
      <c r="D73" t="s">
        <v>1778</v>
      </c>
      <c r="E73">
        <v>2.5</v>
      </c>
      <c r="F73" t="s">
        <v>1606</v>
      </c>
      <c r="G73" t="s">
        <v>1607</v>
      </c>
      <c r="H73" t="s">
        <v>1608</v>
      </c>
      <c r="I73" t="s">
        <v>1609</v>
      </c>
      <c r="K73" t="s">
        <v>795</v>
      </c>
      <c r="L73">
        <v>2</v>
      </c>
    </row>
    <row r="74" spans="1:12" x14ac:dyDescent="0.25">
      <c r="A74" t="s">
        <v>4541</v>
      </c>
      <c r="B74" t="s">
        <v>1622</v>
      </c>
      <c r="C74">
        <v>10812</v>
      </c>
      <c r="D74" t="s">
        <v>1778</v>
      </c>
      <c r="E74">
        <v>2.5</v>
      </c>
      <c r="F74" t="s">
        <v>1610</v>
      </c>
      <c r="G74" t="s">
        <v>1611</v>
      </c>
      <c r="H74" t="s">
        <v>1612</v>
      </c>
      <c r="I74" t="s">
        <v>1613</v>
      </c>
      <c r="K74" t="s">
        <v>795</v>
      </c>
      <c r="L74">
        <v>2</v>
      </c>
    </row>
    <row r="75" spans="1:12" x14ac:dyDescent="0.25">
      <c r="A75" t="s">
        <v>4541</v>
      </c>
      <c r="B75" t="s">
        <v>1622</v>
      </c>
      <c r="C75">
        <v>10812</v>
      </c>
      <c r="D75" t="s">
        <v>1778</v>
      </c>
      <c r="E75">
        <v>2.5</v>
      </c>
      <c r="F75" t="s">
        <v>1614</v>
      </c>
      <c r="G75" t="s">
        <v>1615</v>
      </c>
      <c r="H75" t="s">
        <v>1616</v>
      </c>
      <c r="I75" t="s">
        <v>1617</v>
      </c>
      <c r="K75" t="s">
        <v>795</v>
      </c>
      <c r="L75">
        <v>2</v>
      </c>
    </row>
    <row r="76" spans="1:12" x14ac:dyDescent="0.25">
      <c r="A76" t="s">
        <v>4541</v>
      </c>
      <c r="B76" t="s">
        <v>1622</v>
      </c>
      <c r="C76">
        <v>10812</v>
      </c>
      <c r="D76" t="s">
        <v>1778</v>
      </c>
      <c r="E76">
        <v>2.5</v>
      </c>
      <c r="F76" t="s">
        <v>1618</v>
      </c>
      <c r="G76" t="s">
        <v>1619</v>
      </c>
      <c r="H76" t="s">
        <v>1620</v>
      </c>
      <c r="I76" t="s">
        <v>1621</v>
      </c>
      <c r="K76" t="s">
        <v>795</v>
      </c>
      <c r="L76">
        <v>2</v>
      </c>
    </row>
    <row r="77" spans="1:12" x14ac:dyDescent="0.25">
      <c r="A77" t="s">
        <v>4541</v>
      </c>
      <c r="B77" t="s">
        <v>1779</v>
      </c>
      <c r="C77">
        <v>10812</v>
      </c>
      <c r="D77" t="s">
        <v>1780</v>
      </c>
      <c r="E77">
        <v>2.5</v>
      </c>
      <c r="F77" t="s">
        <v>1598</v>
      </c>
      <c r="G77" t="s">
        <v>1726</v>
      </c>
      <c r="H77" t="s">
        <v>1781</v>
      </c>
      <c r="I77" t="s">
        <v>1782</v>
      </c>
      <c r="K77" t="s">
        <v>795</v>
      </c>
      <c r="L77">
        <v>2</v>
      </c>
    </row>
    <row r="78" spans="1:12" x14ac:dyDescent="0.25">
      <c r="A78" t="s">
        <v>4541</v>
      </c>
      <c r="B78" t="s">
        <v>1779</v>
      </c>
      <c r="C78">
        <v>10812</v>
      </c>
      <c r="D78" t="s">
        <v>1780</v>
      </c>
      <c r="E78">
        <v>2.5</v>
      </c>
      <c r="F78" t="s">
        <v>1598</v>
      </c>
      <c r="G78" t="s">
        <v>1783</v>
      </c>
      <c r="H78" t="s">
        <v>1784</v>
      </c>
      <c r="I78" t="s">
        <v>1785</v>
      </c>
      <c r="K78" t="s">
        <v>795</v>
      </c>
      <c r="L78">
        <v>2</v>
      </c>
    </row>
    <row r="79" spans="1:12" x14ac:dyDescent="0.25">
      <c r="A79" t="s">
        <v>4541</v>
      </c>
      <c r="B79" t="s">
        <v>1779</v>
      </c>
      <c r="C79">
        <v>10812</v>
      </c>
      <c r="D79" t="s">
        <v>1780</v>
      </c>
      <c r="E79">
        <v>2.5</v>
      </c>
      <c r="F79" t="s">
        <v>1598</v>
      </c>
      <c r="G79" t="s">
        <v>1786</v>
      </c>
      <c r="H79" t="s">
        <v>1787</v>
      </c>
      <c r="I79" t="s">
        <v>1788</v>
      </c>
      <c r="K79" t="s">
        <v>795</v>
      </c>
      <c r="L79">
        <v>2</v>
      </c>
    </row>
    <row r="80" spans="1:12" x14ac:dyDescent="0.25">
      <c r="A80" t="s">
        <v>4541</v>
      </c>
      <c r="B80" t="s">
        <v>1735</v>
      </c>
      <c r="C80">
        <v>10812</v>
      </c>
      <c r="D80" t="s">
        <v>1780</v>
      </c>
      <c r="E80">
        <v>2.5</v>
      </c>
      <c r="F80" t="s">
        <v>1602</v>
      </c>
      <c r="G80" t="s">
        <v>1603</v>
      </c>
      <c r="H80" t="s">
        <v>1789</v>
      </c>
      <c r="I80" t="s">
        <v>1790</v>
      </c>
      <c r="K80" t="s">
        <v>795</v>
      </c>
      <c r="L80">
        <v>2</v>
      </c>
    </row>
    <row r="81" spans="1:12" x14ac:dyDescent="0.25">
      <c r="A81" t="s">
        <v>4541</v>
      </c>
      <c r="B81" t="s">
        <v>1735</v>
      </c>
      <c r="C81">
        <v>10812</v>
      </c>
      <c r="D81" t="s">
        <v>1780</v>
      </c>
      <c r="E81">
        <v>2.5</v>
      </c>
      <c r="F81" t="s">
        <v>1602</v>
      </c>
      <c r="G81" t="s">
        <v>1791</v>
      </c>
      <c r="H81" t="s">
        <v>1792</v>
      </c>
      <c r="I81" t="s">
        <v>1793</v>
      </c>
      <c r="K81" t="s">
        <v>795</v>
      </c>
      <c r="L81">
        <v>2</v>
      </c>
    </row>
    <row r="82" spans="1:12" x14ac:dyDescent="0.25">
      <c r="A82" t="s">
        <v>4541</v>
      </c>
      <c r="B82" t="s">
        <v>1735</v>
      </c>
      <c r="C82">
        <v>10812</v>
      </c>
      <c r="D82" t="s">
        <v>1780</v>
      </c>
      <c r="E82">
        <v>2.5</v>
      </c>
      <c r="F82" t="s">
        <v>1602</v>
      </c>
      <c r="G82" t="s">
        <v>1794</v>
      </c>
      <c r="H82" t="s">
        <v>1795</v>
      </c>
      <c r="I82" t="s">
        <v>1796</v>
      </c>
      <c r="K82" t="s">
        <v>795</v>
      </c>
      <c r="L82">
        <v>2</v>
      </c>
    </row>
    <row r="83" spans="1:12" x14ac:dyDescent="0.25">
      <c r="A83" t="s">
        <v>4541</v>
      </c>
      <c r="B83" t="s">
        <v>1797</v>
      </c>
      <c r="C83">
        <v>10812</v>
      </c>
      <c r="D83" t="s">
        <v>1780</v>
      </c>
      <c r="E83">
        <v>2.5</v>
      </c>
      <c r="F83" t="s">
        <v>1606</v>
      </c>
      <c r="G83" t="s">
        <v>1607</v>
      </c>
      <c r="H83" t="s">
        <v>1798</v>
      </c>
      <c r="I83" t="s">
        <v>1799</v>
      </c>
      <c r="K83" t="s">
        <v>795</v>
      </c>
      <c r="L83">
        <v>2</v>
      </c>
    </row>
    <row r="84" spans="1:12" x14ac:dyDescent="0.25">
      <c r="A84" t="s">
        <v>4541</v>
      </c>
      <c r="B84" t="s">
        <v>1797</v>
      </c>
      <c r="C84">
        <v>10812</v>
      </c>
      <c r="D84" t="s">
        <v>1780</v>
      </c>
      <c r="E84">
        <v>2.5</v>
      </c>
      <c r="F84" t="s">
        <v>1606</v>
      </c>
      <c r="G84" t="s">
        <v>1800</v>
      </c>
      <c r="H84" t="s">
        <v>1801</v>
      </c>
      <c r="I84" t="s">
        <v>1609</v>
      </c>
      <c r="K84" t="s">
        <v>795</v>
      </c>
      <c r="L84">
        <v>2</v>
      </c>
    </row>
    <row r="85" spans="1:12" x14ac:dyDescent="0.25">
      <c r="A85" t="s">
        <v>4541</v>
      </c>
      <c r="B85" t="s">
        <v>1797</v>
      </c>
      <c r="C85">
        <v>10812</v>
      </c>
      <c r="D85" t="s">
        <v>1780</v>
      </c>
      <c r="E85">
        <v>2.5</v>
      </c>
      <c r="F85" t="s">
        <v>1606</v>
      </c>
      <c r="G85" t="s">
        <v>1802</v>
      </c>
      <c r="H85" t="s">
        <v>1803</v>
      </c>
      <c r="I85" t="s">
        <v>1804</v>
      </c>
      <c r="K85" t="s">
        <v>795</v>
      </c>
      <c r="L85">
        <v>2</v>
      </c>
    </row>
    <row r="86" spans="1:12" x14ac:dyDescent="0.25">
      <c r="A86" t="s">
        <v>4541</v>
      </c>
      <c r="B86" t="s">
        <v>1805</v>
      </c>
      <c r="C86">
        <v>10812</v>
      </c>
      <c r="D86" t="s">
        <v>1780</v>
      </c>
      <c r="E86">
        <v>2.5</v>
      </c>
      <c r="F86" t="s">
        <v>1754</v>
      </c>
      <c r="G86" t="s">
        <v>1755</v>
      </c>
      <c r="H86" t="s">
        <v>1806</v>
      </c>
      <c r="I86" t="s">
        <v>1807</v>
      </c>
      <c r="K86" t="s">
        <v>795</v>
      </c>
      <c r="L86">
        <v>2</v>
      </c>
    </row>
    <row r="87" spans="1:12" x14ac:dyDescent="0.25">
      <c r="A87" t="s">
        <v>4541</v>
      </c>
      <c r="B87" t="s">
        <v>1805</v>
      </c>
      <c r="C87">
        <v>10812</v>
      </c>
      <c r="D87" t="s">
        <v>1780</v>
      </c>
      <c r="E87">
        <v>2.5</v>
      </c>
      <c r="F87" t="s">
        <v>1808</v>
      </c>
      <c r="G87" t="s">
        <v>1809</v>
      </c>
      <c r="H87" t="s">
        <v>1810</v>
      </c>
      <c r="I87" t="s">
        <v>1811</v>
      </c>
      <c r="K87" t="s">
        <v>795</v>
      </c>
      <c r="L87">
        <v>2</v>
      </c>
    </row>
    <row r="88" spans="1:12" x14ac:dyDescent="0.25">
      <c r="A88" t="s">
        <v>4541</v>
      </c>
      <c r="B88" t="s">
        <v>1805</v>
      </c>
      <c r="C88">
        <v>10812</v>
      </c>
      <c r="D88" t="s">
        <v>1780</v>
      </c>
      <c r="E88">
        <v>2.5</v>
      </c>
      <c r="F88" t="s">
        <v>1808</v>
      </c>
      <c r="G88" t="s">
        <v>1812</v>
      </c>
      <c r="H88" t="s">
        <v>1813</v>
      </c>
      <c r="I88" t="s">
        <v>1814</v>
      </c>
      <c r="K88" t="s">
        <v>795</v>
      </c>
      <c r="L88">
        <v>2</v>
      </c>
    </row>
    <row r="89" spans="1:12" x14ac:dyDescent="0.25">
      <c r="A89" t="s">
        <v>4541</v>
      </c>
      <c r="B89" t="s">
        <v>1815</v>
      </c>
      <c r="C89">
        <v>10812</v>
      </c>
      <c r="D89" t="s">
        <v>1780</v>
      </c>
      <c r="E89">
        <v>2.5</v>
      </c>
      <c r="F89" t="s">
        <v>1659</v>
      </c>
      <c r="G89" t="s">
        <v>1816</v>
      </c>
      <c r="H89" t="s">
        <v>1817</v>
      </c>
      <c r="I89" t="s">
        <v>1818</v>
      </c>
      <c r="K89" t="s">
        <v>795</v>
      </c>
      <c r="L89">
        <v>2</v>
      </c>
    </row>
    <row r="90" spans="1:12" x14ac:dyDescent="0.25">
      <c r="A90" t="s">
        <v>4541</v>
      </c>
      <c r="B90" t="s">
        <v>1815</v>
      </c>
      <c r="C90">
        <v>10812</v>
      </c>
      <c r="D90" t="s">
        <v>1780</v>
      </c>
      <c r="E90">
        <v>2.5</v>
      </c>
      <c r="F90" t="s">
        <v>1643</v>
      </c>
      <c r="G90" t="s">
        <v>1819</v>
      </c>
      <c r="H90" t="s">
        <v>1820</v>
      </c>
      <c r="I90" t="s">
        <v>1821</v>
      </c>
      <c r="K90" t="s">
        <v>795</v>
      </c>
      <c r="L90">
        <v>2</v>
      </c>
    </row>
    <row r="91" spans="1:12" x14ac:dyDescent="0.25">
      <c r="A91" t="s">
        <v>4541</v>
      </c>
      <c r="B91" t="s">
        <v>1815</v>
      </c>
      <c r="C91">
        <v>10812</v>
      </c>
      <c r="D91" t="s">
        <v>1780</v>
      </c>
      <c r="E91">
        <v>2.5</v>
      </c>
      <c r="F91" t="s">
        <v>1822</v>
      </c>
      <c r="G91" t="s">
        <v>1823</v>
      </c>
      <c r="H91" t="s">
        <v>1824</v>
      </c>
      <c r="I91" t="s">
        <v>1825</v>
      </c>
      <c r="K91" t="s">
        <v>795</v>
      </c>
      <c r="L91">
        <v>2</v>
      </c>
    </row>
    <row r="92" spans="1:12" x14ac:dyDescent="0.25">
      <c r="A92" t="s">
        <v>4541</v>
      </c>
      <c r="B92" t="s">
        <v>1826</v>
      </c>
      <c r="C92">
        <v>10812</v>
      </c>
      <c r="D92" t="s">
        <v>1780</v>
      </c>
      <c r="E92">
        <v>2.5</v>
      </c>
      <c r="F92" t="s">
        <v>1633</v>
      </c>
      <c r="G92" t="s">
        <v>1634</v>
      </c>
      <c r="H92" t="s">
        <v>1827</v>
      </c>
      <c r="I92" t="s">
        <v>1828</v>
      </c>
      <c r="K92" t="s">
        <v>795</v>
      </c>
      <c r="L92">
        <v>2</v>
      </c>
    </row>
    <row r="93" spans="1:12" x14ac:dyDescent="0.25">
      <c r="A93" t="s">
        <v>4541</v>
      </c>
      <c r="B93" t="s">
        <v>1826</v>
      </c>
      <c r="C93">
        <v>10812</v>
      </c>
      <c r="D93" t="s">
        <v>1780</v>
      </c>
      <c r="E93">
        <v>2.5</v>
      </c>
      <c r="F93" t="s">
        <v>1633</v>
      </c>
      <c r="G93" t="s">
        <v>1829</v>
      </c>
      <c r="H93" t="s">
        <v>1830</v>
      </c>
      <c r="I93" t="s">
        <v>1831</v>
      </c>
      <c r="K93" t="s">
        <v>795</v>
      </c>
      <c r="L93">
        <v>2</v>
      </c>
    </row>
    <row r="94" spans="1:12" x14ac:dyDescent="0.25">
      <c r="A94" t="s">
        <v>4541</v>
      </c>
      <c r="B94" t="s">
        <v>1826</v>
      </c>
      <c r="C94">
        <v>10812</v>
      </c>
      <c r="D94" t="s">
        <v>1780</v>
      </c>
      <c r="E94">
        <v>2.5</v>
      </c>
      <c r="F94" t="s">
        <v>1633</v>
      </c>
      <c r="G94" t="s">
        <v>1832</v>
      </c>
      <c r="H94" t="s">
        <v>1833</v>
      </c>
      <c r="I94" t="s">
        <v>1834</v>
      </c>
      <c r="K94" t="s">
        <v>795</v>
      </c>
      <c r="L94">
        <v>2</v>
      </c>
    </row>
    <row r="95" spans="1:12" x14ac:dyDescent="0.25">
      <c r="A95" t="s">
        <v>4541</v>
      </c>
      <c r="B95" t="s">
        <v>1835</v>
      </c>
      <c r="C95">
        <v>10812</v>
      </c>
      <c r="D95" t="s">
        <v>1780</v>
      </c>
      <c r="E95">
        <v>2.5</v>
      </c>
      <c r="F95" t="s">
        <v>1836</v>
      </c>
      <c r="G95" t="s">
        <v>1837</v>
      </c>
      <c r="H95" t="s">
        <v>1838</v>
      </c>
      <c r="I95" t="s">
        <v>1839</v>
      </c>
      <c r="K95" t="s">
        <v>795</v>
      </c>
      <c r="L95">
        <v>2</v>
      </c>
    </row>
    <row r="96" spans="1:12" x14ac:dyDescent="0.25">
      <c r="A96" t="s">
        <v>4541</v>
      </c>
      <c r="B96" t="s">
        <v>1835</v>
      </c>
      <c r="C96">
        <v>10812</v>
      </c>
      <c r="D96" t="s">
        <v>1780</v>
      </c>
      <c r="E96">
        <v>2.5</v>
      </c>
      <c r="F96" t="s">
        <v>1840</v>
      </c>
      <c r="G96" t="s">
        <v>1841</v>
      </c>
      <c r="H96" t="s">
        <v>1842</v>
      </c>
      <c r="I96" t="s">
        <v>1843</v>
      </c>
      <c r="K96" t="s">
        <v>795</v>
      </c>
      <c r="L96">
        <v>2</v>
      </c>
    </row>
    <row r="97" spans="1:12" x14ac:dyDescent="0.25">
      <c r="A97" t="s">
        <v>4544</v>
      </c>
      <c r="B97" t="s">
        <v>1622</v>
      </c>
      <c r="C97">
        <v>10803</v>
      </c>
      <c r="D97" t="s">
        <v>1844</v>
      </c>
      <c r="E97">
        <v>3</v>
      </c>
      <c r="F97" t="s">
        <v>1598</v>
      </c>
      <c r="G97" t="s">
        <v>1599</v>
      </c>
      <c r="H97" t="s">
        <v>1600</v>
      </c>
      <c r="I97" t="s">
        <v>1601</v>
      </c>
      <c r="K97" t="s">
        <v>795</v>
      </c>
      <c r="L97">
        <v>2</v>
      </c>
    </row>
    <row r="98" spans="1:12" x14ac:dyDescent="0.25">
      <c r="A98" t="s">
        <v>4544</v>
      </c>
      <c r="B98" t="s">
        <v>1622</v>
      </c>
      <c r="C98">
        <v>10803</v>
      </c>
      <c r="D98" t="s">
        <v>1844</v>
      </c>
      <c r="E98">
        <v>3</v>
      </c>
      <c r="F98" t="s">
        <v>1602</v>
      </c>
      <c r="G98" t="s">
        <v>1603</v>
      </c>
      <c r="H98" t="s">
        <v>1604</v>
      </c>
      <c r="I98" t="s">
        <v>1605</v>
      </c>
      <c r="K98" t="s">
        <v>795</v>
      </c>
      <c r="L98">
        <v>2</v>
      </c>
    </row>
    <row r="99" spans="1:12" x14ac:dyDescent="0.25">
      <c r="A99" t="s">
        <v>4544</v>
      </c>
      <c r="B99" t="s">
        <v>1622</v>
      </c>
      <c r="C99">
        <v>10803</v>
      </c>
      <c r="D99" t="s">
        <v>1844</v>
      </c>
      <c r="E99">
        <v>3</v>
      </c>
      <c r="F99" t="s">
        <v>1606</v>
      </c>
      <c r="G99" t="s">
        <v>1607</v>
      </c>
      <c r="H99" t="s">
        <v>1608</v>
      </c>
      <c r="I99" t="s">
        <v>1609</v>
      </c>
      <c r="K99" t="s">
        <v>795</v>
      </c>
      <c r="L99">
        <v>2</v>
      </c>
    </row>
    <row r="100" spans="1:12" x14ac:dyDescent="0.25">
      <c r="A100" t="s">
        <v>4544</v>
      </c>
      <c r="B100" t="s">
        <v>1622</v>
      </c>
      <c r="C100">
        <v>10803</v>
      </c>
      <c r="D100" t="s">
        <v>1844</v>
      </c>
      <c r="E100">
        <v>3</v>
      </c>
      <c r="F100" t="s">
        <v>1610</v>
      </c>
      <c r="G100" t="s">
        <v>1611</v>
      </c>
      <c r="H100" t="s">
        <v>1612</v>
      </c>
      <c r="I100" t="s">
        <v>1613</v>
      </c>
      <c r="K100" t="s">
        <v>795</v>
      </c>
      <c r="L100">
        <v>2</v>
      </c>
    </row>
    <row r="101" spans="1:12" x14ac:dyDescent="0.25">
      <c r="A101" t="s">
        <v>4544</v>
      </c>
      <c r="B101" t="s">
        <v>1622</v>
      </c>
      <c r="C101">
        <v>10803</v>
      </c>
      <c r="D101" t="s">
        <v>1844</v>
      </c>
      <c r="E101">
        <v>3</v>
      </c>
      <c r="F101" t="s">
        <v>1614</v>
      </c>
      <c r="G101" t="s">
        <v>1615</v>
      </c>
      <c r="H101" t="s">
        <v>1616</v>
      </c>
      <c r="I101" t="s">
        <v>1617</v>
      </c>
      <c r="K101" t="s">
        <v>795</v>
      </c>
      <c r="L101">
        <v>2</v>
      </c>
    </row>
    <row r="102" spans="1:12" x14ac:dyDescent="0.25">
      <c r="A102" t="s">
        <v>4544</v>
      </c>
      <c r="B102" t="s">
        <v>1622</v>
      </c>
      <c r="C102">
        <v>10803</v>
      </c>
      <c r="D102" t="s">
        <v>1844</v>
      </c>
      <c r="E102">
        <v>3</v>
      </c>
      <c r="F102" t="s">
        <v>1618</v>
      </c>
      <c r="G102" t="s">
        <v>1619</v>
      </c>
      <c r="H102" t="s">
        <v>1620</v>
      </c>
      <c r="I102" t="s">
        <v>1621</v>
      </c>
      <c r="K102" t="s">
        <v>795</v>
      </c>
      <c r="L102">
        <v>2</v>
      </c>
    </row>
    <row r="103" spans="1:12" x14ac:dyDescent="0.25">
      <c r="A103" t="s">
        <v>4544</v>
      </c>
      <c r="B103" t="s">
        <v>1845</v>
      </c>
      <c r="C103">
        <v>10803</v>
      </c>
      <c r="D103" t="s">
        <v>1846</v>
      </c>
      <c r="E103">
        <v>3</v>
      </c>
      <c r="F103" t="s">
        <v>1655</v>
      </c>
      <c r="G103" t="s">
        <v>1678</v>
      </c>
      <c r="H103" t="s">
        <v>1847</v>
      </c>
      <c r="I103" t="s">
        <v>1848</v>
      </c>
      <c r="K103" t="s">
        <v>795</v>
      </c>
      <c r="L103">
        <v>2</v>
      </c>
    </row>
    <row r="104" spans="1:12" x14ac:dyDescent="0.25">
      <c r="A104" t="s">
        <v>4544</v>
      </c>
      <c r="B104" t="s">
        <v>1845</v>
      </c>
      <c r="C104">
        <v>10803</v>
      </c>
      <c r="D104" t="s">
        <v>1846</v>
      </c>
      <c r="E104">
        <v>3</v>
      </c>
      <c r="F104" t="s">
        <v>1667</v>
      </c>
      <c r="G104" t="s">
        <v>1668</v>
      </c>
      <c r="H104" t="s">
        <v>1849</v>
      </c>
      <c r="I104" t="s">
        <v>1850</v>
      </c>
      <c r="K104" t="s">
        <v>795</v>
      </c>
      <c r="L104">
        <v>2</v>
      </c>
    </row>
    <row r="105" spans="1:12" x14ac:dyDescent="0.25">
      <c r="A105" t="s">
        <v>4544</v>
      </c>
      <c r="B105" t="s">
        <v>1845</v>
      </c>
      <c r="C105">
        <v>10803</v>
      </c>
      <c r="D105" t="s">
        <v>1846</v>
      </c>
      <c r="E105">
        <v>3</v>
      </c>
      <c r="F105" t="s">
        <v>1851</v>
      </c>
      <c r="G105" t="s">
        <v>1852</v>
      </c>
      <c r="H105" t="s">
        <v>1853</v>
      </c>
      <c r="I105" t="s">
        <v>1854</v>
      </c>
      <c r="K105" t="s">
        <v>795</v>
      </c>
      <c r="L105">
        <v>2</v>
      </c>
    </row>
    <row r="106" spans="1:12" x14ac:dyDescent="0.25">
      <c r="A106" t="s">
        <v>4544</v>
      </c>
      <c r="B106" t="s">
        <v>1518</v>
      </c>
      <c r="C106">
        <v>10803</v>
      </c>
      <c r="D106" t="s">
        <v>1846</v>
      </c>
      <c r="E106">
        <v>3</v>
      </c>
      <c r="F106" t="s">
        <v>1855</v>
      </c>
      <c r="G106" t="s">
        <v>1856</v>
      </c>
      <c r="H106" t="s">
        <v>1857</v>
      </c>
      <c r="I106" t="s">
        <v>1858</v>
      </c>
      <c r="K106" t="s">
        <v>795</v>
      </c>
      <c r="L106">
        <v>2</v>
      </c>
    </row>
    <row r="107" spans="1:12" x14ac:dyDescent="0.25">
      <c r="A107" t="s">
        <v>4544</v>
      </c>
      <c r="B107" t="s">
        <v>1518</v>
      </c>
      <c r="C107">
        <v>10803</v>
      </c>
      <c r="D107" t="s">
        <v>1846</v>
      </c>
      <c r="E107">
        <v>3</v>
      </c>
      <c r="F107" t="s">
        <v>1855</v>
      </c>
      <c r="G107" t="s">
        <v>1856</v>
      </c>
      <c r="H107" t="s">
        <v>1859</v>
      </c>
      <c r="I107" t="s">
        <v>1860</v>
      </c>
      <c r="K107" t="s">
        <v>795</v>
      </c>
      <c r="L107">
        <v>2</v>
      </c>
    </row>
    <row r="108" spans="1:12" x14ac:dyDescent="0.25">
      <c r="A108" t="s">
        <v>4544</v>
      </c>
      <c r="B108" t="s">
        <v>1518</v>
      </c>
      <c r="C108">
        <v>10803</v>
      </c>
      <c r="D108" t="s">
        <v>1846</v>
      </c>
      <c r="E108">
        <v>3</v>
      </c>
      <c r="F108" t="s">
        <v>1855</v>
      </c>
      <c r="G108" t="s">
        <v>1856</v>
      </c>
      <c r="H108" t="s">
        <v>1861</v>
      </c>
      <c r="I108" t="s">
        <v>1862</v>
      </c>
      <c r="K108" t="s">
        <v>795</v>
      </c>
      <c r="L108">
        <v>2</v>
      </c>
    </row>
    <row r="109" spans="1:12" x14ac:dyDescent="0.25">
      <c r="A109" t="s">
        <v>4544</v>
      </c>
      <c r="B109" t="s">
        <v>1518</v>
      </c>
      <c r="C109">
        <v>10803</v>
      </c>
      <c r="D109" t="s">
        <v>1846</v>
      </c>
      <c r="E109">
        <v>3</v>
      </c>
      <c r="F109" t="s">
        <v>1855</v>
      </c>
      <c r="G109" t="s">
        <v>1856</v>
      </c>
      <c r="H109" t="s">
        <v>1863</v>
      </c>
      <c r="I109" t="s">
        <v>1864</v>
      </c>
      <c r="K109" t="s">
        <v>795</v>
      </c>
      <c r="L109">
        <v>2</v>
      </c>
    </row>
    <row r="110" spans="1:12" x14ac:dyDescent="0.25">
      <c r="A110" t="s">
        <v>4544</v>
      </c>
      <c r="B110" t="s">
        <v>1518</v>
      </c>
      <c r="C110">
        <v>10803</v>
      </c>
      <c r="D110" t="s">
        <v>1846</v>
      </c>
      <c r="E110">
        <v>3</v>
      </c>
      <c r="F110" t="s">
        <v>1855</v>
      </c>
      <c r="G110" t="s">
        <v>1856</v>
      </c>
      <c r="H110" t="s">
        <v>1865</v>
      </c>
      <c r="I110" t="s">
        <v>1866</v>
      </c>
      <c r="K110" t="s">
        <v>795</v>
      </c>
      <c r="L110">
        <v>2</v>
      </c>
    </row>
    <row r="111" spans="1:12" x14ac:dyDescent="0.25">
      <c r="A111" t="s">
        <v>4544</v>
      </c>
      <c r="B111" t="s">
        <v>1519</v>
      </c>
      <c r="C111">
        <v>10803</v>
      </c>
      <c r="D111" t="s">
        <v>1846</v>
      </c>
      <c r="E111">
        <v>3</v>
      </c>
      <c r="F111" t="s">
        <v>1716</v>
      </c>
      <c r="G111" t="s">
        <v>1867</v>
      </c>
      <c r="H111" t="s">
        <v>1868</v>
      </c>
      <c r="I111" t="s">
        <v>1869</v>
      </c>
      <c r="K111" t="s">
        <v>795</v>
      </c>
      <c r="L111">
        <v>2</v>
      </c>
    </row>
    <row r="112" spans="1:12" x14ac:dyDescent="0.25">
      <c r="A112" t="s">
        <v>4544</v>
      </c>
      <c r="B112" t="s">
        <v>1519</v>
      </c>
      <c r="C112">
        <v>10803</v>
      </c>
      <c r="D112" t="s">
        <v>1846</v>
      </c>
      <c r="E112">
        <v>3</v>
      </c>
      <c r="F112" t="s">
        <v>1716</v>
      </c>
      <c r="G112" t="s">
        <v>1867</v>
      </c>
      <c r="H112" t="s">
        <v>1870</v>
      </c>
      <c r="I112" t="s">
        <v>1871</v>
      </c>
      <c r="K112" t="s">
        <v>795</v>
      </c>
      <c r="L112">
        <v>2</v>
      </c>
    </row>
    <row r="113" spans="1:12" x14ac:dyDescent="0.25">
      <c r="A113" t="s">
        <v>4544</v>
      </c>
      <c r="B113" t="s">
        <v>1519</v>
      </c>
      <c r="C113">
        <v>10803</v>
      </c>
      <c r="D113" t="s">
        <v>1846</v>
      </c>
      <c r="E113">
        <v>3</v>
      </c>
      <c r="F113" t="s">
        <v>1716</v>
      </c>
      <c r="G113" t="s">
        <v>1867</v>
      </c>
      <c r="H113" t="s">
        <v>1872</v>
      </c>
      <c r="I113" t="s">
        <v>1873</v>
      </c>
      <c r="K113" t="s">
        <v>795</v>
      </c>
      <c r="L113">
        <v>2</v>
      </c>
    </row>
    <row r="114" spans="1:12" x14ac:dyDescent="0.25">
      <c r="A114" t="s">
        <v>4544</v>
      </c>
      <c r="B114" t="s">
        <v>1519</v>
      </c>
      <c r="C114">
        <v>10803</v>
      </c>
      <c r="D114" t="s">
        <v>1846</v>
      </c>
      <c r="E114">
        <v>3</v>
      </c>
      <c r="F114" t="s">
        <v>1716</v>
      </c>
      <c r="G114" t="s">
        <v>1867</v>
      </c>
      <c r="H114" t="s">
        <v>1874</v>
      </c>
      <c r="I114" t="s">
        <v>1875</v>
      </c>
      <c r="K114" t="s">
        <v>795</v>
      </c>
      <c r="L114">
        <v>2</v>
      </c>
    </row>
    <row r="115" spans="1:12" x14ac:dyDescent="0.25">
      <c r="A115" t="s">
        <v>4544</v>
      </c>
      <c r="B115" t="s">
        <v>1519</v>
      </c>
      <c r="C115">
        <v>10803</v>
      </c>
      <c r="D115" t="s">
        <v>1846</v>
      </c>
      <c r="E115">
        <v>3</v>
      </c>
      <c r="F115" t="s">
        <v>1716</v>
      </c>
      <c r="G115" t="s">
        <v>1867</v>
      </c>
      <c r="H115" t="s">
        <v>1876</v>
      </c>
      <c r="I115" t="s">
        <v>1877</v>
      </c>
      <c r="K115" t="s">
        <v>795</v>
      </c>
      <c r="L115">
        <v>2</v>
      </c>
    </row>
    <row r="116" spans="1:12" x14ac:dyDescent="0.25">
      <c r="A116" t="s">
        <v>4544</v>
      </c>
      <c r="B116" t="s">
        <v>1519</v>
      </c>
      <c r="C116">
        <v>10803</v>
      </c>
      <c r="D116" t="s">
        <v>1846</v>
      </c>
      <c r="E116">
        <v>3</v>
      </c>
      <c r="F116" t="s">
        <v>1878</v>
      </c>
      <c r="G116" t="s">
        <v>1829</v>
      </c>
      <c r="H116" t="s">
        <v>1879</v>
      </c>
      <c r="I116" t="s">
        <v>1880</v>
      </c>
      <c r="K116" t="s">
        <v>795</v>
      </c>
      <c r="L116">
        <v>2</v>
      </c>
    </row>
    <row r="117" spans="1:12" x14ac:dyDescent="0.25">
      <c r="A117" t="s">
        <v>4544</v>
      </c>
      <c r="B117" t="s">
        <v>1521</v>
      </c>
      <c r="C117">
        <v>10803</v>
      </c>
      <c r="D117" t="s">
        <v>1846</v>
      </c>
      <c r="E117">
        <v>3</v>
      </c>
      <c r="F117" t="s">
        <v>1881</v>
      </c>
      <c r="G117" t="s">
        <v>1882</v>
      </c>
      <c r="H117" t="s">
        <v>1883</v>
      </c>
      <c r="I117" t="s">
        <v>1884</v>
      </c>
      <c r="K117" t="s">
        <v>795</v>
      </c>
      <c r="L117">
        <v>2</v>
      </c>
    </row>
    <row r="118" spans="1:12" x14ac:dyDescent="0.25">
      <c r="A118" t="s">
        <v>4544</v>
      </c>
      <c r="B118" t="s">
        <v>1521</v>
      </c>
      <c r="C118">
        <v>10803</v>
      </c>
      <c r="D118" t="s">
        <v>1846</v>
      </c>
      <c r="E118">
        <v>3</v>
      </c>
      <c r="F118" t="s">
        <v>1881</v>
      </c>
      <c r="G118" t="s">
        <v>1882</v>
      </c>
      <c r="H118" t="s">
        <v>1885</v>
      </c>
      <c r="I118" t="s">
        <v>1886</v>
      </c>
      <c r="K118" t="s">
        <v>795</v>
      </c>
      <c r="L118">
        <v>2</v>
      </c>
    </row>
    <row r="119" spans="1:12" x14ac:dyDescent="0.25">
      <c r="A119" t="s">
        <v>4544</v>
      </c>
      <c r="B119" t="s">
        <v>1521</v>
      </c>
      <c r="C119">
        <v>10803</v>
      </c>
      <c r="D119" t="s">
        <v>1846</v>
      </c>
      <c r="E119">
        <v>3</v>
      </c>
      <c r="F119" t="s">
        <v>1881</v>
      </c>
      <c r="G119" t="s">
        <v>1882</v>
      </c>
      <c r="H119" t="s">
        <v>1887</v>
      </c>
      <c r="I119" t="s">
        <v>1888</v>
      </c>
      <c r="K119" t="s">
        <v>795</v>
      </c>
      <c r="L119">
        <v>2</v>
      </c>
    </row>
    <row r="120" spans="1:12" x14ac:dyDescent="0.25">
      <c r="A120" t="s">
        <v>4544</v>
      </c>
      <c r="B120" t="s">
        <v>1521</v>
      </c>
      <c r="C120">
        <v>10803</v>
      </c>
      <c r="D120" t="s">
        <v>1846</v>
      </c>
      <c r="E120">
        <v>3</v>
      </c>
      <c r="F120" t="s">
        <v>1683</v>
      </c>
      <c r="G120" t="s">
        <v>1889</v>
      </c>
      <c r="H120" t="s">
        <v>1890</v>
      </c>
      <c r="I120" t="s">
        <v>1891</v>
      </c>
      <c r="K120" t="s">
        <v>795</v>
      </c>
      <c r="L120">
        <v>2</v>
      </c>
    </row>
    <row r="121" spans="1:12" x14ac:dyDescent="0.25">
      <c r="A121" t="s">
        <v>4544</v>
      </c>
      <c r="B121" t="s">
        <v>1521</v>
      </c>
      <c r="C121">
        <v>10803</v>
      </c>
      <c r="D121" t="s">
        <v>1846</v>
      </c>
      <c r="E121">
        <v>3</v>
      </c>
      <c r="F121" t="s">
        <v>1683</v>
      </c>
      <c r="G121" t="s">
        <v>1889</v>
      </c>
      <c r="H121" t="s">
        <v>1892</v>
      </c>
      <c r="I121" t="s">
        <v>1893</v>
      </c>
      <c r="K121" t="s">
        <v>795</v>
      </c>
      <c r="L121">
        <v>2</v>
      </c>
    </row>
    <row r="122" spans="1:12" x14ac:dyDescent="0.25">
      <c r="A122" t="s">
        <v>4544</v>
      </c>
      <c r="B122" t="s">
        <v>1523</v>
      </c>
      <c r="C122">
        <v>10803</v>
      </c>
      <c r="D122" t="s">
        <v>1846</v>
      </c>
      <c r="E122">
        <v>3</v>
      </c>
      <c r="F122" t="s">
        <v>1894</v>
      </c>
      <c r="G122" t="s">
        <v>1895</v>
      </c>
      <c r="H122" t="s">
        <v>1896</v>
      </c>
      <c r="I122" t="s">
        <v>1897</v>
      </c>
      <c r="K122" t="s">
        <v>795</v>
      </c>
      <c r="L122">
        <v>2</v>
      </c>
    </row>
    <row r="123" spans="1:12" x14ac:dyDescent="0.25">
      <c r="A123" t="s">
        <v>4544</v>
      </c>
      <c r="B123" t="s">
        <v>1523</v>
      </c>
      <c r="C123">
        <v>10803</v>
      </c>
      <c r="D123" t="s">
        <v>1846</v>
      </c>
      <c r="E123">
        <v>3</v>
      </c>
      <c r="F123" t="s">
        <v>1894</v>
      </c>
      <c r="G123" t="s">
        <v>1895</v>
      </c>
      <c r="H123" t="s">
        <v>1898</v>
      </c>
      <c r="I123" t="s">
        <v>1899</v>
      </c>
      <c r="K123" t="s">
        <v>795</v>
      </c>
      <c r="L123">
        <v>2</v>
      </c>
    </row>
    <row r="124" spans="1:12" x14ac:dyDescent="0.25">
      <c r="A124" t="s">
        <v>4544</v>
      </c>
      <c r="B124" t="s">
        <v>1523</v>
      </c>
      <c r="C124">
        <v>10803</v>
      </c>
      <c r="D124" t="s">
        <v>1846</v>
      </c>
      <c r="E124">
        <v>3</v>
      </c>
      <c r="F124" t="s">
        <v>1900</v>
      </c>
      <c r="G124" t="s">
        <v>1901</v>
      </c>
      <c r="H124" t="s">
        <v>1902</v>
      </c>
      <c r="I124" t="s">
        <v>1903</v>
      </c>
      <c r="K124" t="s">
        <v>795</v>
      </c>
      <c r="L124">
        <v>2</v>
      </c>
    </row>
    <row r="125" spans="1:12" x14ac:dyDescent="0.25">
      <c r="A125" t="s">
        <v>4544</v>
      </c>
      <c r="B125" t="s">
        <v>1523</v>
      </c>
      <c r="C125">
        <v>10803</v>
      </c>
      <c r="D125" t="s">
        <v>1846</v>
      </c>
      <c r="E125">
        <v>3</v>
      </c>
      <c r="F125" t="s">
        <v>1900</v>
      </c>
      <c r="G125" t="s">
        <v>1901</v>
      </c>
      <c r="H125" t="s">
        <v>1904</v>
      </c>
      <c r="I125" t="s">
        <v>1905</v>
      </c>
      <c r="K125" t="s">
        <v>795</v>
      </c>
      <c r="L125">
        <v>2</v>
      </c>
    </row>
    <row r="126" spans="1:12" x14ac:dyDescent="0.25">
      <c r="A126" t="s">
        <v>4544</v>
      </c>
      <c r="B126" t="s">
        <v>1523</v>
      </c>
      <c r="C126">
        <v>10803</v>
      </c>
      <c r="D126" t="s">
        <v>1846</v>
      </c>
      <c r="E126">
        <v>3</v>
      </c>
      <c r="F126" t="s">
        <v>1900</v>
      </c>
      <c r="G126" t="s">
        <v>1901</v>
      </c>
      <c r="H126" t="s">
        <v>1906</v>
      </c>
      <c r="I126" t="s">
        <v>1907</v>
      </c>
      <c r="K126" t="s">
        <v>795</v>
      </c>
      <c r="L126">
        <v>2</v>
      </c>
    </row>
    <row r="127" spans="1:12" x14ac:dyDescent="0.25">
      <c r="A127" t="s">
        <v>4544</v>
      </c>
      <c r="B127" t="s">
        <v>1523</v>
      </c>
      <c r="C127">
        <v>10803</v>
      </c>
      <c r="D127" t="s">
        <v>1846</v>
      </c>
      <c r="E127">
        <v>3</v>
      </c>
      <c r="F127" t="s">
        <v>1900</v>
      </c>
      <c r="G127" t="s">
        <v>1901</v>
      </c>
      <c r="H127" t="s">
        <v>1908</v>
      </c>
      <c r="I127" t="s">
        <v>1909</v>
      </c>
      <c r="K127" t="s">
        <v>795</v>
      </c>
      <c r="L127">
        <v>2</v>
      </c>
    </row>
    <row r="128" spans="1:12" x14ac:dyDescent="0.25">
      <c r="A128" t="s">
        <v>4544</v>
      </c>
      <c r="B128" t="s">
        <v>1523</v>
      </c>
      <c r="C128">
        <v>10803</v>
      </c>
      <c r="D128" t="s">
        <v>1846</v>
      </c>
      <c r="E128">
        <v>3</v>
      </c>
      <c r="F128" t="s">
        <v>1900</v>
      </c>
      <c r="G128" t="s">
        <v>1901</v>
      </c>
      <c r="H128" t="s">
        <v>1910</v>
      </c>
      <c r="I128" t="s">
        <v>1911</v>
      </c>
      <c r="K128" t="s">
        <v>795</v>
      </c>
      <c r="L128">
        <v>2</v>
      </c>
    </row>
    <row r="129" spans="1:12" x14ac:dyDescent="0.25">
      <c r="A129" t="s">
        <v>4545</v>
      </c>
      <c r="B129" t="s">
        <v>1622</v>
      </c>
      <c r="C129">
        <v>10813</v>
      </c>
      <c r="D129" t="s">
        <v>1912</v>
      </c>
      <c r="E129">
        <v>3.5</v>
      </c>
      <c r="F129" t="s">
        <v>1598</v>
      </c>
      <c r="G129" t="s">
        <v>1599</v>
      </c>
      <c r="H129" t="s">
        <v>1600</v>
      </c>
      <c r="I129" t="s">
        <v>1601</v>
      </c>
      <c r="K129" t="s">
        <v>795</v>
      </c>
      <c r="L129">
        <v>2</v>
      </c>
    </row>
    <row r="130" spans="1:12" x14ac:dyDescent="0.25">
      <c r="A130" t="s">
        <v>4545</v>
      </c>
      <c r="B130" t="s">
        <v>1622</v>
      </c>
      <c r="C130">
        <v>10813</v>
      </c>
      <c r="D130" t="s">
        <v>1912</v>
      </c>
      <c r="E130">
        <v>3.5</v>
      </c>
      <c r="F130" t="s">
        <v>1602</v>
      </c>
      <c r="G130" t="s">
        <v>1603</v>
      </c>
      <c r="H130" t="s">
        <v>1604</v>
      </c>
      <c r="I130" t="s">
        <v>1605</v>
      </c>
      <c r="K130" t="s">
        <v>795</v>
      </c>
      <c r="L130">
        <v>2</v>
      </c>
    </row>
    <row r="131" spans="1:12" x14ac:dyDescent="0.25">
      <c r="A131" t="s">
        <v>4545</v>
      </c>
      <c r="B131" t="s">
        <v>1622</v>
      </c>
      <c r="C131">
        <v>10813</v>
      </c>
      <c r="D131" t="s">
        <v>1912</v>
      </c>
      <c r="E131">
        <v>3.5</v>
      </c>
      <c r="F131" t="s">
        <v>1606</v>
      </c>
      <c r="G131" t="s">
        <v>1607</v>
      </c>
      <c r="H131" t="s">
        <v>1608</v>
      </c>
      <c r="I131" t="s">
        <v>1609</v>
      </c>
      <c r="K131" t="s">
        <v>795</v>
      </c>
      <c r="L131">
        <v>2</v>
      </c>
    </row>
    <row r="132" spans="1:12" x14ac:dyDescent="0.25">
      <c r="A132" t="s">
        <v>4545</v>
      </c>
      <c r="B132" t="s">
        <v>1622</v>
      </c>
      <c r="C132">
        <v>10813</v>
      </c>
      <c r="D132" t="s">
        <v>1912</v>
      </c>
      <c r="E132">
        <v>3.5</v>
      </c>
      <c r="F132" t="s">
        <v>1610</v>
      </c>
      <c r="G132" t="s">
        <v>1611</v>
      </c>
      <c r="H132" t="s">
        <v>1612</v>
      </c>
      <c r="I132" t="s">
        <v>1613</v>
      </c>
      <c r="K132" t="s">
        <v>795</v>
      </c>
      <c r="L132">
        <v>2</v>
      </c>
    </row>
    <row r="133" spans="1:12" x14ac:dyDescent="0.25">
      <c r="A133" t="s">
        <v>4545</v>
      </c>
      <c r="B133" t="s">
        <v>1622</v>
      </c>
      <c r="C133">
        <v>10813</v>
      </c>
      <c r="D133" t="s">
        <v>1912</v>
      </c>
      <c r="E133">
        <v>3.5</v>
      </c>
      <c r="F133" t="s">
        <v>1614</v>
      </c>
      <c r="G133" t="s">
        <v>1615</v>
      </c>
      <c r="H133" t="s">
        <v>1616</v>
      </c>
      <c r="I133" t="s">
        <v>1617</v>
      </c>
      <c r="K133" t="s">
        <v>795</v>
      </c>
      <c r="L133">
        <v>2</v>
      </c>
    </row>
    <row r="134" spans="1:12" x14ac:dyDescent="0.25">
      <c r="A134" t="s">
        <v>4545</v>
      </c>
      <c r="B134" t="s">
        <v>1622</v>
      </c>
      <c r="C134">
        <v>10813</v>
      </c>
      <c r="D134" t="s">
        <v>1912</v>
      </c>
      <c r="E134">
        <v>3.5</v>
      </c>
      <c r="F134" t="s">
        <v>1618</v>
      </c>
      <c r="G134" t="s">
        <v>1619</v>
      </c>
      <c r="H134" t="s">
        <v>1620</v>
      </c>
      <c r="I134" t="s">
        <v>1621</v>
      </c>
      <c r="K134" t="s">
        <v>795</v>
      </c>
      <c r="L134">
        <v>2</v>
      </c>
    </row>
    <row r="135" spans="1:12" x14ac:dyDescent="0.25">
      <c r="A135" t="s">
        <v>4545</v>
      </c>
      <c r="B135" t="s">
        <v>1913</v>
      </c>
      <c r="C135">
        <v>10813</v>
      </c>
      <c r="D135" t="s">
        <v>1914</v>
      </c>
      <c r="E135">
        <v>3.5</v>
      </c>
      <c r="F135" t="s">
        <v>1598</v>
      </c>
      <c r="G135" t="s">
        <v>1915</v>
      </c>
      <c r="H135" t="s">
        <v>1916</v>
      </c>
      <c r="I135" t="s">
        <v>1917</v>
      </c>
      <c r="K135" t="s">
        <v>795</v>
      </c>
      <c r="L135">
        <v>2</v>
      </c>
    </row>
    <row r="136" spans="1:12" x14ac:dyDescent="0.25">
      <c r="A136" t="s">
        <v>4545</v>
      </c>
      <c r="B136" t="s">
        <v>1913</v>
      </c>
      <c r="C136">
        <v>10813</v>
      </c>
      <c r="D136" t="s">
        <v>1914</v>
      </c>
      <c r="E136">
        <v>3.5</v>
      </c>
      <c r="F136" t="s">
        <v>1598</v>
      </c>
      <c r="G136" t="s">
        <v>1918</v>
      </c>
      <c r="H136" t="s">
        <v>1919</v>
      </c>
      <c r="I136" t="s">
        <v>1920</v>
      </c>
      <c r="K136" t="s">
        <v>795</v>
      </c>
      <c r="L136">
        <v>2</v>
      </c>
    </row>
    <row r="137" spans="1:12" x14ac:dyDescent="0.25">
      <c r="A137" t="s">
        <v>4545</v>
      </c>
      <c r="B137" t="s">
        <v>1913</v>
      </c>
      <c r="C137">
        <v>10813</v>
      </c>
      <c r="D137" t="s">
        <v>1914</v>
      </c>
      <c r="E137">
        <v>3.5</v>
      </c>
      <c r="F137" t="s">
        <v>1598</v>
      </c>
      <c r="G137" t="s">
        <v>1921</v>
      </c>
      <c r="H137" t="s">
        <v>1922</v>
      </c>
      <c r="I137" t="s">
        <v>1923</v>
      </c>
      <c r="K137" t="s">
        <v>795</v>
      </c>
      <c r="L137">
        <v>2</v>
      </c>
    </row>
    <row r="138" spans="1:12" x14ac:dyDescent="0.25">
      <c r="A138" t="s">
        <v>4545</v>
      </c>
      <c r="B138" t="s">
        <v>1924</v>
      </c>
      <c r="C138">
        <v>10813</v>
      </c>
      <c r="D138" t="s">
        <v>1914</v>
      </c>
      <c r="E138">
        <v>3.5</v>
      </c>
      <c r="F138" t="s">
        <v>1602</v>
      </c>
      <c r="G138" t="s">
        <v>1603</v>
      </c>
      <c r="H138" t="s">
        <v>1925</v>
      </c>
      <c r="I138" t="s">
        <v>1926</v>
      </c>
      <c r="K138" t="s">
        <v>795</v>
      </c>
      <c r="L138">
        <v>2</v>
      </c>
    </row>
    <row r="139" spans="1:12" x14ac:dyDescent="0.25">
      <c r="A139" t="s">
        <v>4545</v>
      </c>
      <c r="B139" t="s">
        <v>1924</v>
      </c>
      <c r="C139">
        <v>10813</v>
      </c>
      <c r="D139" t="s">
        <v>1914</v>
      </c>
      <c r="E139">
        <v>3.5</v>
      </c>
      <c r="F139" t="s">
        <v>1602</v>
      </c>
      <c r="G139" t="s">
        <v>1927</v>
      </c>
      <c r="H139" t="s">
        <v>1928</v>
      </c>
      <c r="I139" t="s">
        <v>1929</v>
      </c>
      <c r="K139" t="s">
        <v>795</v>
      </c>
      <c r="L139">
        <v>2</v>
      </c>
    </row>
    <row r="140" spans="1:12" x14ac:dyDescent="0.25">
      <c r="A140" t="s">
        <v>4545</v>
      </c>
      <c r="B140" t="s">
        <v>1924</v>
      </c>
      <c r="C140">
        <v>10813</v>
      </c>
      <c r="D140" t="s">
        <v>1914</v>
      </c>
      <c r="E140">
        <v>3.5</v>
      </c>
      <c r="F140" t="s">
        <v>1602</v>
      </c>
      <c r="G140" t="s">
        <v>1930</v>
      </c>
      <c r="H140" t="s">
        <v>1931</v>
      </c>
      <c r="I140" t="s">
        <v>1932</v>
      </c>
      <c r="K140" t="s">
        <v>795</v>
      </c>
      <c r="L140">
        <v>2</v>
      </c>
    </row>
    <row r="141" spans="1:12" x14ac:dyDescent="0.25">
      <c r="A141" t="s">
        <v>4545</v>
      </c>
      <c r="B141" t="s">
        <v>1933</v>
      </c>
      <c r="C141">
        <v>10813</v>
      </c>
      <c r="D141" t="s">
        <v>1914</v>
      </c>
      <c r="E141">
        <v>3.5</v>
      </c>
      <c r="F141" t="s">
        <v>1808</v>
      </c>
      <c r="G141" t="s">
        <v>1809</v>
      </c>
      <c r="H141" t="s">
        <v>1934</v>
      </c>
      <c r="I141" t="s">
        <v>1935</v>
      </c>
      <c r="K141" t="s">
        <v>795</v>
      </c>
      <c r="L141">
        <v>2</v>
      </c>
    </row>
    <row r="142" spans="1:12" x14ac:dyDescent="0.25">
      <c r="A142" t="s">
        <v>4545</v>
      </c>
      <c r="B142" t="s">
        <v>1933</v>
      </c>
      <c r="C142">
        <v>10813</v>
      </c>
      <c r="D142" t="s">
        <v>1914</v>
      </c>
      <c r="E142">
        <v>3.5</v>
      </c>
      <c r="F142" t="s">
        <v>1808</v>
      </c>
      <c r="G142" t="s">
        <v>1936</v>
      </c>
      <c r="H142" t="s">
        <v>1937</v>
      </c>
      <c r="I142" t="s">
        <v>1938</v>
      </c>
      <c r="K142" t="s">
        <v>795</v>
      </c>
      <c r="L142">
        <v>2</v>
      </c>
    </row>
    <row r="143" spans="1:12" x14ac:dyDescent="0.25">
      <c r="A143" t="s">
        <v>4545</v>
      </c>
      <c r="B143" t="s">
        <v>1933</v>
      </c>
      <c r="C143">
        <v>10813</v>
      </c>
      <c r="D143" t="s">
        <v>1914</v>
      </c>
      <c r="E143">
        <v>3.5</v>
      </c>
      <c r="F143" t="s">
        <v>1808</v>
      </c>
      <c r="G143" t="s">
        <v>1939</v>
      </c>
      <c r="H143" t="s">
        <v>1940</v>
      </c>
      <c r="I143" t="s">
        <v>1941</v>
      </c>
      <c r="K143" t="s">
        <v>795</v>
      </c>
      <c r="L143">
        <v>2</v>
      </c>
    </row>
    <row r="144" spans="1:12" x14ac:dyDescent="0.25">
      <c r="A144" t="s">
        <v>4545</v>
      </c>
      <c r="B144" t="s">
        <v>1942</v>
      </c>
      <c r="C144">
        <v>10813</v>
      </c>
      <c r="D144" t="s">
        <v>1914</v>
      </c>
      <c r="E144">
        <v>3.5</v>
      </c>
      <c r="F144" t="s">
        <v>1754</v>
      </c>
      <c r="G144" t="s">
        <v>1755</v>
      </c>
      <c r="H144" t="s">
        <v>1943</v>
      </c>
      <c r="I144" t="s">
        <v>1944</v>
      </c>
      <c r="K144" t="s">
        <v>795</v>
      </c>
      <c r="L144">
        <v>2</v>
      </c>
    </row>
    <row r="145" spans="1:12" x14ac:dyDescent="0.25">
      <c r="A145" t="s">
        <v>4545</v>
      </c>
      <c r="B145" t="s">
        <v>1942</v>
      </c>
      <c r="C145">
        <v>10813</v>
      </c>
      <c r="D145" t="s">
        <v>1914</v>
      </c>
      <c r="E145">
        <v>3.5</v>
      </c>
      <c r="F145" t="s">
        <v>1945</v>
      </c>
      <c r="G145" t="s">
        <v>1946</v>
      </c>
      <c r="H145" t="s">
        <v>1947</v>
      </c>
      <c r="I145" t="s">
        <v>1948</v>
      </c>
      <c r="K145" t="s">
        <v>795</v>
      </c>
      <c r="L145">
        <v>2</v>
      </c>
    </row>
    <row r="146" spans="1:12" x14ac:dyDescent="0.25">
      <c r="A146" t="s">
        <v>4545</v>
      </c>
      <c r="B146" t="s">
        <v>1942</v>
      </c>
      <c r="C146">
        <v>10813</v>
      </c>
      <c r="D146" t="s">
        <v>1914</v>
      </c>
      <c r="E146">
        <v>3.5</v>
      </c>
      <c r="F146" t="s">
        <v>1949</v>
      </c>
      <c r="G146" t="s">
        <v>1950</v>
      </c>
      <c r="H146" t="s">
        <v>1951</v>
      </c>
      <c r="I146" t="s">
        <v>1952</v>
      </c>
      <c r="K146" t="s">
        <v>795</v>
      </c>
      <c r="L146">
        <v>2</v>
      </c>
    </row>
    <row r="147" spans="1:12" x14ac:dyDescent="0.25">
      <c r="A147" t="s">
        <v>4545</v>
      </c>
      <c r="B147" t="s">
        <v>1953</v>
      </c>
      <c r="C147">
        <v>10813</v>
      </c>
      <c r="D147" t="s">
        <v>1914</v>
      </c>
      <c r="E147">
        <v>3.5</v>
      </c>
      <c r="F147" t="s">
        <v>1881</v>
      </c>
      <c r="G147" t="s">
        <v>1954</v>
      </c>
      <c r="H147" t="s">
        <v>1955</v>
      </c>
      <c r="I147" t="s">
        <v>1956</v>
      </c>
      <c r="K147" t="s">
        <v>795</v>
      </c>
      <c r="L147">
        <v>2</v>
      </c>
    </row>
    <row r="148" spans="1:12" x14ac:dyDescent="0.25">
      <c r="A148" t="s">
        <v>4545</v>
      </c>
      <c r="B148" t="s">
        <v>1953</v>
      </c>
      <c r="C148">
        <v>10813</v>
      </c>
      <c r="D148" t="s">
        <v>1914</v>
      </c>
      <c r="E148">
        <v>3.5</v>
      </c>
      <c r="F148" t="s">
        <v>1881</v>
      </c>
      <c r="G148" t="s">
        <v>1957</v>
      </c>
      <c r="H148" t="s">
        <v>1958</v>
      </c>
      <c r="I148" t="s">
        <v>1959</v>
      </c>
      <c r="K148" t="s">
        <v>795</v>
      </c>
      <c r="L148">
        <v>2</v>
      </c>
    </row>
    <row r="149" spans="1:12" x14ac:dyDescent="0.25">
      <c r="A149" t="s">
        <v>4545</v>
      </c>
      <c r="B149" t="s">
        <v>1953</v>
      </c>
      <c r="C149">
        <v>10813</v>
      </c>
      <c r="D149" t="s">
        <v>1914</v>
      </c>
      <c r="E149">
        <v>3.5</v>
      </c>
      <c r="F149" t="s">
        <v>1900</v>
      </c>
      <c r="G149" t="s">
        <v>1960</v>
      </c>
      <c r="H149" t="s">
        <v>1961</v>
      </c>
      <c r="I149" t="s">
        <v>1962</v>
      </c>
      <c r="K149" t="s">
        <v>795</v>
      </c>
      <c r="L149">
        <v>2</v>
      </c>
    </row>
    <row r="150" spans="1:12" x14ac:dyDescent="0.25">
      <c r="A150" t="s">
        <v>4545</v>
      </c>
      <c r="B150" t="s">
        <v>1826</v>
      </c>
      <c r="C150">
        <v>10813</v>
      </c>
      <c r="D150" t="s">
        <v>1914</v>
      </c>
      <c r="E150">
        <v>3.5</v>
      </c>
      <c r="F150" t="s">
        <v>1633</v>
      </c>
      <c r="G150" t="s">
        <v>1634</v>
      </c>
      <c r="H150" t="s">
        <v>1963</v>
      </c>
      <c r="I150" t="s">
        <v>1964</v>
      </c>
      <c r="K150" t="s">
        <v>795</v>
      </c>
      <c r="L150">
        <v>2</v>
      </c>
    </row>
    <row r="151" spans="1:12" x14ac:dyDescent="0.25">
      <c r="A151" t="s">
        <v>4545</v>
      </c>
      <c r="B151" t="s">
        <v>1826</v>
      </c>
      <c r="C151">
        <v>10813</v>
      </c>
      <c r="D151" t="s">
        <v>1914</v>
      </c>
      <c r="E151">
        <v>3.5</v>
      </c>
      <c r="F151" t="s">
        <v>1633</v>
      </c>
      <c r="G151" t="s">
        <v>1775</v>
      </c>
      <c r="H151" t="s">
        <v>1965</v>
      </c>
      <c r="I151" t="s">
        <v>1966</v>
      </c>
      <c r="K151" t="s">
        <v>795</v>
      </c>
      <c r="L151">
        <v>2</v>
      </c>
    </row>
    <row r="152" spans="1:12" x14ac:dyDescent="0.25">
      <c r="A152" t="s">
        <v>4545</v>
      </c>
      <c r="B152" t="s">
        <v>1826</v>
      </c>
      <c r="C152">
        <v>10813</v>
      </c>
      <c r="D152" t="s">
        <v>1914</v>
      </c>
      <c r="E152">
        <v>3.5</v>
      </c>
      <c r="F152" t="s">
        <v>1878</v>
      </c>
      <c r="G152" t="s">
        <v>1829</v>
      </c>
      <c r="H152" t="s">
        <v>1967</v>
      </c>
      <c r="I152" t="s">
        <v>1968</v>
      </c>
      <c r="K152" t="s">
        <v>795</v>
      </c>
      <c r="L152">
        <v>2</v>
      </c>
    </row>
    <row r="153" spans="1:12" x14ac:dyDescent="0.25">
      <c r="A153" t="s">
        <v>4545</v>
      </c>
      <c r="B153" t="s">
        <v>1969</v>
      </c>
      <c r="C153">
        <v>10813</v>
      </c>
      <c r="D153" t="s">
        <v>1914</v>
      </c>
      <c r="E153">
        <v>3.5</v>
      </c>
      <c r="F153" t="s">
        <v>1970</v>
      </c>
      <c r="G153" t="s">
        <v>1971</v>
      </c>
      <c r="H153" t="s">
        <v>1972</v>
      </c>
      <c r="I153" t="s">
        <v>1973</v>
      </c>
      <c r="K153" t="s">
        <v>795</v>
      </c>
      <c r="L153">
        <v>2</v>
      </c>
    </row>
    <row r="154" spans="1:12" x14ac:dyDescent="0.25">
      <c r="A154" t="s">
        <v>4545</v>
      </c>
      <c r="B154" t="s">
        <v>1969</v>
      </c>
      <c r="C154">
        <v>10813</v>
      </c>
      <c r="D154" t="s">
        <v>1914</v>
      </c>
      <c r="E154">
        <v>3.5</v>
      </c>
      <c r="F154" t="s">
        <v>1840</v>
      </c>
      <c r="G154" t="s">
        <v>1841</v>
      </c>
      <c r="H154" t="s">
        <v>1974</v>
      </c>
      <c r="I154" t="s">
        <v>1975</v>
      </c>
      <c r="K154" t="s">
        <v>795</v>
      </c>
      <c r="L154">
        <v>2</v>
      </c>
    </row>
    <row r="155" spans="1:12" x14ac:dyDescent="0.25">
      <c r="A155" t="s">
        <v>4546</v>
      </c>
      <c r="B155" t="s">
        <v>1622</v>
      </c>
      <c r="C155">
        <v>10804</v>
      </c>
      <c r="D155" t="s">
        <v>1976</v>
      </c>
      <c r="E155">
        <v>4</v>
      </c>
      <c r="F155" t="s">
        <v>1598</v>
      </c>
      <c r="G155" t="s">
        <v>1599</v>
      </c>
      <c r="H155" t="s">
        <v>1600</v>
      </c>
      <c r="I155" t="s">
        <v>1601</v>
      </c>
      <c r="K155" t="s">
        <v>795</v>
      </c>
      <c r="L155">
        <v>2</v>
      </c>
    </row>
    <row r="156" spans="1:12" x14ac:dyDescent="0.25">
      <c r="A156" t="s">
        <v>4546</v>
      </c>
      <c r="B156" t="s">
        <v>1622</v>
      </c>
      <c r="C156">
        <v>10804</v>
      </c>
      <c r="D156" t="s">
        <v>1976</v>
      </c>
      <c r="E156">
        <v>4</v>
      </c>
      <c r="F156" t="s">
        <v>1602</v>
      </c>
      <c r="G156" t="s">
        <v>1603</v>
      </c>
      <c r="H156" t="s">
        <v>1604</v>
      </c>
      <c r="I156" t="s">
        <v>1605</v>
      </c>
      <c r="K156" t="s">
        <v>795</v>
      </c>
      <c r="L156">
        <v>2</v>
      </c>
    </row>
    <row r="157" spans="1:12" x14ac:dyDescent="0.25">
      <c r="A157" t="s">
        <v>4546</v>
      </c>
      <c r="B157" t="s">
        <v>1622</v>
      </c>
      <c r="C157">
        <v>10804</v>
      </c>
      <c r="D157" t="s">
        <v>1976</v>
      </c>
      <c r="E157">
        <v>4</v>
      </c>
      <c r="F157" t="s">
        <v>1606</v>
      </c>
      <c r="G157" t="s">
        <v>1607</v>
      </c>
      <c r="H157" t="s">
        <v>1608</v>
      </c>
      <c r="I157" t="s">
        <v>1609</v>
      </c>
      <c r="K157" t="s">
        <v>795</v>
      </c>
      <c r="L157">
        <v>2</v>
      </c>
    </row>
    <row r="158" spans="1:12" x14ac:dyDescent="0.25">
      <c r="A158" t="s">
        <v>4546</v>
      </c>
      <c r="B158" t="s">
        <v>1622</v>
      </c>
      <c r="C158">
        <v>10804</v>
      </c>
      <c r="D158" t="s">
        <v>1976</v>
      </c>
      <c r="E158">
        <v>4</v>
      </c>
      <c r="F158" t="s">
        <v>1610</v>
      </c>
      <c r="G158" t="s">
        <v>1611</v>
      </c>
      <c r="H158" t="s">
        <v>1612</v>
      </c>
      <c r="I158" t="s">
        <v>1613</v>
      </c>
      <c r="K158" t="s">
        <v>795</v>
      </c>
      <c r="L158">
        <v>2</v>
      </c>
    </row>
    <row r="159" spans="1:12" x14ac:dyDescent="0.25">
      <c r="A159" t="s">
        <v>4546</v>
      </c>
      <c r="B159" t="s">
        <v>1622</v>
      </c>
      <c r="C159">
        <v>10804</v>
      </c>
      <c r="D159" t="s">
        <v>1976</v>
      </c>
      <c r="E159">
        <v>4</v>
      </c>
      <c r="F159" t="s">
        <v>1614</v>
      </c>
      <c r="G159" t="s">
        <v>1615</v>
      </c>
      <c r="H159" t="s">
        <v>1616</v>
      </c>
      <c r="I159" t="s">
        <v>1617</v>
      </c>
      <c r="K159" t="s">
        <v>795</v>
      </c>
      <c r="L159">
        <v>2</v>
      </c>
    </row>
    <row r="160" spans="1:12" x14ac:dyDescent="0.25">
      <c r="A160" t="s">
        <v>4546</v>
      </c>
      <c r="B160" t="s">
        <v>1622</v>
      </c>
      <c r="C160">
        <v>10804</v>
      </c>
      <c r="D160" t="s">
        <v>1976</v>
      </c>
      <c r="E160">
        <v>4</v>
      </c>
      <c r="F160" t="s">
        <v>1618</v>
      </c>
      <c r="G160" t="s">
        <v>1619</v>
      </c>
      <c r="H160" t="s">
        <v>1620</v>
      </c>
      <c r="I160" t="s">
        <v>1621</v>
      </c>
      <c r="K160" t="s">
        <v>795</v>
      </c>
      <c r="L160">
        <v>2</v>
      </c>
    </row>
    <row r="161" spans="1:12" x14ac:dyDescent="0.25">
      <c r="A161" t="s">
        <v>4546</v>
      </c>
      <c r="B161" t="s">
        <v>1986</v>
      </c>
      <c r="C161">
        <v>10804</v>
      </c>
      <c r="D161" t="s">
        <v>1977</v>
      </c>
      <c r="E161">
        <v>4</v>
      </c>
      <c r="F161" t="s">
        <v>1683</v>
      </c>
      <c r="G161" t="s">
        <v>1978</v>
      </c>
      <c r="H161" t="s">
        <v>1979</v>
      </c>
      <c r="I161" t="s">
        <v>1980</v>
      </c>
      <c r="K161" t="s">
        <v>795</v>
      </c>
      <c r="L161">
        <v>2</v>
      </c>
    </row>
    <row r="162" spans="1:12" x14ac:dyDescent="0.25">
      <c r="A162" t="s">
        <v>4546</v>
      </c>
      <c r="B162" t="s">
        <v>1986</v>
      </c>
      <c r="C162">
        <v>10804</v>
      </c>
      <c r="D162" t="s">
        <v>1977</v>
      </c>
      <c r="E162">
        <v>4</v>
      </c>
      <c r="F162" t="s">
        <v>1683</v>
      </c>
      <c r="G162" t="s">
        <v>1981</v>
      </c>
      <c r="H162" t="s">
        <v>1982</v>
      </c>
      <c r="I162" t="s">
        <v>1987</v>
      </c>
      <c r="K162" t="s">
        <v>795</v>
      </c>
      <c r="L162">
        <v>2</v>
      </c>
    </row>
    <row r="163" spans="1:12" x14ac:dyDescent="0.25">
      <c r="A163" t="s">
        <v>4546</v>
      </c>
      <c r="B163" t="s">
        <v>1988</v>
      </c>
      <c r="C163">
        <v>10804</v>
      </c>
      <c r="D163" t="s">
        <v>1977</v>
      </c>
      <c r="E163">
        <v>4</v>
      </c>
      <c r="F163" t="s">
        <v>1983</v>
      </c>
      <c r="G163" t="s">
        <v>1989</v>
      </c>
      <c r="H163" t="s">
        <v>1990</v>
      </c>
      <c r="I163" t="s">
        <v>1991</v>
      </c>
      <c r="K163" t="s">
        <v>795</v>
      </c>
      <c r="L163">
        <v>2</v>
      </c>
    </row>
    <row r="164" spans="1:12" x14ac:dyDescent="0.25">
      <c r="A164" t="s">
        <v>4546</v>
      </c>
      <c r="B164" t="s">
        <v>1988</v>
      </c>
      <c r="C164">
        <v>10804</v>
      </c>
      <c r="D164" t="s">
        <v>1977</v>
      </c>
      <c r="E164">
        <v>4</v>
      </c>
      <c r="F164" t="s">
        <v>1983</v>
      </c>
      <c r="G164" t="s">
        <v>1989</v>
      </c>
      <c r="H164" t="s">
        <v>1992</v>
      </c>
      <c r="I164" t="s">
        <v>1993</v>
      </c>
      <c r="K164" t="s">
        <v>795</v>
      </c>
      <c r="L164">
        <v>2</v>
      </c>
    </row>
    <row r="165" spans="1:12" x14ac:dyDescent="0.25">
      <c r="A165" t="s">
        <v>4546</v>
      </c>
      <c r="B165" t="s">
        <v>1530</v>
      </c>
      <c r="C165">
        <v>10804</v>
      </c>
      <c r="D165" t="s">
        <v>1977</v>
      </c>
      <c r="E165">
        <v>4</v>
      </c>
      <c r="F165" t="s">
        <v>1994</v>
      </c>
      <c r="G165" t="s">
        <v>1984</v>
      </c>
      <c r="H165" t="s">
        <v>1995</v>
      </c>
      <c r="I165" t="s">
        <v>1996</v>
      </c>
      <c r="K165" t="s">
        <v>795</v>
      </c>
      <c r="L165">
        <v>2</v>
      </c>
    </row>
    <row r="166" spans="1:12" x14ac:dyDescent="0.25">
      <c r="A166" t="s">
        <v>4546</v>
      </c>
      <c r="B166" t="s">
        <v>1530</v>
      </c>
      <c r="C166">
        <v>10804</v>
      </c>
      <c r="D166" t="s">
        <v>1977</v>
      </c>
      <c r="E166">
        <v>4</v>
      </c>
      <c r="F166" t="s">
        <v>1994</v>
      </c>
      <c r="G166" t="s">
        <v>1984</v>
      </c>
      <c r="H166" t="s">
        <v>1997</v>
      </c>
      <c r="I166" t="s">
        <v>1998</v>
      </c>
      <c r="K166" t="s">
        <v>795</v>
      </c>
      <c r="L166">
        <v>2</v>
      </c>
    </row>
    <row r="167" spans="1:12" x14ac:dyDescent="0.25">
      <c r="A167" t="s">
        <v>4546</v>
      </c>
      <c r="B167" t="s">
        <v>1530</v>
      </c>
      <c r="C167">
        <v>10804</v>
      </c>
      <c r="D167" t="s">
        <v>1977</v>
      </c>
      <c r="E167">
        <v>4</v>
      </c>
      <c r="F167" t="s">
        <v>1994</v>
      </c>
      <c r="G167" t="s">
        <v>1984</v>
      </c>
      <c r="H167" t="s">
        <v>1999</v>
      </c>
      <c r="I167" t="s">
        <v>1985</v>
      </c>
      <c r="K167" t="s">
        <v>795</v>
      </c>
      <c r="L167">
        <v>2</v>
      </c>
    </row>
    <row r="168" spans="1:12" x14ac:dyDescent="0.25">
      <c r="A168" t="s">
        <v>4546</v>
      </c>
      <c r="B168" t="s">
        <v>1530</v>
      </c>
      <c r="C168">
        <v>10804</v>
      </c>
      <c r="D168" t="s">
        <v>1977</v>
      </c>
      <c r="E168">
        <v>4</v>
      </c>
      <c r="F168" t="s">
        <v>1708</v>
      </c>
      <c r="G168" t="s">
        <v>1709</v>
      </c>
      <c r="H168" t="s">
        <v>2000</v>
      </c>
      <c r="I168" t="s">
        <v>2001</v>
      </c>
      <c r="K168" t="s">
        <v>795</v>
      </c>
      <c r="L168">
        <v>2</v>
      </c>
    </row>
    <row r="169" spans="1:12" x14ac:dyDescent="0.25">
      <c r="A169" t="s">
        <v>4546</v>
      </c>
      <c r="B169" t="s">
        <v>2002</v>
      </c>
      <c r="C169">
        <v>10804</v>
      </c>
      <c r="D169" t="s">
        <v>1977</v>
      </c>
      <c r="E169">
        <v>4</v>
      </c>
      <c r="F169" t="s">
        <v>1851</v>
      </c>
      <c r="G169" t="s">
        <v>2003</v>
      </c>
      <c r="H169" t="s">
        <v>2004</v>
      </c>
      <c r="I169" t="s">
        <v>2005</v>
      </c>
      <c r="K169" t="s">
        <v>795</v>
      </c>
      <c r="L169">
        <v>2</v>
      </c>
    </row>
    <row r="170" spans="1:12" x14ac:dyDescent="0.25">
      <c r="A170" t="s">
        <v>4546</v>
      </c>
      <c r="B170" t="s">
        <v>2002</v>
      </c>
      <c r="C170">
        <v>10804</v>
      </c>
      <c r="D170" t="s">
        <v>1977</v>
      </c>
      <c r="E170">
        <v>4</v>
      </c>
      <c r="F170" t="s">
        <v>1851</v>
      </c>
      <c r="G170" t="s">
        <v>2003</v>
      </c>
      <c r="H170" t="s">
        <v>2006</v>
      </c>
      <c r="I170" t="s">
        <v>2007</v>
      </c>
      <c r="K170" t="s">
        <v>795</v>
      </c>
      <c r="L170">
        <v>2</v>
      </c>
    </row>
    <row r="171" spans="1:12" x14ac:dyDescent="0.25">
      <c r="A171" t="s">
        <v>4546</v>
      </c>
      <c r="B171" t="s">
        <v>2002</v>
      </c>
      <c r="C171">
        <v>10804</v>
      </c>
      <c r="D171" t="s">
        <v>1977</v>
      </c>
      <c r="E171">
        <v>4</v>
      </c>
      <c r="F171" t="s">
        <v>1851</v>
      </c>
      <c r="G171" t="s">
        <v>2003</v>
      </c>
      <c r="H171" t="s">
        <v>2008</v>
      </c>
      <c r="I171" t="s">
        <v>2009</v>
      </c>
      <c r="K171" t="s">
        <v>795</v>
      </c>
      <c r="L171">
        <v>2</v>
      </c>
    </row>
    <row r="172" spans="1:12" x14ac:dyDescent="0.25">
      <c r="A172" t="s">
        <v>4546</v>
      </c>
      <c r="B172" t="s">
        <v>2002</v>
      </c>
      <c r="C172">
        <v>10804</v>
      </c>
      <c r="D172" t="s">
        <v>1977</v>
      </c>
      <c r="E172">
        <v>4</v>
      </c>
      <c r="F172" t="s">
        <v>1851</v>
      </c>
      <c r="G172" t="s">
        <v>2003</v>
      </c>
      <c r="H172" t="s">
        <v>2010</v>
      </c>
      <c r="I172" t="s">
        <v>2011</v>
      </c>
      <c r="K172" t="s">
        <v>795</v>
      </c>
      <c r="L172">
        <v>2</v>
      </c>
    </row>
    <row r="173" spans="1:12" x14ac:dyDescent="0.25">
      <c r="A173" t="s">
        <v>4546</v>
      </c>
      <c r="B173" t="s">
        <v>2012</v>
      </c>
      <c r="C173">
        <v>10804</v>
      </c>
      <c r="D173" t="s">
        <v>1977</v>
      </c>
      <c r="E173">
        <v>4</v>
      </c>
      <c r="F173" t="s">
        <v>2013</v>
      </c>
      <c r="G173" t="s">
        <v>2014</v>
      </c>
      <c r="H173" t="s">
        <v>2015</v>
      </c>
      <c r="I173" t="s">
        <v>2016</v>
      </c>
      <c r="K173" t="s">
        <v>795</v>
      </c>
      <c r="L173">
        <v>2</v>
      </c>
    </row>
    <row r="174" spans="1:12" x14ac:dyDescent="0.25">
      <c r="A174" t="s">
        <v>4546</v>
      </c>
      <c r="B174" t="s">
        <v>2012</v>
      </c>
      <c r="C174">
        <v>10804</v>
      </c>
      <c r="D174" t="s">
        <v>1977</v>
      </c>
      <c r="E174">
        <v>4</v>
      </c>
      <c r="F174" t="s">
        <v>2013</v>
      </c>
      <c r="G174" t="s">
        <v>2014</v>
      </c>
      <c r="H174" t="s">
        <v>2017</v>
      </c>
      <c r="I174" t="s">
        <v>2018</v>
      </c>
      <c r="K174" t="s">
        <v>795</v>
      </c>
      <c r="L174">
        <v>2</v>
      </c>
    </row>
    <row r="175" spans="1:12" x14ac:dyDescent="0.25">
      <c r="A175" t="s">
        <v>4546</v>
      </c>
      <c r="B175" t="s">
        <v>2012</v>
      </c>
      <c r="C175">
        <v>10804</v>
      </c>
      <c r="D175" t="s">
        <v>1977</v>
      </c>
      <c r="E175">
        <v>4</v>
      </c>
      <c r="F175" t="s">
        <v>2013</v>
      </c>
      <c r="G175" t="s">
        <v>2014</v>
      </c>
      <c r="H175" t="s">
        <v>2019</v>
      </c>
      <c r="I175" t="s">
        <v>2020</v>
      </c>
      <c r="K175" t="s">
        <v>795</v>
      </c>
      <c r="L175">
        <v>2</v>
      </c>
    </row>
    <row r="176" spans="1:12" x14ac:dyDescent="0.25">
      <c r="A176" t="s">
        <v>4546</v>
      </c>
      <c r="B176" t="s">
        <v>2012</v>
      </c>
      <c r="C176">
        <v>10804</v>
      </c>
      <c r="D176" t="s">
        <v>1977</v>
      </c>
      <c r="E176">
        <v>4</v>
      </c>
      <c r="F176" t="s">
        <v>2013</v>
      </c>
      <c r="G176" t="s">
        <v>2014</v>
      </c>
      <c r="H176" t="s">
        <v>2021</v>
      </c>
      <c r="I176" t="s">
        <v>2022</v>
      </c>
      <c r="K176" t="s">
        <v>795</v>
      </c>
      <c r="L176">
        <v>2</v>
      </c>
    </row>
    <row r="177" spans="1:12" x14ac:dyDescent="0.25">
      <c r="A177" t="s">
        <v>4546</v>
      </c>
      <c r="B177" t="s">
        <v>1537</v>
      </c>
      <c r="C177">
        <v>10804</v>
      </c>
      <c r="D177" t="s">
        <v>1977</v>
      </c>
      <c r="E177">
        <v>4</v>
      </c>
      <c r="F177" t="s">
        <v>2023</v>
      </c>
      <c r="G177" t="s">
        <v>2024</v>
      </c>
      <c r="H177" t="s">
        <v>2025</v>
      </c>
      <c r="I177" t="s">
        <v>2026</v>
      </c>
      <c r="K177" t="s">
        <v>795</v>
      </c>
      <c r="L177">
        <v>2</v>
      </c>
    </row>
    <row r="178" spans="1:12" x14ac:dyDescent="0.25">
      <c r="A178" t="s">
        <v>4546</v>
      </c>
      <c r="B178" t="s">
        <v>1537</v>
      </c>
      <c r="C178">
        <v>10804</v>
      </c>
      <c r="D178" t="s">
        <v>1977</v>
      </c>
      <c r="E178">
        <v>4</v>
      </c>
      <c r="F178" t="s">
        <v>1647</v>
      </c>
      <c r="G178" t="s">
        <v>1648</v>
      </c>
      <c r="H178" t="s">
        <v>2027</v>
      </c>
      <c r="I178" t="s">
        <v>2028</v>
      </c>
      <c r="K178" t="s">
        <v>795</v>
      </c>
      <c r="L178">
        <v>2</v>
      </c>
    </row>
    <row r="179" spans="1:12" x14ac:dyDescent="0.25">
      <c r="A179" t="s">
        <v>4546</v>
      </c>
      <c r="B179" t="s">
        <v>1537</v>
      </c>
      <c r="C179">
        <v>10804</v>
      </c>
      <c r="D179" t="s">
        <v>1977</v>
      </c>
      <c r="E179">
        <v>4</v>
      </c>
      <c r="F179" t="s">
        <v>2029</v>
      </c>
      <c r="G179" t="s">
        <v>2030</v>
      </c>
      <c r="H179" t="s">
        <v>2031</v>
      </c>
      <c r="I179" t="s">
        <v>2032</v>
      </c>
      <c r="K179" t="s">
        <v>795</v>
      </c>
      <c r="L179">
        <v>2</v>
      </c>
    </row>
    <row r="180" spans="1:12" x14ac:dyDescent="0.25">
      <c r="A180" t="s">
        <v>4546</v>
      </c>
      <c r="B180" t="s">
        <v>1537</v>
      </c>
      <c r="C180">
        <v>10804</v>
      </c>
      <c r="D180" t="s">
        <v>1977</v>
      </c>
      <c r="E180">
        <v>4</v>
      </c>
      <c r="F180" t="s">
        <v>2029</v>
      </c>
      <c r="G180" t="s">
        <v>2030</v>
      </c>
      <c r="H180" t="s">
        <v>2033</v>
      </c>
      <c r="I180" t="s">
        <v>2034</v>
      </c>
      <c r="K180" t="s">
        <v>795</v>
      </c>
      <c r="L180">
        <v>2</v>
      </c>
    </row>
    <row r="181" spans="1:12" x14ac:dyDescent="0.25">
      <c r="A181" t="s">
        <v>4546</v>
      </c>
      <c r="B181" t="s">
        <v>1537</v>
      </c>
      <c r="C181">
        <v>10804</v>
      </c>
      <c r="D181" t="s">
        <v>1977</v>
      </c>
      <c r="E181">
        <v>4</v>
      </c>
      <c r="F181" t="s">
        <v>1689</v>
      </c>
      <c r="G181" t="s">
        <v>2035</v>
      </c>
      <c r="H181" t="s">
        <v>2036</v>
      </c>
      <c r="I181" t="s">
        <v>2037</v>
      </c>
      <c r="K181" t="s">
        <v>795</v>
      </c>
      <c r="L181">
        <v>2</v>
      </c>
    </row>
    <row r="182" spans="1:12" x14ac:dyDescent="0.25">
      <c r="A182" t="s">
        <v>4546</v>
      </c>
      <c r="B182" t="s">
        <v>2038</v>
      </c>
      <c r="C182">
        <v>10804</v>
      </c>
      <c r="D182" t="s">
        <v>1977</v>
      </c>
      <c r="E182">
        <v>4</v>
      </c>
      <c r="F182" t="s">
        <v>2039</v>
      </c>
      <c r="G182" t="s">
        <v>2040</v>
      </c>
      <c r="H182" t="s">
        <v>2041</v>
      </c>
      <c r="I182" t="s">
        <v>2042</v>
      </c>
      <c r="K182" t="s">
        <v>795</v>
      </c>
      <c r="L182">
        <v>2</v>
      </c>
    </row>
    <row r="183" spans="1:12" x14ac:dyDescent="0.25">
      <c r="A183" t="s">
        <v>4546</v>
      </c>
      <c r="B183" t="s">
        <v>2038</v>
      </c>
      <c r="C183">
        <v>10804</v>
      </c>
      <c r="D183" t="s">
        <v>1977</v>
      </c>
      <c r="E183">
        <v>4</v>
      </c>
      <c r="F183" t="s">
        <v>2039</v>
      </c>
      <c r="G183" t="s">
        <v>2040</v>
      </c>
      <c r="H183" t="s">
        <v>2043</v>
      </c>
      <c r="I183" t="s">
        <v>2044</v>
      </c>
      <c r="K183" t="s">
        <v>795</v>
      </c>
      <c r="L183">
        <v>2</v>
      </c>
    </row>
    <row r="184" spans="1:12" x14ac:dyDescent="0.25">
      <c r="A184" t="s">
        <v>4546</v>
      </c>
      <c r="B184" t="s">
        <v>2038</v>
      </c>
      <c r="C184">
        <v>10804</v>
      </c>
      <c r="D184" t="s">
        <v>1977</v>
      </c>
      <c r="E184">
        <v>4</v>
      </c>
      <c r="F184" t="s">
        <v>2039</v>
      </c>
      <c r="G184" t="s">
        <v>2040</v>
      </c>
      <c r="H184" t="s">
        <v>2045</v>
      </c>
      <c r="I184" t="s">
        <v>2046</v>
      </c>
      <c r="K184" t="s">
        <v>795</v>
      </c>
      <c r="L184">
        <v>2</v>
      </c>
    </row>
    <row r="185" spans="1:12" x14ac:dyDescent="0.25">
      <c r="A185" t="s">
        <v>4546</v>
      </c>
      <c r="B185" t="s">
        <v>2038</v>
      </c>
      <c r="C185">
        <v>10804</v>
      </c>
      <c r="D185" t="s">
        <v>1977</v>
      </c>
      <c r="E185">
        <v>4</v>
      </c>
      <c r="F185" t="s">
        <v>2039</v>
      </c>
      <c r="G185" t="s">
        <v>2040</v>
      </c>
      <c r="H185" t="s">
        <v>2047</v>
      </c>
      <c r="I185" t="s">
        <v>2048</v>
      </c>
      <c r="K185" t="s">
        <v>795</v>
      </c>
      <c r="L185">
        <v>2</v>
      </c>
    </row>
    <row r="186" spans="1:12" x14ac:dyDescent="0.25">
      <c r="A186" t="s">
        <v>4547</v>
      </c>
      <c r="B186" t="s">
        <v>1622</v>
      </c>
      <c r="C186">
        <v>10814</v>
      </c>
      <c r="D186" t="s">
        <v>2049</v>
      </c>
      <c r="E186">
        <v>4.5</v>
      </c>
      <c r="F186" t="s">
        <v>1598</v>
      </c>
      <c r="G186" t="s">
        <v>1599</v>
      </c>
      <c r="H186" t="s">
        <v>1600</v>
      </c>
      <c r="I186" t="s">
        <v>1601</v>
      </c>
      <c r="K186" t="s">
        <v>795</v>
      </c>
      <c r="L186">
        <v>2</v>
      </c>
    </row>
    <row r="187" spans="1:12" x14ac:dyDescent="0.25">
      <c r="A187" t="s">
        <v>4547</v>
      </c>
      <c r="B187" t="s">
        <v>1622</v>
      </c>
      <c r="C187">
        <v>10814</v>
      </c>
      <c r="D187" t="s">
        <v>2049</v>
      </c>
      <c r="E187">
        <v>4.5</v>
      </c>
      <c r="F187" t="s">
        <v>1602</v>
      </c>
      <c r="G187" t="s">
        <v>1603</v>
      </c>
      <c r="H187" t="s">
        <v>1604</v>
      </c>
      <c r="I187" t="s">
        <v>1605</v>
      </c>
      <c r="K187" t="s">
        <v>795</v>
      </c>
      <c r="L187">
        <v>2</v>
      </c>
    </row>
    <row r="188" spans="1:12" x14ac:dyDescent="0.25">
      <c r="A188" t="s">
        <v>4547</v>
      </c>
      <c r="B188" t="s">
        <v>1622</v>
      </c>
      <c r="C188">
        <v>10814</v>
      </c>
      <c r="D188" t="s">
        <v>2049</v>
      </c>
      <c r="E188">
        <v>4.5</v>
      </c>
      <c r="F188" t="s">
        <v>1606</v>
      </c>
      <c r="G188" t="s">
        <v>1607</v>
      </c>
      <c r="H188" t="s">
        <v>1608</v>
      </c>
      <c r="I188" t="s">
        <v>1609</v>
      </c>
      <c r="K188" t="s">
        <v>795</v>
      </c>
      <c r="L188">
        <v>2</v>
      </c>
    </row>
    <row r="189" spans="1:12" x14ac:dyDescent="0.25">
      <c r="A189" t="s">
        <v>4547</v>
      </c>
      <c r="B189" t="s">
        <v>1622</v>
      </c>
      <c r="C189">
        <v>10814</v>
      </c>
      <c r="D189" t="s">
        <v>2049</v>
      </c>
      <c r="E189">
        <v>4.5</v>
      </c>
      <c r="F189" t="s">
        <v>1610</v>
      </c>
      <c r="G189" t="s">
        <v>1611</v>
      </c>
      <c r="H189" t="s">
        <v>1612</v>
      </c>
      <c r="I189" t="s">
        <v>1613</v>
      </c>
      <c r="K189" t="s">
        <v>795</v>
      </c>
      <c r="L189">
        <v>2</v>
      </c>
    </row>
    <row r="190" spans="1:12" x14ac:dyDescent="0.25">
      <c r="A190" t="s">
        <v>4547</v>
      </c>
      <c r="B190" t="s">
        <v>1622</v>
      </c>
      <c r="C190">
        <v>10814</v>
      </c>
      <c r="D190" t="s">
        <v>2049</v>
      </c>
      <c r="E190">
        <v>4.5</v>
      </c>
      <c r="F190" t="s">
        <v>1614</v>
      </c>
      <c r="G190" t="s">
        <v>1615</v>
      </c>
      <c r="H190" t="s">
        <v>1616</v>
      </c>
      <c r="I190" t="s">
        <v>1617</v>
      </c>
      <c r="K190" t="s">
        <v>795</v>
      </c>
      <c r="L190">
        <v>2</v>
      </c>
    </row>
    <row r="191" spans="1:12" x14ac:dyDescent="0.25">
      <c r="A191" t="s">
        <v>4547</v>
      </c>
      <c r="B191" t="s">
        <v>1622</v>
      </c>
      <c r="C191">
        <v>10814</v>
      </c>
      <c r="D191" t="s">
        <v>2049</v>
      </c>
      <c r="E191">
        <v>4.5</v>
      </c>
      <c r="F191" t="s">
        <v>1618</v>
      </c>
      <c r="G191" t="s">
        <v>1619</v>
      </c>
      <c r="H191" t="s">
        <v>1620</v>
      </c>
      <c r="I191" t="s">
        <v>1621</v>
      </c>
      <c r="K191" t="s">
        <v>795</v>
      </c>
      <c r="L191">
        <v>2</v>
      </c>
    </row>
    <row r="192" spans="1:12" x14ac:dyDescent="0.25">
      <c r="A192" t="s">
        <v>4547</v>
      </c>
      <c r="B192" t="s">
        <v>2050</v>
      </c>
      <c r="C192">
        <v>10814</v>
      </c>
      <c r="D192" t="s">
        <v>2051</v>
      </c>
      <c r="E192">
        <v>4.5</v>
      </c>
      <c r="F192" t="s">
        <v>1598</v>
      </c>
      <c r="G192" t="s">
        <v>1915</v>
      </c>
      <c r="H192" t="s">
        <v>2052</v>
      </c>
      <c r="I192" t="s">
        <v>2053</v>
      </c>
      <c r="K192" t="s">
        <v>795</v>
      </c>
      <c r="L192">
        <v>2</v>
      </c>
    </row>
    <row r="193" spans="1:12" x14ac:dyDescent="0.25">
      <c r="A193" t="s">
        <v>4547</v>
      </c>
      <c r="B193" t="s">
        <v>2050</v>
      </c>
      <c r="C193">
        <v>10814</v>
      </c>
      <c r="D193" t="s">
        <v>2051</v>
      </c>
      <c r="E193">
        <v>4.5</v>
      </c>
      <c r="F193" t="s">
        <v>1598</v>
      </c>
      <c r="G193" t="s">
        <v>2054</v>
      </c>
      <c r="H193" t="s">
        <v>2055</v>
      </c>
      <c r="I193" t="s">
        <v>2056</v>
      </c>
      <c r="K193" t="s">
        <v>795</v>
      </c>
      <c r="L193">
        <v>2</v>
      </c>
    </row>
    <row r="194" spans="1:12" x14ac:dyDescent="0.25">
      <c r="A194" t="s">
        <v>4547</v>
      </c>
      <c r="B194" t="s">
        <v>2050</v>
      </c>
      <c r="C194">
        <v>10814</v>
      </c>
      <c r="D194" t="s">
        <v>2051</v>
      </c>
      <c r="E194">
        <v>4.5</v>
      </c>
      <c r="F194" t="s">
        <v>1598</v>
      </c>
      <c r="G194" t="s">
        <v>2057</v>
      </c>
      <c r="H194" t="s">
        <v>2058</v>
      </c>
      <c r="I194" t="s">
        <v>2059</v>
      </c>
      <c r="K194" t="s">
        <v>795</v>
      </c>
      <c r="L194">
        <v>2</v>
      </c>
    </row>
    <row r="195" spans="1:12" x14ac:dyDescent="0.25">
      <c r="A195" t="s">
        <v>4547</v>
      </c>
      <c r="B195" t="s">
        <v>2060</v>
      </c>
      <c r="C195">
        <v>10814</v>
      </c>
      <c r="D195" t="s">
        <v>2051</v>
      </c>
      <c r="E195">
        <v>4.5</v>
      </c>
      <c r="F195" t="s">
        <v>1602</v>
      </c>
      <c r="G195" t="s">
        <v>1603</v>
      </c>
      <c r="H195" t="s">
        <v>2061</v>
      </c>
      <c r="I195" t="s">
        <v>2062</v>
      </c>
      <c r="K195" t="s">
        <v>795</v>
      </c>
      <c r="L195">
        <v>2</v>
      </c>
    </row>
    <row r="196" spans="1:12" x14ac:dyDescent="0.25">
      <c r="A196" t="s">
        <v>4547</v>
      </c>
      <c r="B196" t="s">
        <v>2060</v>
      </c>
      <c r="C196">
        <v>10814</v>
      </c>
      <c r="D196" t="s">
        <v>2051</v>
      </c>
      <c r="E196">
        <v>4.5</v>
      </c>
      <c r="F196" t="s">
        <v>1602</v>
      </c>
      <c r="G196" t="s">
        <v>2063</v>
      </c>
      <c r="H196" t="s">
        <v>2064</v>
      </c>
      <c r="I196" t="s">
        <v>2065</v>
      </c>
      <c r="K196" t="s">
        <v>795</v>
      </c>
      <c r="L196">
        <v>2</v>
      </c>
    </row>
    <row r="197" spans="1:12" x14ac:dyDescent="0.25">
      <c r="A197" t="s">
        <v>4547</v>
      </c>
      <c r="B197" t="s">
        <v>2060</v>
      </c>
      <c r="C197">
        <v>10814</v>
      </c>
      <c r="D197" t="s">
        <v>2051</v>
      </c>
      <c r="E197">
        <v>4.5</v>
      </c>
      <c r="F197" t="s">
        <v>1602</v>
      </c>
      <c r="G197" t="s">
        <v>2066</v>
      </c>
      <c r="H197" t="s">
        <v>2067</v>
      </c>
      <c r="I197" t="s">
        <v>2068</v>
      </c>
      <c r="K197" t="s">
        <v>795</v>
      </c>
      <c r="L197">
        <v>2</v>
      </c>
    </row>
    <row r="198" spans="1:12" x14ac:dyDescent="0.25">
      <c r="A198" t="s">
        <v>4547</v>
      </c>
      <c r="B198" t="s">
        <v>2069</v>
      </c>
      <c r="C198">
        <v>10814</v>
      </c>
      <c r="D198" t="s">
        <v>2051</v>
      </c>
      <c r="E198">
        <v>4.5</v>
      </c>
      <c r="F198" t="s">
        <v>1754</v>
      </c>
      <c r="G198" t="s">
        <v>1755</v>
      </c>
      <c r="H198" t="s">
        <v>2070</v>
      </c>
      <c r="I198" t="s">
        <v>2071</v>
      </c>
      <c r="K198" t="s">
        <v>795</v>
      </c>
      <c r="L198">
        <v>2</v>
      </c>
    </row>
    <row r="199" spans="1:12" x14ac:dyDescent="0.25">
      <c r="A199" t="s">
        <v>4547</v>
      </c>
      <c r="B199" t="s">
        <v>2069</v>
      </c>
      <c r="C199">
        <v>10814</v>
      </c>
      <c r="D199" t="s">
        <v>2051</v>
      </c>
      <c r="E199">
        <v>4.5</v>
      </c>
      <c r="F199" t="s">
        <v>1949</v>
      </c>
      <c r="G199" t="s">
        <v>1950</v>
      </c>
      <c r="H199" t="s">
        <v>2072</v>
      </c>
      <c r="I199" t="s">
        <v>2073</v>
      </c>
      <c r="K199" t="s">
        <v>795</v>
      </c>
      <c r="L199">
        <v>2</v>
      </c>
    </row>
    <row r="200" spans="1:12" x14ac:dyDescent="0.25">
      <c r="A200" t="s">
        <v>4547</v>
      </c>
      <c r="B200" t="s">
        <v>2069</v>
      </c>
      <c r="C200">
        <v>10814</v>
      </c>
      <c r="D200" t="s">
        <v>2051</v>
      </c>
      <c r="E200">
        <v>4.5</v>
      </c>
      <c r="F200" t="s">
        <v>1949</v>
      </c>
      <c r="G200" t="s">
        <v>1363</v>
      </c>
      <c r="H200" t="s">
        <v>2074</v>
      </c>
      <c r="I200" t="s">
        <v>2075</v>
      </c>
      <c r="K200" t="s">
        <v>795</v>
      </c>
      <c r="L200">
        <v>2</v>
      </c>
    </row>
    <row r="201" spans="1:12" x14ac:dyDescent="0.25">
      <c r="A201" t="s">
        <v>4547</v>
      </c>
      <c r="B201" t="s">
        <v>1933</v>
      </c>
      <c r="C201">
        <v>10814</v>
      </c>
      <c r="D201" t="s">
        <v>2051</v>
      </c>
      <c r="E201">
        <v>4.5</v>
      </c>
      <c r="F201" t="s">
        <v>1808</v>
      </c>
      <c r="G201" t="s">
        <v>1809</v>
      </c>
      <c r="H201" t="s">
        <v>2076</v>
      </c>
      <c r="I201" t="s">
        <v>2077</v>
      </c>
      <c r="K201" t="s">
        <v>795</v>
      </c>
      <c r="L201">
        <v>2</v>
      </c>
    </row>
    <row r="202" spans="1:12" x14ac:dyDescent="0.25">
      <c r="A202" t="s">
        <v>4547</v>
      </c>
      <c r="B202" t="s">
        <v>1933</v>
      </c>
      <c r="C202">
        <v>10814</v>
      </c>
      <c r="D202" t="s">
        <v>2051</v>
      </c>
      <c r="E202">
        <v>4.5</v>
      </c>
      <c r="F202" t="s">
        <v>1808</v>
      </c>
      <c r="G202" t="s">
        <v>2078</v>
      </c>
      <c r="H202" t="s">
        <v>2079</v>
      </c>
      <c r="I202" t="s">
        <v>2080</v>
      </c>
      <c r="K202" t="s">
        <v>795</v>
      </c>
      <c r="L202">
        <v>2</v>
      </c>
    </row>
    <row r="203" spans="1:12" x14ac:dyDescent="0.25">
      <c r="A203" t="s">
        <v>4547</v>
      </c>
      <c r="B203" t="s">
        <v>1933</v>
      </c>
      <c r="C203">
        <v>10814</v>
      </c>
      <c r="D203" t="s">
        <v>2051</v>
      </c>
      <c r="E203">
        <v>4.5</v>
      </c>
      <c r="F203" t="s">
        <v>1808</v>
      </c>
      <c r="G203" t="s">
        <v>2081</v>
      </c>
      <c r="H203" t="s">
        <v>2082</v>
      </c>
      <c r="I203" t="s">
        <v>1811</v>
      </c>
      <c r="K203" t="s">
        <v>795</v>
      </c>
      <c r="L203">
        <v>2</v>
      </c>
    </row>
    <row r="204" spans="1:12" x14ac:dyDescent="0.25">
      <c r="A204" t="s">
        <v>4547</v>
      </c>
      <c r="B204" t="s">
        <v>2083</v>
      </c>
      <c r="C204">
        <v>10814</v>
      </c>
      <c r="D204" t="s">
        <v>2051</v>
      </c>
      <c r="E204">
        <v>4.5</v>
      </c>
      <c r="F204" t="s">
        <v>1606</v>
      </c>
      <c r="G204" t="s">
        <v>1607</v>
      </c>
      <c r="H204" t="s">
        <v>2084</v>
      </c>
      <c r="I204" t="s">
        <v>2085</v>
      </c>
      <c r="K204" t="s">
        <v>795</v>
      </c>
      <c r="L204">
        <v>2</v>
      </c>
    </row>
    <row r="205" spans="1:12" x14ac:dyDescent="0.25">
      <c r="A205" t="s">
        <v>4547</v>
      </c>
      <c r="B205" t="s">
        <v>2083</v>
      </c>
      <c r="C205">
        <v>10814</v>
      </c>
      <c r="D205" t="s">
        <v>2051</v>
      </c>
      <c r="E205">
        <v>4.5</v>
      </c>
      <c r="F205" t="s">
        <v>1606</v>
      </c>
      <c r="G205" t="s">
        <v>1946</v>
      </c>
      <c r="H205" t="s">
        <v>2086</v>
      </c>
      <c r="I205" t="s">
        <v>2087</v>
      </c>
      <c r="K205" t="s">
        <v>795</v>
      </c>
      <c r="L205">
        <v>2</v>
      </c>
    </row>
    <row r="206" spans="1:12" x14ac:dyDescent="0.25">
      <c r="A206" t="s">
        <v>4547</v>
      </c>
      <c r="B206" t="s">
        <v>2083</v>
      </c>
      <c r="C206">
        <v>10814</v>
      </c>
      <c r="D206" t="s">
        <v>2051</v>
      </c>
      <c r="E206">
        <v>4.5</v>
      </c>
      <c r="F206" t="s">
        <v>1606</v>
      </c>
      <c r="G206" t="s">
        <v>1750</v>
      </c>
      <c r="H206" t="s">
        <v>2088</v>
      </c>
      <c r="I206" t="s">
        <v>2089</v>
      </c>
      <c r="K206" t="s">
        <v>795</v>
      </c>
      <c r="L206">
        <v>2</v>
      </c>
    </row>
    <row r="207" spans="1:12" x14ac:dyDescent="0.25">
      <c r="A207" t="s">
        <v>4547</v>
      </c>
      <c r="B207" t="s">
        <v>2090</v>
      </c>
      <c r="C207">
        <v>10814</v>
      </c>
      <c r="D207" t="s">
        <v>2051</v>
      </c>
      <c r="E207">
        <v>4.5</v>
      </c>
      <c r="F207" t="s">
        <v>1633</v>
      </c>
      <c r="G207" t="s">
        <v>1634</v>
      </c>
      <c r="H207" t="s">
        <v>2091</v>
      </c>
      <c r="I207" t="s">
        <v>2092</v>
      </c>
      <c r="K207" t="s">
        <v>795</v>
      </c>
      <c r="L207">
        <v>2</v>
      </c>
    </row>
    <row r="208" spans="1:12" x14ac:dyDescent="0.25">
      <c r="A208" t="s">
        <v>4547</v>
      </c>
      <c r="B208" t="s">
        <v>2090</v>
      </c>
      <c r="C208">
        <v>10814</v>
      </c>
      <c r="D208" t="s">
        <v>2051</v>
      </c>
      <c r="E208">
        <v>4.5</v>
      </c>
      <c r="F208" t="s">
        <v>1878</v>
      </c>
      <c r="G208" t="s">
        <v>1829</v>
      </c>
      <c r="H208" t="s">
        <v>2093</v>
      </c>
      <c r="I208" t="s">
        <v>2094</v>
      </c>
      <c r="K208" t="s">
        <v>795</v>
      </c>
      <c r="L208">
        <v>2</v>
      </c>
    </row>
    <row r="209" spans="1:12" x14ac:dyDescent="0.25">
      <c r="A209" t="s">
        <v>4547</v>
      </c>
      <c r="B209" t="s">
        <v>2090</v>
      </c>
      <c r="C209">
        <v>10814</v>
      </c>
      <c r="D209" t="s">
        <v>2051</v>
      </c>
      <c r="E209">
        <v>4.5</v>
      </c>
      <c r="F209" t="s">
        <v>1633</v>
      </c>
      <c r="G209" t="s">
        <v>1775</v>
      </c>
      <c r="H209" t="s">
        <v>2095</v>
      </c>
      <c r="I209" t="s">
        <v>2096</v>
      </c>
      <c r="K209" t="s">
        <v>795</v>
      </c>
      <c r="L209">
        <v>2</v>
      </c>
    </row>
    <row r="210" spans="1:12" x14ac:dyDescent="0.25">
      <c r="A210" t="s">
        <v>4547</v>
      </c>
      <c r="B210" t="s">
        <v>2097</v>
      </c>
      <c r="C210">
        <v>10814</v>
      </c>
      <c r="D210" t="s">
        <v>2051</v>
      </c>
      <c r="E210">
        <v>4.5</v>
      </c>
      <c r="F210" t="s">
        <v>1970</v>
      </c>
      <c r="G210" t="s">
        <v>1971</v>
      </c>
      <c r="H210" t="s">
        <v>2098</v>
      </c>
      <c r="I210" t="s">
        <v>2099</v>
      </c>
      <c r="K210" t="s">
        <v>795</v>
      </c>
      <c r="L210">
        <v>2</v>
      </c>
    </row>
    <row r="211" spans="1:12" x14ac:dyDescent="0.25">
      <c r="A211" t="s">
        <v>4547</v>
      </c>
      <c r="B211" t="s">
        <v>2097</v>
      </c>
      <c r="C211">
        <v>10814</v>
      </c>
      <c r="D211" t="s">
        <v>2051</v>
      </c>
      <c r="E211">
        <v>4.5</v>
      </c>
      <c r="F211" t="s">
        <v>1840</v>
      </c>
      <c r="G211" t="s">
        <v>1841</v>
      </c>
      <c r="H211" t="s">
        <v>2100</v>
      </c>
      <c r="I211" t="s">
        <v>1975</v>
      </c>
      <c r="K211" t="s">
        <v>795</v>
      </c>
      <c r="L211">
        <v>2</v>
      </c>
    </row>
    <row r="212" spans="1:12" x14ac:dyDescent="0.25">
      <c r="A212" t="s">
        <v>4548</v>
      </c>
      <c r="B212" t="s">
        <v>1622</v>
      </c>
      <c r="C212">
        <v>10805</v>
      </c>
      <c r="D212" t="s">
        <v>2101</v>
      </c>
      <c r="E212">
        <v>1</v>
      </c>
      <c r="F212" t="s">
        <v>1598</v>
      </c>
      <c r="G212" t="s">
        <v>1599</v>
      </c>
      <c r="H212" t="s">
        <v>1600</v>
      </c>
      <c r="I212" t="s">
        <v>1601</v>
      </c>
      <c r="K212" t="s">
        <v>795</v>
      </c>
      <c r="L212">
        <v>2</v>
      </c>
    </row>
    <row r="213" spans="1:12" x14ac:dyDescent="0.25">
      <c r="A213" t="s">
        <v>4548</v>
      </c>
      <c r="B213" t="s">
        <v>1622</v>
      </c>
      <c r="C213">
        <v>10805</v>
      </c>
      <c r="D213" t="s">
        <v>2101</v>
      </c>
      <c r="E213">
        <v>1</v>
      </c>
      <c r="F213" t="s">
        <v>1602</v>
      </c>
      <c r="G213" t="s">
        <v>1603</v>
      </c>
      <c r="H213" t="s">
        <v>1604</v>
      </c>
      <c r="I213" t="s">
        <v>1605</v>
      </c>
      <c r="K213" t="s">
        <v>795</v>
      </c>
      <c r="L213">
        <v>2</v>
      </c>
    </row>
    <row r="214" spans="1:12" x14ac:dyDescent="0.25">
      <c r="A214" t="s">
        <v>4548</v>
      </c>
      <c r="B214" t="s">
        <v>1622</v>
      </c>
      <c r="C214">
        <v>10805</v>
      </c>
      <c r="D214" t="s">
        <v>2101</v>
      </c>
      <c r="E214">
        <v>1</v>
      </c>
      <c r="F214" t="s">
        <v>1606</v>
      </c>
      <c r="G214" t="s">
        <v>1607</v>
      </c>
      <c r="H214" t="s">
        <v>1608</v>
      </c>
      <c r="I214" t="s">
        <v>1609</v>
      </c>
      <c r="K214" t="s">
        <v>795</v>
      </c>
      <c r="L214">
        <v>2</v>
      </c>
    </row>
    <row r="215" spans="1:12" x14ac:dyDescent="0.25">
      <c r="A215" t="s">
        <v>4548</v>
      </c>
      <c r="B215" t="s">
        <v>1622</v>
      </c>
      <c r="C215">
        <v>10805</v>
      </c>
      <c r="D215" t="s">
        <v>2101</v>
      </c>
      <c r="E215">
        <v>1</v>
      </c>
      <c r="F215" t="s">
        <v>1610</v>
      </c>
      <c r="G215" t="s">
        <v>1611</v>
      </c>
      <c r="H215" t="s">
        <v>1612</v>
      </c>
      <c r="I215" t="s">
        <v>1613</v>
      </c>
      <c r="K215" t="s">
        <v>795</v>
      </c>
      <c r="L215">
        <v>2</v>
      </c>
    </row>
    <row r="216" spans="1:12" x14ac:dyDescent="0.25">
      <c r="A216" t="s">
        <v>4548</v>
      </c>
      <c r="B216" t="s">
        <v>1622</v>
      </c>
      <c r="C216">
        <v>10805</v>
      </c>
      <c r="D216" t="s">
        <v>2101</v>
      </c>
      <c r="E216">
        <v>1</v>
      </c>
      <c r="F216" t="s">
        <v>1614</v>
      </c>
      <c r="G216" t="s">
        <v>1615</v>
      </c>
      <c r="H216" t="s">
        <v>1616</v>
      </c>
      <c r="I216" t="s">
        <v>1617</v>
      </c>
      <c r="K216" t="s">
        <v>795</v>
      </c>
      <c r="L216">
        <v>2</v>
      </c>
    </row>
    <row r="217" spans="1:12" x14ac:dyDescent="0.25">
      <c r="A217" t="s">
        <v>4548</v>
      </c>
      <c r="B217" t="s">
        <v>1622</v>
      </c>
      <c r="C217">
        <v>10805</v>
      </c>
      <c r="D217" t="s">
        <v>2101</v>
      </c>
      <c r="E217">
        <v>1</v>
      </c>
      <c r="F217" t="s">
        <v>1618</v>
      </c>
      <c r="G217" t="s">
        <v>1619</v>
      </c>
      <c r="H217" t="s">
        <v>1620</v>
      </c>
      <c r="I217" t="s">
        <v>1621</v>
      </c>
      <c r="K217" t="s">
        <v>795</v>
      </c>
      <c r="L217">
        <v>2</v>
      </c>
    </row>
    <row r="218" spans="1:12" x14ac:dyDescent="0.25">
      <c r="A218" t="s">
        <v>4548</v>
      </c>
      <c r="B218" t="s">
        <v>2102</v>
      </c>
      <c r="C218">
        <v>10805</v>
      </c>
      <c r="D218" t="s">
        <v>2103</v>
      </c>
      <c r="E218">
        <v>5</v>
      </c>
      <c r="F218" t="s">
        <v>2104</v>
      </c>
      <c r="G218" t="s">
        <v>2105</v>
      </c>
      <c r="H218" t="s">
        <v>2106</v>
      </c>
      <c r="I218" t="s">
        <v>2107</v>
      </c>
      <c r="K218" t="s">
        <v>795</v>
      </c>
      <c r="L218">
        <v>2</v>
      </c>
    </row>
    <row r="219" spans="1:12" x14ac:dyDescent="0.25">
      <c r="A219" t="s">
        <v>4548</v>
      </c>
      <c r="B219" t="s">
        <v>2102</v>
      </c>
      <c r="C219">
        <v>10805</v>
      </c>
      <c r="D219" t="s">
        <v>2103</v>
      </c>
      <c r="E219">
        <v>5</v>
      </c>
      <c r="F219" t="s">
        <v>2104</v>
      </c>
      <c r="G219" t="s">
        <v>2105</v>
      </c>
      <c r="H219" t="s">
        <v>2108</v>
      </c>
      <c r="I219" t="s">
        <v>2109</v>
      </c>
      <c r="K219" t="s">
        <v>795</v>
      </c>
      <c r="L219">
        <v>2</v>
      </c>
    </row>
    <row r="220" spans="1:12" x14ac:dyDescent="0.25">
      <c r="A220" t="s">
        <v>4548</v>
      </c>
      <c r="B220" t="s">
        <v>2110</v>
      </c>
      <c r="C220">
        <v>10805</v>
      </c>
      <c r="D220" t="s">
        <v>2103</v>
      </c>
      <c r="E220">
        <v>5</v>
      </c>
      <c r="F220" t="s">
        <v>2111</v>
      </c>
      <c r="G220" t="s">
        <v>1957</v>
      </c>
      <c r="H220" t="s">
        <v>2112</v>
      </c>
      <c r="I220" t="s">
        <v>2113</v>
      </c>
      <c r="K220" t="s">
        <v>795</v>
      </c>
      <c r="L220">
        <v>2</v>
      </c>
    </row>
    <row r="221" spans="1:12" x14ac:dyDescent="0.25">
      <c r="A221" t="s">
        <v>4548</v>
      </c>
      <c r="B221" t="s">
        <v>2110</v>
      </c>
      <c r="C221">
        <v>10805</v>
      </c>
      <c r="D221" t="s">
        <v>2103</v>
      </c>
      <c r="E221">
        <v>5</v>
      </c>
      <c r="F221" t="s">
        <v>2111</v>
      </c>
      <c r="G221" t="s">
        <v>1957</v>
      </c>
      <c r="H221" t="s">
        <v>2114</v>
      </c>
      <c r="I221" t="s">
        <v>2115</v>
      </c>
      <c r="K221" t="s">
        <v>795</v>
      </c>
      <c r="L221">
        <v>2</v>
      </c>
    </row>
    <row r="222" spans="1:12" x14ac:dyDescent="0.25">
      <c r="A222" t="s">
        <v>4548</v>
      </c>
      <c r="B222" t="s">
        <v>2110</v>
      </c>
      <c r="C222">
        <v>10805</v>
      </c>
      <c r="D222" t="s">
        <v>2103</v>
      </c>
      <c r="E222">
        <v>5</v>
      </c>
      <c r="F222" t="s">
        <v>2111</v>
      </c>
      <c r="G222" t="s">
        <v>1957</v>
      </c>
      <c r="H222" t="s">
        <v>2116</v>
      </c>
      <c r="I222" t="s">
        <v>2117</v>
      </c>
      <c r="K222" t="s">
        <v>795</v>
      </c>
      <c r="L222">
        <v>2</v>
      </c>
    </row>
    <row r="223" spans="1:12" x14ac:dyDescent="0.25">
      <c r="A223" t="s">
        <v>4548</v>
      </c>
      <c r="B223" t="s">
        <v>2118</v>
      </c>
      <c r="C223">
        <v>10805</v>
      </c>
      <c r="D223" t="s">
        <v>2103</v>
      </c>
      <c r="E223">
        <v>5</v>
      </c>
      <c r="F223" t="s">
        <v>1855</v>
      </c>
      <c r="G223" t="s">
        <v>1856</v>
      </c>
      <c r="H223" t="s">
        <v>2119</v>
      </c>
      <c r="I223" t="s">
        <v>2120</v>
      </c>
      <c r="K223" t="s">
        <v>795</v>
      </c>
      <c r="L223">
        <v>2</v>
      </c>
    </row>
    <row r="224" spans="1:12" x14ac:dyDescent="0.25">
      <c r="A224" t="s">
        <v>4548</v>
      </c>
      <c r="B224" t="s">
        <v>2118</v>
      </c>
      <c r="C224">
        <v>10805</v>
      </c>
      <c r="D224" t="s">
        <v>2103</v>
      </c>
      <c r="E224">
        <v>5</v>
      </c>
      <c r="F224" t="s">
        <v>1855</v>
      </c>
      <c r="G224" t="s">
        <v>1856</v>
      </c>
      <c r="H224" t="s">
        <v>2121</v>
      </c>
      <c r="I224" t="s">
        <v>2122</v>
      </c>
      <c r="K224" t="s">
        <v>795</v>
      </c>
      <c r="L224">
        <v>2</v>
      </c>
    </row>
    <row r="225" spans="1:12" x14ac:dyDescent="0.25">
      <c r="A225" t="s">
        <v>4548</v>
      </c>
      <c r="B225" t="s">
        <v>2118</v>
      </c>
      <c r="C225">
        <v>10805</v>
      </c>
      <c r="D225" t="s">
        <v>2103</v>
      </c>
      <c r="E225">
        <v>5</v>
      </c>
      <c r="F225" t="s">
        <v>1855</v>
      </c>
      <c r="G225" t="s">
        <v>1856</v>
      </c>
      <c r="H225" t="s">
        <v>2123</v>
      </c>
      <c r="I225" t="s">
        <v>2124</v>
      </c>
      <c r="K225" t="s">
        <v>795</v>
      </c>
      <c r="L225">
        <v>2</v>
      </c>
    </row>
    <row r="226" spans="1:12" x14ac:dyDescent="0.25">
      <c r="A226" t="s">
        <v>4548</v>
      </c>
      <c r="B226" t="s">
        <v>2125</v>
      </c>
      <c r="C226">
        <v>10805</v>
      </c>
      <c r="D226" t="s">
        <v>2103</v>
      </c>
      <c r="E226">
        <v>5</v>
      </c>
      <c r="F226" t="s">
        <v>1602</v>
      </c>
      <c r="G226" t="s">
        <v>1603</v>
      </c>
      <c r="H226" t="s">
        <v>2126</v>
      </c>
      <c r="I226" t="s">
        <v>2127</v>
      </c>
      <c r="K226" t="s">
        <v>795</v>
      </c>
      <c r="L226">
        <v>2</v>
      </c>
    </row>
    <row r="227" spans="1:12" x14ac:dyDescent="0.25">
      <c r="A227" t="s">
        <v>4548</v>
      </c>
      <c r="B227" t="s">
        <v>2125</v>
      </c>
      <c r="C227">
        <v>10805</v>
      </c>
      <c r="D227" t="s">
        <v>2103</v>
      </c>
      <c r="E227">
        <v>5</v>
      </c>
      <c r="F227" t="s">
        <v>1606</v>
      </c>
      <c r="G227" t="s">
        <v>1607</v>
      </c>
      <c r="H227" t="s">
        <v>2128</v>
      </c>
      <c r="I227" t="s">
        <v>2129</v>
      </c>
      <c r="K227" t="s">
        <v>795</v>
      </c>
      <c r="L227">
        <v>2</v>
      </c>
    </row>
    <row r="228" spans="1:12" x14ac:dyDescent="0.25">
      <c r="A228" t="s">
        <v>4548</v>
      </c>
      <c r="B228" t="s">
        <v>2125</v>
      </c>
      <c r="C228">
        <v>10805</v>
      </c>
      <c r="D228" t="s">
        <v>2103</v>
      </c>
      <c r="E228">
        <v>5</v>
      </c>
      <c r="F228" t="s">
        <v>1606</v>
      </c>
      <c r="G228" t="s">
        <v>1607</v>
      </c>
      <c r="H228" t="s">
        <v>2130</v>
      </c>
      <c r="I228" t="s">
        <v>2131</v>
      </c>
      <c r="K228" t="s">
        <v>795</v>
      </c>
      <c r="L228">
        <v>2</v>
      </c>
    </row>
    <row r="229" spans="1:12" x14ac:dyDescent="0.25">
      <c r="A229" t="s">
        <v>4548</v>
      </c>
      <c r="B229" t="s">
        <v>2132</v>
      </c>
      <c r="C229">
        <v>10805</v>
      </c>
      <c r="D229" t="s">
        <v>2103</v>
      </c>
      <c r="E229">
        <v>5</v>
      </c>
      <c r="F229" t="s">
        <v>2133</v>
      </c>
      <c r="G229" t="s">
        <v>2134</v>
      </c>
      <c r="H229" t="s">
        <v>2135</v>
      </c>
      <c r="I229" t="s">
        <v>2136</v>
      </c>
      <c r="K229" t="s">
        <v>795</v>
      </c>
      <c r="L229">
        <v>2</v>
      </c>
    </row>
    <row r="230" spans="1:12" x14ac:dyDescent="0.25">
      <c r="A230" t="s">
        <v>4548</v>
      </c>
      <c r="B230" t="s">
        <v>2132</v>
      </c>
      <c r="C230">
        <v>10805</v>
      </c>
      <c r="D230" t="s">
        <v>2103</v>
      </c>
      <c r="E230">
        <v>5</v>
      </c>
      <c r="F230" t="s">
        <v>1878</v>
      </c>
      <c r="G230" t="s">
        <v>1829</v>
      </c>
      <c r="H230" t="s">
        <v>2137</v>
      </c>
      <c r="I230" t="s">
        <v>2138</v>
      </c>
      <c r="K230" t="s">
        <v>795</v>
      </c>
      <c r="L230">
        <v>2</v>
      </c>
    </row>
    <row r="231" spans="1:12" x14ac:dyDescent="0.25">
      <c r="A231" t="s">
        <v>4548</v>
      </c>
      <c r="B231" t="s">
        <v>2132</v>
      </c>
      <c r="C231">
        <v>10805</v>
      </c>
      <c r="D231" t="s">
        <v>2103</v>
      </c>
      <c r="E231">
        <v>5</v>
      </c>
      <c r="F231" t="s">
        <v>1633</v>
      </c>
      <c r="G231" t="s">
        <v>1634</v>
      </c>
      <c r="H231" t="s">
        <v>2139</v>
      </c>
      <c r="I231" t="s">
        <v>2140</v>
      </c>
      <c r="K231" t="s">
        <v>795</v>
      </c>
      <c r="L231">
        <v>2</v>
      </c>
    </row>
    <row r="232" spans="1:12" x14ac:dyDescent="0.25">
      <c r="A232" t="s">
        <v>4548</v>
      </c>
      <c r="B232" t="s">
        <v>2141</v>
      </c>
      <c r="C232">
        <v>10805</v>
      </c>
      <c r="D232" t="s">
        <v>2103</v>
      </c>
      <c r="E232">
        <v>5</v>
      </c>
      <c r="F232" t="s">
        <v>2142</v>
      </c>
      <c r="G232" t="s">
        <v>2143</v>
      </c>
      <c r="H232" t="s">
        <v>2144</v>
      </c>
      <c r="I232" t="s">
        <v>2145</v>
      </c>
      <c r="K232" t="s">
        <v>795</v>
      </c>
      <c r="L232">
        <v>2</v>
      </c>
    </row>
    <row r="233" spans="1:12" x14ac:dyDescent="0.25">
      <c r="A233" t="s">
        <v>4548</v>
      </c>
      <c r="B233" t="s">
        <v>2141</v>
      </c>
      <c r="C233">
        <v>10805</v>
      </c>
      <c r="D233" t="s">
        <v>2103</v>
      </c>
      <c r="E233">
        <v>5</v>
      </c>
      <c r="F233" t="s">
        <v>2142</v>
      </c>
      <c r="G233" t="s">
        <v>2143</v>
      </c>
      <c r="H233" t="s">
        <v>2146</v>
      </c>
      <c r="I233" t="s">
        <v>2147</v>
      </c>
      <c r="K233" t="s">
        <v>795</v>
      </c>
      <c r="L233">
        <v>2</v>
      </c>
    </row>
    <row r="234" spans="1:12" x14ac:dyDescent="0.25">
      <c r="A234" t="s">
        <v>4548</v>
      </c>
      <c r="B234" t="s">
        <v>1969</v>
      </c>
      <c r="C234">
        <v>10805</v>
      </c>
      <c r="D234" t="s">
        <v>2103</v>
      </c>
      <c r="E234">
        <v>5</v>
      </c>
      <c r="F234" t="s">
        <v>1970</v>
      </c>
      <c r="G234" t="s">
        <v>1971</v>
      </c>
      <c r="H234" t="s">
        <v>2148</v>
      </c>
      <c r="I234" t="s">
        <v>2149</v>
      </c>
      <c r="K234" t="s">
        <v>795</v>
      </c>
      <c r="L234">
        <v>2</v>
      </c>
    </row>
    <row r="235" spans="1:12" x14ac:dyDescent="0.25">
      <c r="A235" t="s">
        <v>4548</v>
      </c>
      <c r="B235" t="s">
        <v>1969</v>
      </c>
      <c r="C235">
        <v>10805</v>
      </c>
      <c r="D235" t="s">
        <v>2103</v>
      </c>
      <c r="E235">
        <v>5</v>
      </c>
      <c r="F235" t="s">
        <v>1840</v>
      </c>
      <c r="G235" t="s">
        <v>1841</v>
      </c>
      <c r="H235" t="s">
        <v>2150</v>
      </c>
      <c r="I235" t="s">
        <v>2151</v>
      </c>
      <c r="K235" t="s">
        <v>795</v>
      </c>
      <c r="L235">
        <v>2</v>
      </c>
    </row>
    <row r="236" spans="1:12" x14ac:dyDescent="0.25">
      <c r="A236" t="s">
        <v>4549</v>
      </c>
      <c r="B236" t="s">
        <v>1622</v>
      </c>
      <c r="C236">
        <v>10815</v>
      </c>
      <c r="D236" t="s">
        <v>2152</v>
      </c>
      <c r="E236">
        <v>1</v>
      </c>
      <c r="F236" t="s">
        <v>1598</v>
      </c>
      <c r="G236" t="s">
        <v>1599</v>
      </c>
      <c r="H236" t="s">
        <v>1600</v>
      </c>
      <c r="I236" t="s">
        <v>1601</v>
      </c>
      <c r="K236" t="s">
        <v>795</v>
      </c>
      <c r="L236">
        <v>2</v>
      </c>
    </row>
    <row r="237" spans="1:12" x14ac:dyDescent="0.25">
      <c r="A237" t="s">
        <v>4549</v>
      </c>
      <c r="B237" t="s">
        <v>1622</v>
      </c>
      <c r="C237">
        <v>10815</v>
      </c>
      <c r="D237" t="s">
        <v>2152</v>
      </c>
      <c r="E237">
        <v>1</v>
      </c>
      <c r="F237" t="s">
        <v>1602</v>
      </c>
      <c r="G237" t="s">
        <v>1603</v>
      </c>
      <c r="H237" t="s">
        <v>1604</v>
      </c>
      <c r="I237" t="s">
        <v>1605</v>
      </c>
      <c r="K237" t="s">
        <v>795</v>
      </c>
      <c r="L237">
        <v>2</v>
      </c>
    </row>
    <row r="238" spans="1:12" x14ac:dyDescent="0.25">
      <c r="A238" t="s">
        <v>4549</v>
      </c>
      <c r="B238" t="s">
        <v>1622</v>
      </c>
      <c r="C238">
        <v>10815</v>
      </c>
      <c r="D238" t="s">
        <v>2152</v>
      </c>
      <c r="E238">
        <v>1</v>
      </c>
      <c r="F238" t="s">
        <v>1606</v>
      </c>
      <c r="G238" t="s">
        <v>1607</v>
      </c>
      <c r="H238" t="s">
        <v>1608</v>
      </c>
      <c r="I238" t="s">
        <v>1609</v>
      </c>
      <c r="K238" t="s">
        <v>795</v>
      </c>
      <c r="L238">
        <v>2</v>
      </c>
    </row>
    <row r="239" spans="1:12" x14ac:dyDescent="0.25">
      <c r="A239" t="s">
        <v>4549</v>
      </c>
      <c r="B239" t="s">
        <v>1622</v>
      </c>
      <c r="C239">
        <v>10815</v>
      </c>
      <c r="D239" t="s">
        <v>2152</v>
      </c>
      <c r="E239">
        <v>1</v>
      </c>
      <c r="F239" t="s">
        <v>1610</v>
      </c>
      <c r="G239" t="s">
        <v>1611</v>
      </c>
      <c r="H239" t="s">
        <v>1612</v>
      </c>
      <c r="I239" t="s">
        <v>1613</v>
      </c>
      <c r="K239" t="s">
        <v>795</v>
      </c>
      <c r="L239">
        <v>2</v>
      </c>
    </row>
    <row r="240" spans="1:12" x14ac:dyDescent="0.25">
      <c r="A240" t="s">
        <v>4549</v>
      </c>
      <c r="B240" t="s">
        <v>1622</v>
      </c>
      <c r="C240">
        <v>10815</v>
      </c>
      <c r="D240" t="s">
        <v>2152</v>
      </c>
      <c r="E240">
        <v>1</v>
      </c>
      <c r="F240" t="s">
        <v>1614</v>
      </c>
      <c r="G240" t="s">
        <v>1615</v>
      </c>
      <c r="H240" t="s">
        <v>1616</v>
      </c>
      <c r="I240" t="s">
        <v>1617</v>
      </c>
      <c r="K240" t="s">
        <v>795</v>
      </c>
      <c r="L240">
        <v>2</v>
      </c>
    </row>
    <row r="241" spans="1:12" x14ac:dyDescent="0.25">
      <c r="A241" t="s">
        <v>4549</v>
      </c>
      <c r="B241" t="s">
        <v>1622</v>
      </c>
      <c r="C241">
        <v>10815</v>
      </c>
      <c r="D241" t="s">
        <v>2152</v>
      </c>
      <c r="E241">
        <v>1</v>
      </c>
      <c r="F241" t="s">
        <v>1618</v>
      </c>
      <c r="G241" t="s">
        <v>1619</v>
      </c>
      <c r="H241" t="s">
        <v>1620</v>
      </c>
      <c r="I241" t="s">
        <v>1621</v>
      </c>
      <c r="K241" t="s">
        <v>795</v>
      </c>
      <c r="L241">
        <v>2</v>
      </c>
    </row>
    <row r="242" spans="1:12" x14ac:dyDescent="0.25">
      <c r="A242" t="s">
        <v>4549</v>
      </c>
      <c r="B242" t="s">
        <v>2153</v>
      </c>
      <c r="C242">
        <v>10815</v>
      </c>
      <c r="D242" t="s">
        <v>2154</v>
      </c>
      <c r="E242">
        <v>5.5</v>
      </c>
      <c r="F242" t="s">
        <v>1598</v>
      </c>
      <c r="G242" t="s">
        <v>2155</v>
      </c>
      <c r="H242" t="s">
        <v>2156</v>
      </c>
      <c r="I242" t="s">
        <v>2157</v>
      </c>
      <c r="K242" t="s">
        <v>795</v>
      </c>
      <c r="L242">
        <v>2</v>
      </c>
    </row>
    <row r="243" spans="1:12" x14ac:dyDescent="0.25">
      <c r="A243" t="s">
        <v>4549</v>
      </c>
      <c r="B243" t="s">
        <v>2153</v>
      </c>
      <c r="C243">
        <v>10815</v>
      </c>
      <c r="D243" t="s">
        <v>2154</v>
      </c>
      <c r="E243">
        <v>5.5</v>
      </c>
      <c r="F243" t="s">
        <v>1598</v>
      </c>
      <c r="G243" t="s">
        <v>1921</v>
      </c>
      <c r="H243" t="s">
        <v>2158</v>
      </c>
      <c r="I243" t="s">
        <v>2159</v>
      </c>
      <c r="K243" t="s">
        <v>795</v>
      </c>
      <c r="L243">
        <v>2</v>
      </c>
    </row>
    <row r="244" spans="1:12" x14ac:dyDescent="0.25">
      <c r="A244" t="s">
        <v>4549</v>
      </c>
      <c r="B244" t="s">
        <v>2153</v>
      </c>
      <c r="C244">
        <v>10815</v>
      </c>
      <c r="D244" t="s">
        <v>2154</v>
      </c>
      <c r="E244">
        <v>5.5</v>
      </c>
      <c r="F244" t="s">
        <v>1598</v>
      </c>
      <c r="G244" t="s">
        <v>2057</v>
      </c>
      <c r="H244" t="s">
        <v>2058</v>
      </c>
      <c r="I244" t="s">
        <v>2160</v>
      </c>
      <c r="K244" t="s">
        <v>795</v>
      </c>
      <c r="L244">
        <v>2</v>
      </c>
    </row>
    <row r="245" spans="1:12" x14ac:dyDescent="0.25">
      <c r="A245" t="s">
        <v>4549</v>
      </c>
      <c r="B245" t="s">
        <v>2161</v>
      </c>
      <c r="C245">
        <v>10815</v>
      </c>
      <c r="D245" t="s">
        <v>2154</v>
      </c>
      <c r="E245">
        <v>5.5</v>
      </c>
      <c r="F245" t="s">
        <v>1855</v>
      </c>
      <c r="G245" t="s">
        <v>2162</v>
      </c>
      <c r="H245" t="s">
        <v>2163</v>
      </c>
      <c r="I245" t="s">
        <v>2164</v>
      </c>
      <c r="K245" t="s">
        <v>795</v>
      </c>
      <c r="L245">
        <v>2</v>
      </c>
    </row>
    <row r="246" spans="1:12" x14ac:dyDescent="0.25">
      <c r="A246" t="s">
        <v>4549</v>
      </c>
      <c r="B246" t="s">
        <v>2161</v>
      </c>
      <c r="C246">
        <v>10815</v>
      </c>
      <c r="D246" t="s">
        <v>2154</v>
      </c>
      <c r="E246">
        <v>5.5</v>
      </c>
      <c r="F246" t="s">
        <v>1602</v>
      </c>
      <c r="G246" t="s">
        <v>1927</v>
      </c>
      <c r="H246" t="s">
        <v>2165</v>
      </c>
      <c r="I246" t="s">
        <v>2166</v>
      </c>
      <c r="K246" t="s">
        <v>795</v>
      </c>
      <c r="L246">
        <v>2</v>
      </c>
    </row>
    <row r="247" spans="1:12" x14ac:dyDescent="0.25">
      <c r="A247" t="s">
        <v>4549</v>
      </c>
      <c r="B247" t="s">
        <v>2161</v>
      </c>
      <c r="C247">
        <v>10815</v>
      </c>
      <c r="D247" t="s">
        <v>2154</v>
      </c>
      <c r="E247">
        <v>5.5</v>
      </c>
      <c r="F247" t="s">
        <v>1602</v>
      </c>
      <c r="G247" t="s">
        <v>2167</v>
      </c>
      <c r="H247" t="s">
        <v>2168</v>
      </c>
      <c r="I247" t="s">
        <v>2169</v>
      </c>
      <c r="K247" t="s">
        <v>795</v>
      </c>
      <c r="L247">
        <v>2</v>
      </c>
    </row>
    <row r="248" spans="1:12" x14ac:dyDescent="0.25">
      <c r="A248" t="s">
        <v>4549</v>
      </c>
      <c r="B248" t="s">
        <v>2170</v>
      </c>
      <c r="C248">
        <v>10815</v>
      </c>
      <c r="D248" t="s">
        <v>2154</v>
      </c>
      <c r="E248">
        <v>5.5</v>
      </c>
      <c r="F248" t="s">
        <v>1754</v>
      </c>
      <c r="G248" t="s">
        <v>1755</v>
      </c>
      <c r="H248" t="s">
        <v>2171</v>
      </c>
      <c r="I248" t="s">
        <v>2172</v>
      </c>
      <c r="K248" t="s">
        <v>795</v>
      </c>
      <c r="L248">
        <v>2</v>
      </c>
    </row>
    <row r="249" spans="1:12" x14ac:dyDescent="0.25">
      <c r="A249" t="s">
        <v>4549</v>
      </c>
      <c r="B249" t="s">
        <v>2170</v>
      </c>
      <c r="C249">
        <v>10815</v>
      </c>
      <c r="D249" t="s">
        <v>2154</v>
      </c>
      <c r="E249">
        <v>5.5</v>
      </c>
      <c r="F249" t="s">
        <v>1949</v>
      </c>
      <c r="G249" t="s">
        <v>1950</v>
      </c>
      <c r="H249" t="s">
        <v>2173</v>
      </c>
      <c r="I249" t="s">
        <v>2174</v>
      </c>
      <c r="K249" t="s">
        <v>795</v>
      </c>
      <c r="L249">
        <v>2</v>
      </c>
    </row>
    <row r="250" spans="1:12" x14ac:dyDescent="0.25">
      <c r="A250" t="s">
        <v>4549</v>
      </c>
      <c r="B250" t="s">
        <v>2170</v>
      </c>
      <c r="C250">
        <v>10815</v>
      </c>
      <c r="D250" t="s">
        <v>2154</v>
      </c>
      <c r="E250">
        <v>5.5</v>
      </c>
      <c r="F250" t="s">
        <v>2175</v>
      </c>
      <c r="G250" t="s">
        <v>1363</v>
      </c>
      <c r="H250" t="s">
        <v>2074</v>
      </c>
      <c r="I250" t="s">
        <v>2176</v>
      </c>
      <c r="K250" t="s">
        <v>795</v>
      </c>
      <c r="L250">
        <v>2</v>
      </c>
    </row>
    <row r="251" spans="1:12" x14ac:dyDescent="0.25">
      <c r="A251" t="s">
        <v>4549</v>
      </c>
      <c r="B251" t="s">
        <v>2177</v>
      </c>
      <c r="C251">
        <v>10815</v>
      </c>
      <c r="D251" t="s">
        <v>2154</v>
      </c>
      <c r="E251">
        <v>5.5</v>
      </c>
      <c r="F251" t="s">
        <v>1808</v>
      </c>
      <c r="G251" t="s">
        <v>2178</v>
      </c>
      <c r="H251" t="s">
        <v>2179</v>
      </c>
      <c r="I251" t="s">
        <v>2180</v>
      </c>
      <c r="K251" t="s">
        <v>795</v>
      </c>
      <c r="L251">
        <v>2</v>
      </c>
    </row>
    <row r="252" spans="1:12" x14ac:dyDescent="0.25">
      <c r="A252" t="s">
        <v>4549</v>
      </c>
      <c r="B252" t="s">
        <v>2177</v>
      </c>
      <c r="C252">
        <v>10815</v>
      </c>
      <c r="D252" t="s">
        <v>2154</v>
      </c>
      <c r="E252">
        <v>5.5</v>
      </c>
      <c r="F252" t="s">
        <v>1808</v>
      </c>
      <c r="G252" t="s">
        <v>2078</v>
      </c>
      <c r="H252" t="s">
        <v>2181</v>
      </c>
      <c r="I252" t="s">
        <v>2182</v>
      </c>
      <c r="K252" t="s">
        <v>795</v>
      </c>
      <c r="L252">
        <v>2</v>
      </c>
    </row>
    <row r="253" spans="1:12" x14ac:dyDescent="0.25">
      <c r="A253" t="s">
        <v>4549</v>
      </c>
      <c r="B253" t="s">
        <v>2177</v>
      </c>
      <c r="C253">
        <v>10815</v>
      </c>
      <c r="D253" t="s">
        <v>2154</v>
      </c>
      <c r="E253">
        <v>5.5</v>
      </c>
      <c r="F253" t="s">
        <v>1808</v>
      </c>
      <c r="G253" t="s">
        <v>2183</v>
      </c>
      <c r="H253" t="s">
        <v>2184</v>
      </c>
      <c r="I253" t="s">
        <v>2185</v>
      </c>
      <c r="K253" t="s">
        <v>795</v>
      </c>
      <c r="L253">
        <v>2</v>
      </c>
    </row>
    <row r="254" spans="1:12" x14ac:dyDescent="0.25">
      <c r="A254" t="s">
        <v>4549</v>
      </c>
      <c r="B254" t="s">
        <v>2083</v>
      </c>
      <c r="C254">
        <v>10815</v>
      </c>
      <c r="D254" t="s">
        <v>2154</v>
      </c>
      <c r="E254">
        <v>5.5</v>
      </c>
      <c r="F254" t="s">
        <v>1606</v>
      </c>
      <c r="G254" t="s">
        <v>1607</v>
      </c>
      <c r="H254" t="s">
        <v>2186</v>
      </c>
      <c r="I254" t="s">
        <v>2187</v>
      </c>
      <c r="K254" t="s">
        <v>795</v>
      </c>
      <c r="L254">
        <v>2</v>
      </c>
    </row>
    <row r="255" spans="1:12" x14ac:dyDescent="0.25">
      <c r="A255" t="s">
        <v>4549</v>
      </c>
      <c r="B255" t="s">
        <v>2083</v>
      </c>
      <c r="C255">
        <v>10815</v>
      </c>
      <c r="D255" t="s">
        <v>2154</v>
      </c>
      <c r="E255">
        <v>5.5</v>
      </c>
      <c r="F255" t="s">
        <v>1945</v>
      </c>
      <c r="G255" t="s">
        <v>1946</v>
      </c>
      <c r="H255" t="s">
        <v>2086</v>
      </c>
      <c r="I255" t="s">
        <v>2188</v>
      </c>
      <c r="K255" t="s">
        <v>795</v>
      </c>
      <c r="L255">
        <v>2</v>
      </c>
    </row>
    <row r="256" spans="1:12" x14ac:dyDescent="0.25">
      <c r="A256" t="s">
        <v>4549</v>
      </c>
      <c r="B256" t="s">
        <v>2083</v>
      </c>
      <c r="C256">
        <v>10815</v>
      </c>
      <c r="D256" t="s">
        <v>2154</v>
      </c>
      <c r="E256">
        <v>5.5</v>
      </c>
      <c r="F256" t="s">
        <v>2189</v>
      </c>
      <c r="G256" t="s">
        <v>1750</v>
      </c>
      <c r="H256" t="s">
        <v>2190</v>
      </c>
      <c r="I256" t="s">
        <v>2191</v>
      </c>
      <c r="K256" t="s">
        <v>795</v>
      </c>
      <c r="L256">
        <v>2</v>
      </c>
    </row>
    <row r="257" spans="1:12" x14ac:dyDescent="0.25">
      <c r="A257" t="s">
        <v>4549</v>
      </c>
      <c r="B257" t="s">
        <v>2192</v>
      </c>
      <c r="C257">
        <v>10815</v>
      </c>
      <c r="D257" t="s">
        <v>2154</v>
      </c>
      <c r="E257">
        <v>5.5</v>
      </c>
      <c r="F257" t="s">
        <v>1633</v>
      </c>
      <c r="G257" t="s">
        <v>1634</v>
      </c>
      <c r="H257" t="s">
        <v>2193</v>
      </c>
      <c r="I257" t="s">
        <v>2194</v>
      </c>
      <c r="K257" t="s">
        <v>795</v>
      </c>
      <c r="L257">
        <v>2</v>
      </c>
    </row>
    <row r="258" spans="1:12" x14ac:dyDescent="0.25">
      <c r="A258" t="s">
        <v>4549</v>
      </c>
      <c r="B258" t="s">
        <v>2192</v>
      </c>
      <c r="C258">
        <v>10815</v>
      </c>
      <c r="D258" t="s">
        <v>2154</v>
      </c>
      <c r="E258">
        <v>5.5</v>
      </c>
      <c r="F258" t="s">
        <v>1878</v>
      </c>
      <c r="G258" t="s">
        <v>1829</v>
      </c>
      <c r="H258" t="s">
        <v>2195</v>
      </c>
      <c r="I258" t="s">
        <v>2196</v>
      </c>
      <c r="K258" t="s">
        <v>795</v>
      </c>
      <c r="L258">
        <v>2</v>
      </c>
    </row>
    <row r="259" spans="1:12" x14ac:dyDescent="0.25">
      <c r="A259" t="s">
        <v>4549</v>
      </c>
      <c r="B259" t="s">
        <v>2192</v>
      </c>
      <c r="C259">
        <v>10815</v>
      </c>
      <c r="D259" t="s">
        <v>2154</v>
      </c>
      <c r="E259">
        <v>5.5</v>
      </c>
      <c r="F259" t="s">
        <v>1633</v>
      </c>
      <c r="G259" t="s">
        <v>1775</v>
      </c>
      <c r="H259" t="s">
        <v>2197</v>
      </c>
      <c r="I259" t="s">
        <v>2096</v>
      </c>
      <c r="K259" t="s">
        <v>795</v>
      </c>
      <c r="L259">
        <v>2</v>
      </c>
    </row>
    <row r="260" spans="1:12" x14ac:dyDescent="0.25">
      <c r="A260" t="s">
        <v>4549</v>
      </c>
      <c r="B260" t="s">
        <v>2198</v>
      </c>
      <c r="C260">
        <v>10815</v>
      </c>
      <c r="D260" t="s">
        <v>2154</v>
      </c>
      <c r="E260">
        <v>5.5</v>
      </c>
      <c r="F260" t="s">
        <v>1970</v>
      </c>
      <c r="G260" t="s">
        <v>1971</v>
      </c>
      <c r="H260" t="s">
        <v>2148</v>
      </c>
      <c r="I260" t="s">
        <v>2099</v>
      </c>
      <c r="K260" t="s">
        <v>795</v>
      </c>
      <c r="L260">
        <v>2</v>
      </c>
    </row>
    <row r="261" spans="1:12" x14ac:dyDescent="0.25">
      <c r="A261" t="s">
        <v>4549</v>
      </c>
      <c r="B261" t="s">
        <v>2198</v>
      </c>
      <c r="C261">
        <v>10815</v>
      </c>
      <c r="D261" t="s">
        <v>2154</v>
      </c>
      <c r="E261">
        <v>5.5</v>
      </c>
      <c r="F261" t="s">
        <v>1840</v>
      </c>
      <c r="G261" t="s">
        <v>2199</v>
      </c>
      <c r="H261" t="s">
        <v>2200</v>
      </c>
      <c r="I261" t="s">
        <v>2201</v>
      </c>
      <c r="K261" t="s">
        <v>795</v>
      </c>
      <c r="L261">
        <v>2</v>
      </c>
    </row>
    <row r="262" spans="1:12" x14ac:dyDescent="0.25">
      <c r="A262" t="s">
        <v>4550</v>
      </c>
      <c r="B262" t="s">
        <v>1622</v>
      </c>
      <c r="C262">
        <v>10601</v>
      </c>
      <c r="D262" t="s">
        <v>219</v>
      </c>
      <c r="E262">
        <v>2</v>
      </c>
      <c r="F262" t="s">
        <v>1448</v>
      </c>
      <c r="G262" t="s">
        <v>1724</v>
      </c>
      <c r="H262" t="s">
        <v>1540</v>
      </c>
      <c r="I262" t="s">
        <v>2209</v>
      </c>
      <c r="K262" t="s">
        <v>792</v>
      </c>
      <c r="L262">
        <v>2</v>
      </c>
    </row>
    <row r="263" spans="1:12" x14ac:dyDescent="0.25">
      <c r="A263" t="s">
        <v>4550</v>
      </c>
      <c r="B263" t="s">
        <v>1622</v>
      </c>
      <c r="C263">
        <v>10601</v>
      </c>
      <c r="D263" t="s">
        <v>219</v>
      </c>
      <c r="E263">
        <v>2</v>
      </c>
      <c r="F263" t="s">
        <v>2207</v>
      </c>
      <c r="G263" t="s">
        <v>2210</v>
      </c>
      <c r="H263" t="s">
        <v>1541</v>
      </c>
      <c r="I263" t="s">
        <v>2211</v>
      </c>
      <c r="K263" t="s">
        <v>792</v>
      </c>
      <c r="L263">
        <v>2</v>
      </c>
    </row>
    <row r="264" spans="1:12" x14ac:dyDescent="0.25">
      <c r="A264" t="s">
        <v>4550</v>
      </c>
      <c r="B264" t="s">
        <v>1622</v>
      </c>
      <c r="C264">
        <v>10601</v>
      </c>
      <c r="D264" t="s">
        <v>219</v>
      </c>
      <c r="E264">
        <v>2</v>
      </c>
      <c r="F264" t="s">
        <v>871</v>
      </c>
      <c r="G264" t="s">
        <v>1266</v>
      </c>
      <c r="H264" t="s">
        <v>1267</v>
      </c>
      <c r="I264" t="s">
        <v>2212</v>
      </c>
      <c r="K264" t="s">
        <v>792</v>
      </c>
      <c r="L264">
        <v>2</v>
      </c>
    </row>
    <row r="265" spans="1:12" x14ac:dyDescent="0.25">
      <c r="A265" t="s">
        <v>4550</v>
      </c>
      <c r="B265" t="s">
        <v>1622</v>
      </c>
      <c r="C265">
        <v>10601</v>
      </c>
      <c r="D265" t="s">
        <v>219</v>
      </c>
      <c r="E265">
        <v>2</v>
      </c>
      <c r="F265" t="s">
        <v>2208</v>
      </c>
      <c r="G265" t="s">
        <v>2213</v>
      </c>
      <c r="H265" t="s">
        <v>1543</v>
      </c>
      <c r="I265" t="s">
        <v>2214</v>
      </c>
      <c r="K265" t="s">
        <v>792</v>
      </c>
      <c r="L265">
        <v>2</v>
      </c>
    </row>
    <row r="266" spans="1:12" x14ac:dyDescent="0.25">
      <c r="A266" t="s">
        <v>4550</v>
      </c>
      <c r="B266" t="s">
        <v>1622</v>
      </c>
      <c r="C266">
        <v>10601</v>
      </c>
      <c r="D266" t="s">
        <v>219</v>
      </c>
      <c r="E266">
        <v>2</v>
      </c>
      <c r="F266" t="s">
        <v>2215</v>
      </c>
      <c r="G266" t="s">
        <v>2216</v>
      </c>
      <c r="H266" t="s">
        <v>1544</v>
      </c>
      <c r="I266" t="s">
        <v>1413</v>
      </c>
      <c r="K266" t="s">
        <v>792</v>
      </c>
      <c r="L266">
        <v>2</v>
      </c>
    </row>
    <row r="267" spans="1:12" x14ac:dyDescent="0.25">
      <c r="A267" t="s">
        <v>4550</v>
      </c>
      <c r="B267" t="s">
        <v>1622</v>
      </c>
      <c r="C267">
        <v>10601</v>
      </c>
      <c r="D267" t="s">
        <v>219</v>
      </c>
      <c r="E267">
        <v>2</v>
      </c>
      <c r="F267" t="s">
        <v>874</v>
      </c>
      <c r="G267" t="s">
        <v>2217</v>
      </c>
      <c r="H267" t="s">
        <v>2218</v>
      </c>
      <c r="I267" t="s">
        <v>2219</v>
      </c>
      <c r="K267" t="s">
        <v>792</v>
      </c>
      <c r="L267">
        <v>2</v>
      </c>
    </row>
    <row r="268" spans="1:12" x14ac:dyDescent="0.25">
      <c r="A268" t="s">
        <v>4550</v>
      </c>
      <c r="B268" t="s">
        <v>2220</v>
      </c>
      <c r="C268">
        <v>10601</v>
      </c>
      <c r="D268" t="s">
        <v>219</v>
      </c>
      <c r="E268">
        <v>2</v>
      </c>
      <c r="F268" t="s">
        <v>1436</v>
      </c>
      <c r="G268" t="s">
        <v>2221</v>
      </c>
      <c r="H268" t="s">
        <v>2222</v>
      </c>
      <c r="I268" t="s">
        <v>2223</v>
      </c>
      <c r="K268" t="s">
        <v>792</v>
      </c>
      <c r="L268">
        <v>2</v>
      </c>
    </row>
    <row r="269" spans="1:12" x14ac:dyDescent="0.25">
      <c r="A269" t="s">
        <v>4550</v>
      </c>
      <c r="B269" t="s">
        <v>2220</v>
      </c>
      <c r="C269">
        <v>10601</v>
      </c>
      <c r="D269" t="s">
        <v>219</v>
      </c>
      <c r="E269">
        <v>2</v>
      </c>
      <c r="F269" t="s">
        <v>1436</v>
      </c>
      <c r="G269" t="s">
        <v>2221</v>
      </c>
      <c r="H269" t="s">
        <v>2224</v>
      </c>
      <c r="I269" t="s">
        <v>2225</v>
      </c>
      <c r="K269" t="s">
        <v>792</v>
      </c>
      <c r="L269">
        <v>2</v>
      </c>
    </row>
    <row r="270" spans="1:12" x14ac:dyDescent="0.25">
      <c r="A270" t="s">
        <v>4550</v>
      </c>
      <c r="B270" t="s">
        <v>2220</v>
      </c>
      <c r="C270">
        <v>10601</v>
      </c>
      <c r="D270" t="s">
        <v>219</v>
      </c>
      <c r="E270">
        <v>2</v>
      </c>
      <c r="F270" t="s">
        <v>873</v>
      </c>
      <c r="G270" t="s">
        <v>1340</v>
      </c>
      <c r="H270" t="s">
        <v>2226</v>
      </c>
      <c r="I270" t="s">
        <v>2227</v>
      </c>
      <c r="K270" t="s">
        <v>792</v>
      </c>
      <c r="L270">
        <v>2</v>
      </c>
    </row>
    <row r="271" spans="1:12" x14ac:dyDescent="0.25">
      <c r="A271" t="s">
        <v>4550</v>
      </c>
      <c r="B271" t="s">
        <v>2228</v>
      </c>
      <c r="C271">
        <v>10601</v>
      </c>
      <c r="D271" t="s">
        <v>219</v>
      </c>
      <c r="E271">
        <v>2</v>
      </c>
      <c r="F271" t="s">
        <v>2202</v>
      </c>
      <c r="G271" t="s">
        <v>2229</v>
      </c>
      <c r="H271" t="s">
        <v>2230</v>
      </c>
      <c r="I271" t="s">
        <v>2231</v>
      </c>
      <c r="K271" t="s">
        <v>792</v>
      </c>
      <c r="L271">
        <v>2</v>
      </c>
    </row>
    <row r="272" spans="1:12" x14ac:dyDescent="0.25">
      <c r="A272" t="s">
        <v>4550</v>
      </c>
      <c r="B272" t="s">
        <v>2228</v>
      </c>
      <c r="C272">
        <v>10601</v>
      </c>
      <c r="D272" t="s">
        <v>219</v>
      </c>
      <c r="E272">
        <v>2</v>
      </c>
      <c r="F272" t="s">
        <v>2202</v>
      </c>
      <c r="G272" t="s">
        <v>2229</v>
      </c>
      <c r="H272" t="s">
        <v>2232</v>
      </c>
      <c r="I272" t="s">
        <v>2233</v>
      </c>
      <c r="K272" t="s">
        <v>792</v>
      </c>
      <c r="L272">
        <v>2</v>
      </c>
    </row>
    <row r="273" spans="1:12" x14ac:dyDescent="0.25">
      <c r="A273" t="s">
        <v>4550</v>
      </c>
      <c r="B273" t="s">
        <v>2228</v>
      </c>
      <c r="C273">
        <v>10601</v>
      </c>
      <c r="D273" t="s">
        <v>219</v>
      </c>
      <c r="E273">
        <v>2</v>
      </c>
      <c r="F273" t="s">
        <v>2202</v>
      </c>
      <c r="G273" t="s">
        <v>2229</v>
      </c>
      <c r="H273" t="s">
        <v>2234</v>
      </c>
      <c r="I273" t="s">
        <v>2235</v>
      </c>
      <c r="K273" t="s">
        <v>792</v>
      </c>
      <c r="L273">
        <v>2</v>
      </c>
    </row>
    <row r="274" spans="1:12" x14ac:dyDescent="0.25">
      <c r="A274" t="s">
        <v>4550</v>
      </c>
      <c r="B274" t="s">
        <v>2236</v>
      </c>
      <c r="C274">
        <v>10601</v>
      </c>
      <c r="D274" t="s">
        <v>219</v>
      </c>
      <c r="E274">
        <v>2</v>
      </c>
      <c r="F274" t="s">
        <v>2203</v>
      </c>
      <c r="G274" t="s">
        <v>2237</v>
      </c>
      <c r="H274" t="s">
        <v>2238</v>
      </c>
      <c r="I274" t="s">
        <v>2239</v>
      </c>
      <c r="K274" t="s">
        <v>792</v>
      </c>
      <c r="L274">
        <v>2</v>
      </c>
    </row>
    <row r="275" spans="1:12" x14ac:dyDescent="0.25">
      <c r="A275" t="s">
        <v>4550</v>
      </c>
      <c r="B275" t="s">
        <v>2236</v>
      </c>
      <c r="C275">
        <v>10601</v>
      </c>
      <c r="D275" t="s">
        <v>219</v>
      </c>
      <c r="E275">
        <v>2</v>
      </c>
      <c r="F275" t="s">
        <v>2204</v>
      </c>
      <c r="G275" t="s">
        <v>1262</v>
      </c>
      <c r="H275" t="s">
        <v>2205</v>
      </c>
      <c r="I275" t="s">
        <v>2240</v>
      </c>
      <c r="K275" t="s">
        <v>792</v>
      </c>
      <c r="L275">
        <v>2</v>
      </c>
    </row>
    <row r="276" spans="1:12" x14ac:dyDescent="0.25">
      <c r="A276" t="s">
        <v>4550</v>
      </c>
      <c r="B276" t="s">
        <v>2236</v>
      </c>
      <c r="C276">
        <v>10601</v>
      </c>
      <c r="D276" t="s">
        <v>219</v>
      </c>
      <c r="E276">
        <v>2</v>
      </c>
      <c r="F276" t="s">
        <v>2204</v>
      </c>
      <c r="G276" t="s">
        <v>1262</v>
      </c>
      <c r="H276" t="s">
        <v>2206</v>
      </c>
      <c r="I276" t="s">
        <v>2241</v>
      </c>
      <c r="K276" t="s">
        <v>792</v>
      </c>
      <c r="L276">
        <v>2</v>
      </c>
    </row>
    <row r="277" spans="1:12" x14ac:dyDescent="0.25">
      <c r="A277" t="s">
        <v>4550</v>
      </c>
      <c r="B277" t="s">
        <v>2236</v>
      </c>
      <c r="C277">
        <v>10601</v>
      </c>
      <c r="D277" t="s">
        <v>219</v>
      </c>
      <c r="E277">
        <v>2</v>
      </c>
      <c r="F277" t="s">
        <v>1441</v>
      </c>
      <c r="G277" t="s">
        <v>2242</v>
      </c>
      <c r="H277" t="s">
        <v>2243</v>
      </c>
      <c r="I277" t="s">
        <v>2244</v>
      </c>
      <c r="K277" t="s">
        <v>792</v>
      </c>
      <c r="L277">
        <v>2</v>
      </c>
    </row>
    <row r="278" spans="1:12" x14ac:dyDescent="0.25">
      <c r="A278" t="s">
        <v>4550</v>
      </c>
      <c r="B278" t="s">
        <v>2245</v>
      </c>
      <c r="C278">
        <v>10601</v>
      </c>
      <c r="D278" t="s">
        <v>219</v>
      </c>
      <c r="E278">
        <v>2</v>
      </c>
      <c r="F278" t="s">
        <v>816</v>
      </c>
      <c r="G278" t="s">
        <v>2246</v>
      </c>
      <c r="H278" t="s">
        <v>2247</v>
      </c>
      <c r="I278" t="s">
        <v>2248</v>
      </c>
      <c r="K278" t="s">
        <v>792</v>
      </c>
      <c r="L278">
        <v>2</v>
      </c>
    </row>
    <row r="279" spans="1:12" x14ac:dyDescent="0.25">
      <c r="A279" t="s">
        <v>4550</v>
      </c>
      <c r="B279" t="s">
        <v>2245</v>
      </c>
      <c r="C279">
        <v>10601</v>
      </c>
      <c r="D279" t="s">
        <v>219</v>
      </c>
      <c r="E279">
        <v>2</v>
      </c>
      <c r="F279" t="s">
        <v>816</v>
      </c>
      <c r="G279" t="s">
        <v>2246</v>
      </c>
      <c r="H279" t="s">
        <v>2249</v>
      </c>
      <c r="I279" t="s">
        <v>2250</v>
      </c>
      <c r="K279" t="s">
        <v>792</v>
      </c>
      <c r="L279">
        <v>2</v>
      </c>
    </row>
    <row r="280" spans="1:12" x14ac:dyDescent="0.25">
      <c r="A280" t="s">
        <v>4550</v>
      </c>
      <c r="B280" t="s">
        <v>2245</v>
      </c>
      <c r="C280">
        <v>10601</v>
      </c>
      <c r="D280" t="s">
        <v>219</v>
      </c>
      <c r="E280">
        <v>2</v>
      </c>
      <c r="F280" t="s">
        <v>816</v>
      </c>
      <c r="G280" t="s">
        <v>2246</v>
      </c>
      <c r="H280" t="s">
        <v>2251</v>
      </c>
      <c r="I280" t="s">
        <v>2252</v>
      </c>
      <c r="K280" t="s">
        <v>792</v>
      </c>
      <c r="L280">
        <v>2</v>
      </c>
    </row>
    <row r="281" spans="1:12" x14ac:dyDescent="0.25">
      <c r="A281" t="s">
        <v>4550</v>
      </c>
      <c r="B281" t="s">
        <v>2253</v>
      </c>
      <c r="C281">
        <v>10601</v>
      </c>
      <c r="D281" t="s">
        <v>219</v>
      </c>
      <c r="E281">
        <v>2</v>
      </c>
      <c r="F281" t="s">
        <v>871</v>
      </c>
      <c r="G281" t="s">
        <v>1334</v>
      </c>
      <c r="H281" t="s">
        <v>2254</v>
      </c>
      <c r="I281" t="s">
        <v>2255</v>
      </c>
      <c r="K281" t="s">
        <v>792</v>
      </c>
      <c r="L281">
        <v>2</v>
      </c>
    </row>
    <row r="282" spans="1:12" x14ac:dyDescent="0.25">
      <c r="A282" t="s">
        <v>4550</v>
      </c>
      <c r="B282" t="s">
        <v>2253</v>
      </c>
      <c r="C282">
        <v>10601</v>
      </c>
      <c r="D282" t="s">
        <v>219</v>
      </c>
      <c r="E282">
        <v>2</v>
      </c>
      <c r="F282" t="s">
        <v>1476</v>
      </c>
      <c r="G282" t="s">
        <v>2256</v>
      </c>
      <c r="H282" t="s">
        <v>2257</v>
      </c>
      <c r="I282" t="s">
        <v>2258</v>
      </c>
      <c r="K282" t="s">
        <v>792</v>
      </c>
      <c r="L282">
        <v>2</v>
      </c>
    </row>
    <row r="283" spans="1:12" x14ac:dyDescent="0.25">
      <c r="A283" t="s">
        <v>4550</v>
      </c>
      <c r="B283" t="s">
        <v>2253</v>
      </c>
      <c r="C283">
        <v>10601</v>
      </c>
      <c r="D283" t="s">
        <v>219</v>
      </c>
      <c r="E283">
        <v>2</v>
      </c>
      <c r="F283" t="s">
        <v>951</v>
      </c>
      <c r="G283" t="s">
        <v>2259</v>
      </c>
      <c r="H283" t="s">
        <v>2260</v>
      </c>
      <c r="I283" t="s">
        <v>2261</v>
      </c>
      <c r="K283" t="s">
        <v>1255</v>
      </c>
      <c r="L283">
        <v>1</v>
      </c>
    </row>
    <row r="284" spans="1:12" x14ac:dyDescent="0.25">
      <c r="A284" t="s">
        <v>4551</v>
      </c>
      <c r="B284" t="s">
        <v>1622</v>
      </c>
      <c r="C284">
        <v>10602</v>
      </c>
      <c r="D284" t="s">
        <v>297</v>
      </c>
      <c r="E284">
        <v>3</v>
      </c>
      <c r="F284" t="s">
        <v>1448</v>
      </c>
      <c r="G284" t="s">
        <v>1724</v>
      </c>
      <c r="H284" t="s">
        <v>1540</v>
      </c>
      <c r="I284" t="s">
        <v>2262</v>
      </c>
      <c r="K284" t="s">
        <v>792</v>
      </c>
      <c r="L284">
        <v>2</v>
      </c>
    </row>
    <row r="285" spans="1:12" x14ac:dyDescent="0.25">
      <c r="A285" t="s">
        <v>4551</v>
      </c>
      <c r="B285" t="s">
        <v>1622</v>
      </c>
      <c r="C285">
        <v>10602</v>
      </c>
      <c r="D285" t="s">
        <v>297</v>
      </c>
      <c r="E285">
        <v>3</v>
      </c>
      <c r="F285" t="s">
        <v>2207</v>
      </c>
      <c r="G285" t="s">
        <v>2210</v>
      </c>
      <c r="H285" t="s">
        <v>2263</v>
      </c>
      <c r="I285" t="s">
        <v>2264</v>
      </c>
      <c r="K285" t="s">
        <v>792</v>
      </c>
      <c r="L285">
        <v>2</v>
      </c>
    </row>
    <row r="286" spans="1:12" x14ac:dyDescent="0.25">
      <c r="A286" t="s">
        <v>4551</v>
      </c>
      <c r="B286" t="s">
        <v>1622</v>
      </c>
      <c r="C286">
        <v>10602</v>
      </c>
      <c r="D286" t="s">
        <v>297</v>
      </c>
      <c r="E286">
        <v>3</v>
      </c>
      <c r="F286" t="s">
        <v>871</v>
      </c>
      <c r="G286" t="s">
        <v>1266</v>
      </c>
      <c r="H286" t="s">
        <v>2265</v>
      </c>
      <c r="I286" t="s">
        <v>2266</v>
      </c>
      <c r="K286" t="s">
        <v>792</v>
      </c>
      <c r="L286">
        <v>2</v>
      </c>
    </row>
    <row r="287" spans="1:12" x14ac:dyDescent="0.25">
      <c r="A287" t="s">
        <v>4551</v>
      </c>
      <c r="B287" t="s">
        <v>1622</v>
      </c>
      <c r="C287">
        <v>10602</v>
      </c>
      <c r="D287" t="s">
        <v>297</v>
      </c>
      <c r="E287">
        <v>3</v>
      </c>
      <c r="F287" t="s">
        <v>2208</v>
      </c>
      <c r="G287" t="s">
        <v>2213</v>
      </c>
      <c r="H287" t="s">
        <v>2267</v>
      </c>
      <c r="I287" t="s">
        <v>2268</v>
      </c>
      <c r="K287" t="s">
        <v>792</v>
      </c>
      <c r="L287">
        <v>2</v>
      </c>
    </row>
    <row r="288" spans="1:12" x14ac:dyDescent="0.25">
      <c r="A288" t="s">
        <v>4551</v>
      </c>
      <c r="B288" t="s">
        <v>1622</v>
      </c>
      <c r="C288">
        <v>10602</v>
      </c>
      <c r="D288" t="s">
        <v>297</v>
      </c>
      <c r="E288">
        <v>3</v>
      </c>
      <c r="F288" t="s">
        <v>2215</v>
      </c>
      <c r="G288" t="s">
        <v>2216</v>
      </c>
      <c r="H288" t="s">
        <v>2269</v>
      </c>
      <c r="I288" t="s">
        <v>2270</v>
      </c>
      <c r="K288" t="s">
        <v>792</v>
      </c>
      <c r="L288">
        <v>2</v>
      </c>
    </row>
    <row r="289" spans="1:12" x14ac:dyDescent="0.25">
      <c r="A289" t="s">
        <v>4551</v>
      </c>
      <c r="B289" t="s">
        <v>1622</v>
      </c>
      <c r="C289">
        <v>10602</v>
      </c>
      <c r="D289" t="s">
        <v>297</v>
      </c>
      <c r="E289">
        <v>3</v>
      </c>
      <c r="F289" t="s">
        <v>874</v>
      </c>
      <c r="G289" t="s">
        <v>2217</v>
      </c>
      <c r="H289" t="s">
        <v>2271</v>
      </c>
      <c r="I289" t="s">
        <v>2272</v>
      </c>
      <c r="K289" t="s">
        <v>792</v>
      </c>
      <c r="L289">
        <v>2</v>
      </c>
    </row>
    <row r="290" spans="1:12" x14ac:dyDescent="0.25">
      <c r="A290" t="s">
        <v>4551</v>
      </c>
      <c r="B290" t="s">
        <v>2273</v>
      </c>
      <c r="C290">
        <v>10602</v>
      </c>
      <c r="D290" t="s">
        <v>297</v>
      </c>
      <c r="E290">
        <v>3</v>
      </c>
      <c r="F290" t="s">
        <v>2202</v>
      </c>
      <c r="G290" t="s">
        <v>2229</v>
      </c>
      <c r="H290" t="s">
        <v>2274</v>
      </c>
      <c r="I290" t="s">
        <v>2275</v>
      </c>
      <c r="K290" t="s">
        <v>792</v>
      </c>
      <c r="L290">
        <v>2</v>
      </c>
    </row>
    <row r="291" spans="1:12" x14ac:dyDescent="0.25">
      <c r="A291" t="s">
        <v>4551</v>
      </c>
      <c r="B291" t="s">
        <v>2273</v>
      </c>
      <c r="C291">
        <v>10602</v>
      </c>
      <c r="D291" t="s">
        <v>297</v>
      </c>
      <c r="E291">
        <v>3</v>
      </c>
      <c r="F291" t="s">
        <v>2202</v>
      </c>
      <c r="G291" t="s">
        <v>2229</v>
      </c>
      <c r="H291" t="s">
        <v>2276</v>
      </c>
      <c r="I291" t="s">
        <v>2277</v>
      </c>
      <c r="K291" t="s">
        <v>792</v>
      </c>
      <c r="L291">
        <v>2</v>
      </c>
    </row>
    <row r="292" spans="1:12" x14ac:dyDescent="0.25">
      <c r="A292" t="s">
        <v>4551</v>
      </c>
      <c r="B292" t="s">
        <v>2273</v>
      </c>
      <c r="C292">
        <v>10602</v>
      </c>
      <c r="D292" t="s">
        <v>297</v>
      </c>
      <c r="E292">
        <v>3</v>
      </c>
      <c r="F292" t="s">
        <v>2202</v>
      </c>
      <c r="G292" t="s">
        <v>2229</v>
      </c>
      <c r="H292" t="s">
        <v>2278</v>
      </c>
      <c r="I292" t="s">
        <v>2279</v>
      </c>
      <c r="K292" t="s">
        <v>792</v>
      </c>
      <c r="L292">
        <v>2</v>
      </c>
    </row>
    <row r="293" spans="1:12" x14ac:dyDescent="0.25">
      <c r="A293" t="s">
        <v>4551</v>
      </c>
      <c r="B293" t="s">
        <v>2280</v>
      </c>
      <c r="C293">
        <v>10602</v>
      </c>
      <c r="D293" t="s">
        <v>297</v>
      </c>
      <c r="E293">
        <v>3</v>
      </c>
      <c r="F293" t="s">
        <v>2281</v>
      </c>
      <c r="G293" t="s">
        <v>2282</v>
      </c>
      <c r="H293" t="s">
        <v>1274</v>
      </c>
      <c r="I293" t="s">
        <v>2283</v>
      </c>
      <c r="K293" t="s">
        <v>792</v>
      </c>
      <c r="L293">
        <v>2</v>
      </c>
    </row>
    <row r="294" spans="1:12" x14ac:dyDescent="0.25">
      <c r="A294" t="s">
        <v>4551</v>
      </c>
      <c r="B294" t="s">
        <v>2280</v>
      </c>
      <c r="C294">
        <v>10602</v>
      </c>
      <c r="D294" t="s">
        <v>297</v>
      </c>
      <c r="E294">
        <v>3</v>
      </c>
      <c r="F294" t="s">
        <v>2281</v>
      </c>
      <c r="G294" t="s">
        <v>2282</v>
      </c>
      <c r="H294" t="s">
        <v>2284</v>
      </c>
      <c r="I294" t="s">
        <v>2285</v>
      </c>
      <c r="K294" t="s">
        <v>792</v>
      </c>
      <c r="L294">
        <v>2</v>
      </c>
    </row>
    <row r="295" spans="1:12" x14ac:dyDescent="0.25">
      <c r="A295" t="s">
        <v>4551</v>
      </c>
      <c r="B295" t="s">
        <v>2280</v>
      </c>
      <c r="C295">
        <v>10602</v>
      </c>
      <c r="D295" t="s">
        <v>297</v>
      </c>
      <c r="E295">
        <v>3</v>
      </c>
      <c r="F295" t="s">
        <v>2281</v>
      </c>
      <c r="G295" t="s">
        <v>2282</v>
      </c>
      <c r="H295" t="s">
        <v>2286</v>
      </c>
      <c r="I295" t="s">
        <v>2287</v>
      </c>
      <c r="K295" t="s">
        <v>792</v>
      </c>
      <c r="L295">
        <v>2</v>
      </c>
    </row>
    <row r="296" spans="1:12" x14ac:dyDescent="0.25">
      <c r="A296" t="s">
        <v>4551</v>
      </c>
      <c r="B296" t="s">
        <v>2288</v>
      </c>
      <c r="C296">
        <v>10602</v>
      </c>
      <c r="D296" t="s">
        <v>297</v>
      </c>
      <c r="E296">
        <v>3</v>
      </c>
      <c r="F296" t="s">
        <v>1441</v>
      </c>
      <c r="G296" t="s">
        <v>2242</v>
      </c>
      <c r="H296" t="s">
        <v>2289</v>
      </c>
      <c r="I296" t="s">
        <v>2290</v>
      </c>
      <c r="K296" t="s">
        <v>792</v>
      </c>
      <c r="L296">
        <v>2</v>
      </c>
    </row>
    <row r="297" spans="1:12" x14ac:dyDescent="0.25">
      <c r="A297" t="s">
        <v>4551</v>
      </c>
      <c r="B297" t="s">
        <v>2288</v>
      </c>
      <c r="C297">
        <v>10602</v>
      </c>
      <c r="D297" t="s">
        <v>297</v>
      </c>
      <c r="E297">
        <v>3</v>
      </c>
      <c r="F297" t="s">
        <v>1441</v>
      </c>
      <c r="G297" t="s">
        <v>2242</v>
      </c>
      <c r="H297" t="s">
        <v>2291</v>
      </c>
      <c r="I297" t="s">
        <v>2292</v>
      </c>
      <c r="K297" t="s">
        <v>792</v>
      </c>
      <c r="L297">
        <v>2</v>
      </c>
    </row>
    <row r="298" spans="1:12" x14ac:dyDescent="0.25">
      <c r="A298" t="s">
        <v>4551</v>
      </c>
      <c r="B298" t="s">
        <v>2288</v>
      </c>
      <c r="C298">
        <v>10602</v>
      </c>
      <c r="D298" t="s">
        <v>297</v>
      </c>
      <c r="E298">
        <v>3</v>
      </c>
      <c r="F298" t="s">
        <v>2203</v>
      </c>
      <c r="G298" t="s">
        <v>1260</v>
      </c>
      <c r="H298" t="s">
        <v>2293</v>
      </c>
      <c r="I298" t="s">
        <v>2294</v>
      </c>
      <c r="K298" t="s">
        <v>792</v>
      </c>
      <c r="L298">
        <v>2</v>
      </c>
    </row>
    <row r="299" spans="1:12" x14ac:dyDescent="0.25">
      <c r="A299" t="s">
        <v>4551</v>
      </c>
      <c r="B299" t="s">
        <v>2295</v>
      </c>
      <c r="C299">
        <v>10602</v>
      </c>
      <c r="D299" t="s">
        <v>297</v>
      </c>
      <c r="E299">
        <v>3</v>
      </c>
      <c r="F299" t="s">
        <v>2296</v>
      </c>
      <c r="G299" t="s">
        <v>2297</v>
      </c>
      <c r="H299" t="s">
        <v>2298</v>
      </c>
      <c r="I299" t="s">
        <v>2299</v>
      </c>
      <c r="K299" t="s">
        <v>792</v>
      </c>
      <c r="L299">
        <v>2</v>
      </c>
    </row>
    <row r="300" spans="1:12" x14ac:dyDescent="0.25">
      <c r="A300" t="s">
        <v>4551</v>
      </c>
      <c r="B300" t="s">
        <v>2295</v>
      </c>
      <c r="C300">
        <v>10602</v>
      </c>
      <c r="D300" t="s">
        <v>297</v>
      </c>
      <c r="E300">
        <v>3</v>
      </c>
      <c r="F300" t="s">
        <v>2296</v>
      </c>
      <c r="G300" t="s">
        <v>2297</v>
      </c>
      <c r="H300" t="s">
        <v>2300</v>
      </c>
      <c r="I300" t="s">
        <v>2301</v>
      </c>
      <c r="K300" t="s">
        <v>792</v>
      </c>
      <c r="L300">
        <v>2</v>
      </c>
    </row>
    <row r="301" spans="1:12" x14ac:dyDescent="0.25">
      <c r="A301" t="s">
        <v>4551</v>
      </c>
      <c r="B301" t="s">
        <v>2295</v>
      </c>
      <c r="C301">
        <v>10602</v>
      </c>
      <c r="D301" t="s">
        <v>297</v>
      </c>
      <c r="E301">
        <v>3</v>
      </c>
      <c r="F301" t="s">
        <v>2204</v>
      </c>
      <c r="G301" t="s">
        <v>1262</v>
      </c>
      <c r="H301" t="s">
        <v>2302</v>
      </c>
      <c r="I301" t="s">
        <v>940</v>
      </c>
      <c r="K301" t="s">
        <v>792</v>
      </c>
      <c r="L301">
        <v>2</v>
      </c>
    </row>
    <row r="302" spans="1:12" x14ac:dyDescent="0.25">
      <c r="A302" t="s">
        <v>4551</v>
      </c>
      <c r="B302" t="s">
        <v>2303</v>
      </c>
      <c r="C302">
        <v>10602</v>
      </c>
      <c r="D302" t="s">
        <v>297</v>
      </c>
      <c r="E302">
        <v>3</v>
      </c>
      <c r="F302" t="s">
        <v>816</v>
      </c>
      <c r="G302" t="s">
        <v>2246</v>
      </c>
      <c r="H302" t="s">
        <v>2304</v>
      </c>
      <c r="I302" t="s">
        <v>2305</v>
      </c>
      <c r="K302" t="s">
        <v>792</v>
      </c>
      <c r="L302">
        <v>2</v>
      </c>
    </row>
    <row r="303" spans="1:12" x14ac:dyDescent="0.25">
      <c r="A303" t="s">
        <v>4551</v>
      </c>
      <c r="B303" t="s">
        <v>2303</v>
      </c>
      <c r="C303">
        <v>10602</v>
      </c>
      <c r="D303" t="s">
        <v>297</v>
      </c>
      <c r="E303">
        <v>3</v>
      </c>
      <c r="F303" t="s">
        <v>816</v>
      </c>
      <c r="G303" t="s">
        <v>2246</v>
      </c>
      <c r="H303" t="s">
        <v>2306</v>
      </c>
      <c r="I303" t="s">
        <v>2307</v>
      </c>
      <c r="K303" t="s">
        <v>792</v>
      </c>
      <c r="L303">
        <v>2</v>
      </c>
    </row>
    <row r="304" spans="1:12" x14ac:dyDescent="0.25">
      <c r="A304" t="s">
        <v>4551</v>
      </c>
      <c r="B304" t="s">
        <v>2303</v>
      </c>
      <c r="C304">
        <v>10602</v>
      </c>
      <c r="D304" t="s">
        <v>297</v>
      </c>
      <c r="E304">
        <v>3</v>
      </c>
      <c r="F304" t="s">
        <v>816</v>
      </c>
      <c r="G304" t="s">
        <v>2246</v>
      </c>
      <c r="H304" t="s">
        <v>2308</v>
      </c>
      <c r="I304" t="s">
        <v>2309</v>
      </c>
      <c r="K304" t="s">
        <v>792</v>
      </c>
      <c r="L304">
        <v>2</v>
      </c>
    </row>
    <row r="305" spans="1:12" x14ac:dyDescent="0.25">
      <c r="A305" t="s">
        <v>4551</v>
      </c>
      <c r="B305" t="s">
        <v>2310</v>
      </c>
      <c r="C305">
        <v>10602</v>
      </c>
      <c r="D305" t="s">
        <v>297</v>
      </c>
      <c r="E305">
        <v>3</v>
      </c>
      <c r="F305" t="s">
        <v>871</v>
      </c>
      <c r="G305" t="s">
        <v>1334</v>
      </c>
      <c r="H305" t="s">
        <v>2311</v>
      </c>
      <c r="I305" t="s">
        <v>2312</v>
      </c>
      <c r="K305" t="s">
        <v>792</v>
      </c>
      <c r="L305">
        <v>2</v>
      </c>
    </row>
    <row r="306" spans="1:12" x14ac:dyDescent="0.25">
      <c r="A306" t="s">
        <v>4551</v>
      </c>
      <c r="B306" t="s">
        <v>2310</v>
      </c>
      <c r="C306">
        <v>10602</v>
      </c>
      <c r="D306" t="s">
        <v>297</v>
      </c>
      <c r="E306">
        <v>3</v>
      </c>
      <c r="F306" t="s">
        <v>1476</v>
      </c>
      <c r="G306" t="s">
        <v>2256</v>
      </c>
      <c r="H306" t="s">
        <v>2257</v>
      </c>
      <c r="I306" t="s">
        <v>2313</v>
      </c>
      <c r="K306" t="s">
        <v>792</v>
      </c>
      <c r="L306">
        <v>2</v>
      </c>
    </row>
    <row r="307" spans="1:12" x14ac:dyDescent="0.25">
      <c r="A307" t="s">
        <v>4551</v>
      </c>
      <c r="B307" t="s">
        <v>2310</v>
      </c>
      <c r="C307">
        <v>10602</v>
      </c>
      <c r="D307" t="s">
        <v>297</v>
      </c>
      <c r="E307">
        <v>3</v>
      </c>
      <c r="F307" t="s">
        <v>951</v>
      </c>
      <c r="G307" t="s">
        <v>2259</v>
      </c>
      <c r="H307" t="s">
        <v>2314</v>
      </c>
      <c r="I307" t="s">
        <v>2315</v>
      </c>
      <c r="K307" t="s">
        <v>1255</v>
      </c>
      <c r="L307">
        <v>1</v>
      </c>
    </row>
    <row r="308" spans="1:12" x14ac:dyDescent="0.25">
      <c r="A308" t="s">
        <v>4552</v>
      </c>
      <c r="B308" t="s">
        <v>1622</v>
      </c>
      <c r="C308">
        <v>10603</v>
      </c>
      <c r="D308" t="s">
        <v>146</v>
      </c>
      <c r="E308">
        <v>4</v>
      </c>
      <c r="F308" t="s">
        <v>1448</v>
      </c>
      <c r="G308" t="s">
        <v>1724</v>
      </c>
      <c r="H308" t="s">
        <v>2316</v>
      </c>
      <c r="I308" t="s">
        <v>2317</v>
      </c>
      <c r="K308" t="s">
        <v>792</v>
      </c>
      <c r="L308">
        <v>2</v>
      </c>
    </row>
    <row r="309" spans="1:12" x14ac:dyDescent="0.25">
      <c r="A309" t="s">
        <v>4552</v>
      </c>
      <c r="B309" t="s">
        <v>1622</v>
      </c>
      <c r="C309">
        <v>10603</v>
      </c>
      <c r="D309" t="s">
        <v>146</v>
      </c>
      <c r="E309">
        <v>4</v>
      </c>
      <c r="F309" t="s">
        <v>2207</v>
      </c>
      <c r="G309" t="s">
        <v>2210</v>
      </c>
      <c r="H309" t="s">
        <v>2318</v>
      </c>
      <c r="I309" t="s">
        <v>2319</v>
      </c>
      <c r="K309" t="s">
        <v>792</v>
      </c>
      <c r="L309">
        <v>2</v>
      </c>
    </row>
    <row r="310" spans="1:12" x14ac:dyDescent="0.25">
      <c r="A310" t="s">
        <v>4552</v>
      </c>
      <c r="B310" t="s">
        <v>1622</v>
      </c>
      <c r="C310">
        <v>10603</v>
      </c>
      <c r="D310" t="s">
        <v>146</v>
      </c>
      <c r="E310">
        <v>4</v>
      </c>
      <c r="F310" t="s">
        <v>871</v>
      </c>
      <c r="G310" t="s">
        <v>1266</v>
      </c>
      <c r="H310" t="s">
        <v>2320</v>
      </c>
      <c r="I310" t="s">
        <v>2321</v>
      </c>
      <c r="K310" t="s">
        <v>792</v>
      </c>
      <c r="L310">
        <v>2</v>
      </c>
    </row>
    <row r="311" spans="1:12" x14ac:dyDescent="0.25">
      <c r="A311" t="s">
        <v>4552</v>
      </c>
      <c r="B311" t="s">
        <v>1622</v>
      </c>
      <c r="C311">
        <v>10603</v>
      </c>
      <c r="D311" t="s">
        <v>146</v>
      </c>
      <c r="E311">
        <v>4</v>
      </c>
      <c r="F311" t="s">
        <v>2208</v>
      </c>
      <c r="G311" t="s">
        <v>2213</v>
      </c>
      <c r="H311" t="s">
        <v>2322</v>
      </c>
      <c r="I311" t="s">
        <v>2323</v>
      </c>
      <c r="K311" t="s">
        <v>792</v>
      </c>
      <c r="L311">
        <v>2</v>
      </c>
    </row>
    <row r="312" spans="1:12" x14ac:dyDescent="0.25">
      <c r="A312" t="s">
        <v>4552</v>
      </c>
      <c r="B312" t="s">
        <v>1622</v>
      </c>
      <c r="C312">
        <v>10603</v>
      </c>
      <c r="D312" t="s">
        <v>146</v>
      </c>
      <c r="E312">
        <v>4</v>
      </c>
      <c r="F312" t="s">
        <v>2215</v>
      </c>
      <c r="G312" t="s">
        <v>2216</v>
      </c>
      <c r="H312" t="s">
        <v>2324</v>
      </c>
      <c r="I312" t="s">
        <v>2325</v>
      </c>
      <c r="K312" t="s">
        <v>792</v>
      </c>
      <c r="L312">
        <v>2</v>
      </c>
    </row>
    <row r="313" spans="1:12" x14ac:dyDescent="0.25">
      <c r="A313" t="s">
        <v>4552</v>
      </c>
      <c r="B313" t="s">
        <v>1622</v>
      </c>
      <c r="C313">
        <v>10603</v>
      </c>
      <c r="D313" t="s">
        <v>146</v>
      </c>
      <c r="E313">
        <v>4</v>
      </c>
      <c r="F313" t="s">
        <v>874</v>
      </c>
      <c r="G313" t="s">
        <v>2217</v>
      </c>
      <c r="H313" t="s">
        <v>2326</v>
      </c>
      <c r="I313" t="s">
        <v>2327</v>
      </c>
      <c r="K313" t="s">
        <v>792</v>
      </c>
      <c r="L313">
        <v>2</v>
      </c>
    </row>
    <row r="314" spans="1:12" x14ac:dyDescent="0.25">
      <c r="A314" t="s">
        <v>4552</v>
      </c>
      <c r="B314" t="s">
        <v>2328</v>
      </c>
      <c r="C314">
        <v>10603</v>
      </c>
      <c r="D314" t="s">
        <v>146</v>
      </c>
      <c r="E314">
        <v>4</v>
      </c>
      <c r="F314" t="s">
        <v>2202</v>
      </c>
      <c r="G314" t="s">
        <v>2229</v>
      </c>
      <c r="H314" t="s">
        <v>2329</v>
      </c>
      <c r="I314" t="s">
        <v>2330</v>
      </c>
      <c r="K314" t="s">
        <v>792</v>
      </c>
      <c r="L314">
        <v>2</v>
      </c>
    </row>
    <row r="315" spans="1:12" x14ac:dyDescent="0.25">
      <c r="A315" t="s">
        <v>4552</v>
      </c>
      <c r="B315" t="s">
        <v>2328</v>
      </c>
      <c r="C315">
        <v>10603</v>
      </c>
      <c r="D315" t="s">
        <v>146</v>
      </c>
      <c r="E315">
        <v>4</v>
      </c>
      <c r="F315" t="s">
        <v>2202</v>
      </c>
      <c r="G315" t="s">
        <v>2229</v>
      </c>
      <c r="H315" t="s">
        <v>2331</v>
      </c>
      <c r="I315" t="s">
        <v>2332</v>
      </c>
      <c r="K315" t="s">
        <v>792</v>
      </c>
      <c r="L315">
        <v>2</v>
      </c>
    </row>
    <row r="316" spans="1:12" x14ac:dyDescent="0.25">
      <c r="A316" t="s">
        <v>4552</v>
      </c>
      <c r="B316" t="s">
        <v>2328</v>
      </c>
      <c r="C316">
        <v>10603</v>
      </c>
      <c r="D316" t="s">
        <v>146</v>
      </c>
      <c r="E316">
        <v>4</v>
      </c>
      <c r="F316" t="s">
        <v>2202</v>
      </c>
      <c r="G316" t="s">
        <v>2229</v>
      </c>
      <c r="H316" t="s">
        <v>2333</v>
      </c>
      <c r="I316" t="s">
        <v>2334</v>
      </c>
      <c r="K316" t="s">
        <v>792</v>
      </c>
      <c r="L316">
        <v>2</v>
      </c>
    </row>
    <row r="317" spans="1:12" x14ac:dyDescent="0.25">
      <c r="A317" t="s">
        <v>4552</v>
      </c>
      <c r="B317" t="s">
        <v>2335</v>
      </c>
      <c r="C317">
        <v>10603</v>
      </c>
      <c r="D317" t="s">
        <v>146</v>
      </c>
      <c r="E317">
        <v>4</v>
      </c>
      <c r="F317" t="s">
        <v>2281</v>
      </c>
      <c r="G317" t="s">
        <v>2282</v>
      </c>
      <c r="H317" t="s">
        <v>2336</v>
      </c>
      <c r="I317" t="s">
        <v>2337</v>
      </c>
      <c r="K317" t="s">
        <v>792</v>
      </c>
      <c r="L317">
        <v>2</v>
      </c>
    </row>
    <row r="318" spans="1:12" x14ac:dyDescent="0.25">
      <c r="A318" t="s">
        <v>4552</v>
      </c>
      <c r="B318" t="s">
        <v>2335</v>
      </c>
      <c r="C318">
        <v>10603</v>
      </c>
      <c r="D318" t="s">
        <v>146</v>
      </c>
      <c r="E318">
        <v>4</v>
      </c>
      <c r="F318" t="s">
        <v>2281</v>
      </c>
      <c r="G318" t="s">
        <v>2282</v>
      </c>
      <c r="H318" t="s">
        <v>2338</v>
      </c>
      <c r="I318" t="s">
        <v>2339</v>
      </c>
      <c r="K318" t="s">
        <v>792</v>
      </c>
      <c r="L318">
        <v>2</v>
      </c>
    </row>
    <row r="319" spans="1:12" x14ac:dyDescent="0.25">
      <c r="A319" t="s">
        <v>4552</v>
      </c>
      <c r="B319" t="s">
        <v>2335</v>
      </c>
      <c r="C319">
        <v>10603</v>
      </c>
      <c r="D319" t="s">
        <v>146</v>
      </c>
      <c r="E319">
        <v>4</v>
      </c>
      <c r="F319" t="s">
        <v>2281</v>
      </c>
      <c r="G319" t="s">
        <v>2282</v>
      </c>
      <c r="H319" t="s">
        <v>2340</v>
      </c>
      <c r="I319" t="s">
        <v>2341</v>
      </c>
      <c r="K319" t="s">
        <v>792</v>
      </c>
      <c r="L319">
        <v>2</v>
      </c>
    </row>
    <row r="320" spans="1:12" x14ac:dyDescent="0.25">
      <c r="A320" t="s">
        <v>4552</v>
      </c>
      <c r="B320" t="s">
        <v>2342</v>
      </c>
      <c r="C320">
        <v>10603</v>
      </c>
      <c r="D320" t="s">
        <v>146</v>
      </c>
      <c r="E320">
        <v>4</v>
      </c>
      <c r="F320" t="s">
        <v>1441</v>
      </c>
      <c r="G320" t="s">
        <v>2242</v>
      </c>
      <c r="H320" t="s">
        <v>2343</v>
      </c>
      <c r="I320" t="s">
        <v>2344</v>
      </c>
      <c r="K320" t="s">
        <v>792</v>
      </c>
      <c r="L320">
        <v>2</v>
      </c>
    </row>
    <row r="321" spans="1:12" x14ac:dyDescent="0.25">
      <c r="A321" t="s">
        <v>4552</v>
      </c>
      <c r="B321" t="s">
        <v>2342</v>
      </c>
      <c r="C321">
        <v>10603</v>
      </c>
      <c r="D321" t="s">
        <v>146</v>
      </c>
      <c r="E321">
        <v>4</v>
      </c>
      <c r="F321" t="s">
        <v>2203</v>
      </c>
      <c r="G321" t="s">
        <v>1260</v>
      </c>
      <c r="H321" t="s">
        <v>2345</v>
      </c>
      <c r="I321" t="s">
        <v>2346</v>
      </c>
      <c r="K321" t="s">
        <v>792</v>
      </c>
      <c r="L321">
        <v>2</v>
      </c>
    </row>
    <row r="322" spans="1:12" x14ac:dyDescent="0.25">
      <c r="A322" t="s">
        <v>4552</v>
      </c>
      <c r="B322" t="s">
        <v>2342</v>
      </c>
      <c r="C322">
        <v>10603</v>
      </c>
      <c r="D322" t="s">
        <v>146</v>
      </c>
      <c r="E322">
        <v>4</v>
      </c>
      <c r="F322" t="s">
        <v>2203</v>
      </c>
      <c r="G322" t="s">
        <v>1260</v>
      </c>
      <c r="H322" t="s">
        <v>2347</v>
      </c>
      <c r="I322" t="s">
        <v>2348</v>
      </c>
      <c r="K322" t="s">
        <v>792</v>
      </c>
      <c r="L322">
        <v>2</v>
      </c>
    </row>
    <row r="323" spans="1:12" x14ac:dyDescent="0.25">
      <c r="A323" t="s">
        <v>4552</v>
      </c>
      <c r="B323" t="s">
        <v>2349</v>
      </c>
      <c r="C323">
        <v>10603</v>
      </c>
      <c r="D323" t="s">
        <v>146</v>
      </c>
      <c r="E323">
        <v>4</v>
      </c>
      <c r="F323" t="s">
        <v>2296</v>
      </c>
      <c r="G323" t="s">
        <v>2297</v>
      </c>
      <c r="H323" t="s">
        <v>2350</v>
      </c>
      <c r="I323" t="s">
        <v>2351</v>
      </c>
      <c r="K323" t="s">
        <v>792</v>
      </c>
      <c r="L323">
        <v>2</v>
      </c>
    </row>
    <row r="324" spans="1:12" x14ac:dyDescent="0.25">
      <c r="A324" t="s">
        <v>4552</v>
      </c>
      <c r="B324" t="s">
        <v>2349</v>
      </c>
      <c r="C324">
        <v>10603</v>
      </c>
      <c r="D324" t="s">
        <v>146</v>
      </c>
      <c r="E324">
        <v>4</v>
      </c>
      <c r="F324" t="s">
        <v>2296</v>
      </c>
      <c r="G324" t="s">
        <v>2297</v>
      </c>
      <c r="H324" t="s">
        <v>2352</v>
      </c>
      <c r="I324" t="s">
        <v>2353</v>
      </c>
      <c r="K324" t="s">
        <v>792</v>
      </c>
      <c r="L324">
        <v>2</v>
      </c>
    </row>
    <row r="325" spans="1:12" x14ac:dyDescent="0.25">
      <c r="A325" t="s">
        <v>4552</v>
      </c>
      <c r="B325" t="s">
        <v>2349</v>
      </c>
      <c r="C325">
        <v>10603</v>
      </c>
      <c r="D325" t="s">
        <v>146</v>
      </c>
      <c r="E325">
        <v>4</v>
      </c>
      <c r="F325" t="s">
        <v>2204</v>
      </c>
      <c r="G325" t="s">
        <v>1262</v>
      </c>
      <c r="H325" t="s">
        <v>2354</v>
      </c>
      <c r="I325" t="s">
        <v>2355</v>
      </c>
      <c r="K325" t="s">
        <v>792</v>
      </c>
      <c r="L325">
        <v>2</v>
      </c>
    </row>
    <row r="326" spans="1:12" x14ac:dyDescent="0.25">
      <c r="A326" t="s">
        <v>4552</v>
      </c>
      <c r="B326" t="s">
        <v>2356</v>
      </c>
      <c r="C326">
        <v>10603</v>
      </c>
      <c r="D326" t="s">
        <v>146</v>
      </c>
      <c r="E326">
        <v>4</v>
      </c>
      <c r="F326" t="s">
        <v>816</v>
      </c>
      <c r="G326" t="s">
        <v>2246</v>
      </c>
      <c r="H326" t="s">
        <v>2357</v>
      </c>
      <c r="I326" t="s">
        <v>2358</v>
      </c>
      <c r="K326" t="s">
        <v>792</v>
      </c>
      <c r="L326">
        <v>2</v>
      </c>
    </row>
    <row r="327" spans="1:12" x14ac:dyDescent="0.25">
      <c r="A327" t="s">
        <v>4552</v>
      </c>
      <c r="B327" t="s">
        <v>2356</v>
      </c>
      <c r="C327">
        <v>10603</v>
      </c>
      <c r="D327" t="s">
        <v>146</v>
      </c>
      <c r="E327">
        <v>4</v>
      </c>
      <c r="F327" t="s">
        <v>816</v>
      </c>
      <c r="G327" t="s">
        <v>2246</v>
      </c>
      <c r="H327" t="s">
        <v>2359</v>
      </c>
      <c r="I327" t="s">
        <v>2360</v>
      </c>
      <c r="K327" t="s">
        <v>792</v>
      </c>
      <c r="L327">
        <v>2</v>
      </c>
    </row>
    <row r="328" spans="1:12" x14ac:dyDescent="0.25">
      <c r="A328" t="s">
        <v>4552</v>
      </c>
      <c r="B328" t="s">
        <v>2356</v>
      </c>
      <c r="C328">
        <v>10603</v>
      </c>
      <c r="D328" t="s">
        <v>146</v>
      </c>
      <c r="E328">
        <v>4</v>
      </c>
      <c r="F328" t="s">
        <v>816</v>
      </c>
      <c r="G328" t="s">
        <v>2246</v>
      </c>
      <c r="H328" t="s">
        <v>2361</v>
      </c>
      <c r="I328" t="s">
        <v>2362</v>
      </c>
      <c r="K328" t="s">
        <v>792</v>
      </c>
      <c r="L328">
        <v>2</v>
      </c>
    </row>
    <row r="329" spans="1:12" x14ac:dyDescent="0.25">
      <c r="A329" t="s">
        <v>4552</v>
      </c>
      <c r="B329" t="s">
        <v>2363</v>
      </c>
      <c r="C329">
        <v>10603</v>
      </c>
      <c r="D329" t="s">
        <v>146</v>
      </c>
      <c r="E329">
        <v>4</v>
      </c>
      <c r="F329" t="s">
        <v>871</v>
      </c>
      <c r="G329" t="s">
        <v>1334</v>
      </c>
      <c r="H329" t="s">
        <v>2364</v>
      </c>
      <c r="I329" t="s">
        <v>2365</v>
      </c>
      <c r="K329" t="s">
        <v>792</v>
      </c>
      <c r="L329">
        <v>2</v>
      </c>
    </row>
    <row r="330" spans="1:12" x14ac:dyDescent="0.25">
      <c r="A330" t="s">
        <v>4552</v>
      </c>
      <c r="B330" t="s">
        <v>2363</v>
      </c>
      <c r="C330">
        <v>10603</v>
      </c>
      <c r="D330" t="s">
        <v>146</v>
      </c>
      <c r="E330">
        <v>4</v>
      </c>
      <c r="F330" t="s">
        <v>1476</v>
      </c>
      <c r="G330" t="s">
        <v>2256</v>
      </c>
      <c r="H330" t="s">
        <v>2257</v>
      </c>
      <c r="I330" t="s">
        <v>2366</v>
      </c>
      <c r="K330" t="s">
        <v>792</v>
      </c>
      <c r="L330">
        <v>2</v>
      </c>
    </row>
    <row r="331" spans="1:12" x14ac:dyDescent="0.25">
      <c r="A331" t="s">
        <v>4552</v>
      </c>
      <c r="B331" t="s">
        <v>2363</v>
      </c>
      <c r="C331">
        <v>10603</v>
      </c>
      <c r="D331" t="s">
        <v>146</v>
      </c>
      <c r="E331">
        <v>4</v>
      </c>
      <c r="F331" t="s">
        <v>951</v>
      </c>
      <c r="G331" t="s">
        <v>2259</v>
      </c>
      <c r="H331" t="s">
        <v>2367</v>
      </c>
      <c r="I331" t="s">
        <v>2368</v>
      </c>
      <c r="K331" t="s">
        <v>1255</v>
      </c>
      <c r="L331">
        <v>1</v>
      </c>
    </row>
    <row r="332" spans="1:12" x14ac:dyDescent="0.25">
      <c r="A332" t="s">
        <v>4553</v>
      </c>
      <c r="B332" t="s">
        <v>1622</v>
      </c>
      <c r="C332">
        <v>10604</v>
      </c>
      <c r="D332" t="s">
        <v>2369</v>
      </c>
      <c r="E332">
        <v>5</v>
      </c>
      <c r="F332" t="s">
        <v>1448</v>
      </c>
      <c r="G332" t="s">
        <v>1724</v>
      </c>
      <c r="H332" t="s">
        <v>2370</v>
      </c>
      <c r="I332" t="s">
        <v>2371</v>
      </c>
      <c r="K332" t="s">
        <v>792</v>
      </c>
      <c r="L332">
        <v>2</v>
      </c>
    </row>
    <row r="333" spans="1:12" x14ac:dyDescent="0.25">
      <c r="A333" t="s">
        <v>4553</v>
      </c>
      <c r="B333" t="s">
        <v>1622</v>
      </c>
      <c r="C333">
        <v>10604</v>
      </c>
      <c r="D333" t="s">
        <v>2369</v>
      </c>
      <c r="E333">
        <v>5</v>
      </c>
      <c r="F333" t="s">
        <v>2207</v>
      </c>
      <c r="G333" t="s">
        <v>2210</v>
      </c>
      <c r="H333" t="s">
        <v>2372</v>
      </c>
      <c r="I333" t="s">
        <v>2373</v>
      </c>
      <c r="K333" t="s">
        <v>792</v>
      </c>
      <c r="L333">
        <v>2</v>
      </c>
    </row>
    <row r="334" spans="1:12" x14ac:dyDescent="0.25">
      <c r="A334" t="s">
        <v>4553</v>
      </c>
      <c r="B334" t="s">
        <v>1622</v>
      </c>
      <c r="C334">
        <v>10604</v>
      </c>
      <c r="D334" t="s">
        <v>2369</v>
      </c>
      <c r="E334">
        <v>5</v>
      </c>
      <c r="F334" t="s">
        <v>871</v>
      </c>
      <c r="G334" t="s">
        <v>1266</v>
      </c>
      <c r="H334" t="s">
        <v>2374</v>
      </c>
      <c r="I334" t="s">
        <v>2375</v>
      </c>
      <c r="K334" t="s">
        <v>792</v>
      </c>
      <c r="L334">
        <v>2</v>
      </c>
    </row>
    <row r="335" spans="1:12" x14ac:dyDescent="0.25">
      <c r="A335" t="s">
        <v>4553</v>
      </c>
      <c r="B335" t="s">
        <v>1622</v>
      </c>
      <c r="C335">
        <v>10604</v>
      </c>
      <c r="D335" t="s">
        <v>2369</v>
      </c>
      <c r="E335">
        <v>5</v>
      </c>
      <c r="F335" t="s">
        <v>2208</v>
      </c>
      <c r="G335" t="s">
        <v>2213</v>
      </c>
      <c r="H335" t="s">
        <v>2376</v>
      </c>
      <c r="I335" t="s">
        <v>2377</v>
      </c>
      <c r="K335" t="s">
        <v>792</v>
      </c>
      <c r="L335">
        <v>2</v>
      </c>
    </row>
    <row r="336" spans="1:12" x14ac:dyDescent="0.25">
      <c r="A336" t="s">
        <v>4553</v>
      </c>
      <c r="B336" t="s">
        <v>1622</v>
      </c>
      <c r="C336">
        <v>10604</v>
      </c>
      <c r="D336" t="s">
        <v>2369</v>
      </c>
      <c r="E336">
        <v>5</v>
      </c>
      <c r="F336" t="s">
        <v>2215</v>
      </c>
      <c r="G336" t="s">
        <v>2216</v>
      </c>
      <c r="H336" t="s">
        <v>2378</v>
      </c>
      <c r="I336" t="s">
        <v>2379</v>
      </c>
      <c r="K336" t="s">
        <v>792</v>
      </c>
      <c r="L336">
        <v>2</v>
      </c>
    </row>
    <row r="337" spans="1:12" x14ac:dyDescent="0.25">
      <c r="A337" t="s">
        <v>4553</v>
      </c>
      <c r="B337" t="s">
        <v>1622</v>
      </c>
      <c r="C337">
        <v>10604</v>
      </c>
      <c r="D337" t="s">
        <v>2369</v>
      </c>
      <c r="E337">
        <v>5</v>
      </c>
      <c r="F337" t="s">
        <v>874</v>
      </c>
      <c r="G337" t="s">
        <v>2217</v>
      </c>
      <c r="H337" t="s">
        <v>2380</v>
      </c>
      <c r="I337" t="s">
        <v>2381</v>
      </c>
      <c r="K337" t="s">
        <v>792</v>
      </c>
      <c r="L337">
        <v>2</v>
      </c>
    </row>
    <row r="338" spans="1:12" x14ac:dyDescent="0.25">
      <c r="A338" t="s">
        <v>4553</v>
      </c>
      <c r="B338" t="s">
        <v>2382</v>
      </c>
      <c r="C338">
        <v>10604</v>
      </c>
      <c r="D338" t="s">
        <v>2369</v>
      </c>
      <c r="E338">
        <v>5</v>
      </c>
      <c r="F338" t="s">
        <v>2202</v>
      </c>
      <c r="G338" t="s">
        <v>2229</v>
      </c>
      <c r="H338" t="s">
        <v>2383</v>
      </c>
      <c r="I338" t="s">
        <v>2384</v>
      </c>
      <c r="K338" t="s">
        <v>792</v>
      </c>
      <c r="L338">
        <v>2</v>
      </c>
    </row>
    <row r="339" spans="1:12" x14ac:dyDescent="0.25">
      <c r="A339" t="s">
        <v>4553</v>
      </c>
      <c r="B339" t="s">
        <v>2382</v>
      </c>
      <c r="C339">
        <v>10604</v>
      </c>
      <c r="D339" t="s">
        <v>2369</v>
      </c>
      <c r="E339">
        <v>5</v>
      </c>
      <c r="F339" t="s">
        <v>2202</v>
      </c>
      <c r="G339" t="s">
        <v>2229</v>
      </c>
      <c r="H339" t="s">
        <v>2385</v>
      </c>
      <c r="I339" t="s">
        <v>2386</v>
      </c>
      <c r="K339" t="s">
        <v>792</v>
      </c>
      <c r="L339">
        <v>2</v>
      </c>
    </row>
    <row r="340" spans="1:12" x14ac:dyDescent="0.25">
      <c r="A340" t="s">
        <v>4553</v>
      </c>
      <c r="B340" t="s">
        <v>2382</v>
      </c>
      <c r="C340">
        <v>10604</v>
      </c>
      <c r="D340" t="s">
        <v>2369</v>
      </c>
      <c r="E340">
        <v>5</v>
      </c>
      <c r="F340" t="s">
        <v>2202</v>
      </c>
      <c r="G340" t="s">
        <v>2229</v>
      </c>
      <c r="H340" t="s">
        <v>2387</v>
      </c>
      <c r="I340" t="s">
        <v>2388</v>
      </c>
      <c r="K340" t="s">
        <v>792</v>
      </c>
      <c r="L340">
        <v>2</v>
      </c>
    </row>
    <row r="341" spans="1:12" x14ac:dyDescent="0.25">
      <c r="A341" t="s">
        <v>4553</v>
      </c>
      <c r="B341" t="s">
        <v>2389</v>
      </c>
      <c r="C341">
        <v>10604</v>
      </c>
      <c r="D341" t="s">
        <v>2369</v>
      </c>
      <c r="E341">
        <v>5</v>
      </c>
      <c r="F341" t="s">
        <v>2281</v>
      </c>
      <c r="G341" t="s">
        <v>2282</v>
      </c>
      <c r="H341" t="s">
        <v>2390</v>
      </c>
      <c r="I341" t="s">
        <v>2391</v>
      </c>
      <c r="K341" t="s">
        <v>792</v>
      </c>
      <c r="L341">
        <v>2</v>
      </c>
    </row>
    <row r="342" spans="1:12" x14ac:dyDescent="0.25">
      <c r="A342" t="s">
        <v>4553</v>
      </c>
      <c r="B342" t="s">
        <v>2389</v>
      </c>
      <c r="C342">
        <v>10604</v>
      </c>
      <c r="D342" t="s">
        <v>2369</v>
      </c>
      <c r="E342">
        <v>5</v>
      </c>
      <c r="F342" t="s">
        <v>2281</v>
      </c>
      <c r="G342" t="s">
        <v>2282</v>
      </c>
      <c r="H342" t="s">
        <v>2392</v>
      </c>
      <c r="I342" t="s">
        <v>2393</v>
      </c>
      <c r="K342" t="s">
        <v>792</v>
      </c>
      <c r="L342">
        <v>2</v>
      </c>
    </row>
    <row r="343" spans="1:12" x14ac:dyDescent="0.25">
      <c r="A343" t="s">
        <v>4553</v>
      </c>
      <c r="B343" t="s">
        <v>2389</v>
      </c>
      <c r="C343">
        <v>10604</v>
      </c>
      <c r="D343" t="s">
        <v>2369</v>
      </c>
      <c r="E343">
        <v>5</v>
      </c>
      <c r="F343" t="s">
        <v>2281</v>
      </c>
      <c r="G343" t="s">
        <v>2282</v>
      </c>
      <c r="H343" t="s">
        <v>2394</v>
      </c>
      <c r="I343" t="s">
        <v>2395</v>
      </c>
      <c r="K343" t="s">
        <v>792</v>
      </c>
      <c r="L343">
        <v>2</v>
      </c>
    </row>
    <row r="344" spans="1:12" x14ac:dyDescent="0.25">
      <c r="A344" t="s">
        <v>4553</v>
      </c>
      <c r="B344" t="s">
        <v>2396</v>
      </c>
      <c r="C344">
        <v>10604</v>
      </c>
      <c r="D344" t="s">
        <v>2369</v>
      </c>
      <c r="E344">
        <v>5</v>
      </c>
      <c r="F344" t="s">
        <v>1441</v>
      </c>
      <c r="G344" t="s">
        <v>2242</v>
      </c>
      <c r="H344" t="s">
        <v>2397</v>
      </c>
      <c r="I344" t="s">
        <v>2398</v>
      </c>
      <c r="K344" t="s">
        <v>792</v>
      </c>
      <c r="L344">
        <v>2</v>
      </c>
    </row>
    <row r="345" spans="1:12" x14ac:dyDescent="0.25">
      <c r="A345" t="s">
        <v>4553</v>
      </c>
      <c r="B345" t="s">
        <v>2396</v>
      </c>
      <c r="C345">
        <v>10604</v>
      </c>
      <c r="D345" t="s">
        <v>2369</v>
      </c>
      <c r="E345">
        <v>5</v>
      </c>
      <c r="F345" t="s">
        <v>2203</v>
      </c>
      <c r="G345" t="s">
        <v>1260</v>
      </c>
      <c r="H345" t="s">
        <v>2399</v>
      </c>
      <c r="I345" t="s">
        <v>2400</v>
      </c>
      <c r="K345" t="s">
        <v>792</v>
      </c>
      <c r="L345">
        <v>2</v>
      </c>
    </row>
    <row r="346" spans="1:12" x14ac:dyDescent="0.25">
      <c r="A346" t="s">
        <v>4553</v>
      </c>
      <c r="B346" t="s">
        <v>2396</v>
      </c>
      <c r="C346">
        <v>10604</v>
      </c>
      <c r="D346" t="s">
        <v>2369</v>
      </c>
      <c r="E346">
        <v>5</v>
      </c>
      <c r="F346" t="s">
        <v>2203</v>
      </c>
      <c r="G346" t="s">
        <v>1260</v>
      </c>
      <c r="H346" t="s">
        <v>2401</v>
      </c>
      <c r="I346" t="s">
        <v>2402</v>
      </c>
      <c r="K346" t="s">
        <v>792</v>
      </c>
      <c r="L346">
        <v>2</v>
      </c>
    </row>
    <row r="347" spans="1:12" x14ac:dyDescent="0.25">
      <c r="A347" t="s">
        <v>4553</v>
      </c>
      <c r="B347" t="s">
        <v>2403</v>
      </c>
      <c r="C347">
        <v>10604</v>
      </c>
      <c r="D347" t="s">
        <v>2369</v>
      </c>
      <c r="E347">
        <v>5</v>
      </c>
      <c r="F347" t="s">
        <v>2296</v>
      </c>
      <c r="G347" t="s">
        <v>2297</v>
      </c>
      <c r="H347" t="s">
        <v>2404</v>
      </c>
      <c r="I347" t="s">
        <v>2405</v>
      </c>
      <c r="K347" t="s">
        <v>792</v>
      </c>
      <c r="L347">
        <v>2</v>
      </c>
    </row>
    <row r="348" spans="1:12" x14ac:dyDescent="0.25">
      <c r="A348" t="s">
        <v>4553</v>
      </c>
      <c r="B348" t="s">
        <v>2403</v>
      </c>
      <c r="C348">
        <v>10604</v>
      </c>
      <c r="D348" t="s">
        <v>2369</v>
      </c>
      <c r="E348">
        <v>5</v>
      </c>
      <c r="F348" t="s">
        <v>2204</v>
      </c>
      <c r="G348" t="s">
        <v>1262</v>
      </c>
      <c r="H348" t="s">
        <v>2406</v>
      </c>
      <c r="I348" t="s">
        <v>2407</v>
      </c>
      <c r="K348" t="s">
        <v>792</v>
      </c>
      <c r="L348">
        <v>2</v>
      </c>
    </row>
    <row r="349" spans="1:12" x14ac:dyDescent="0.25">
      <c r="A349" t="s">
        <v>4553</v>
      </c>
      <c r="B349" t="s">
        <v>2403</v>
      </c>
      <c r="C349">
        <v>10604</v>
      </c>
      <c r="D349" t="s">
        <v>2369</v>
      </c>
      <c r="E349">
        <v>5</v>
      </c>
      <c r="F349" t="s">
        <v>2204</v>
      </c>
      <c r="G349" t="s">
        <v>1262</v>
      </c>
      <c r="H349" t="s">
        <v>2408</v>
      </c>
      <c r="I349" t="s">
        <v>2409</v>
      </c>
      <c r="K349" t="s">
        <v>792</v>
      </c>
      <c r="L349">
        <v>2</v>
      </c>
    </row>
    <row r="350" spans="1:12" x14ac:dyDescent="0.25">
      <c r="A350" t="s">
        <v>4553</v>
      </c>
      <c r="B350" t="s">
        <v>2410</v>
      </c>
      <c r="C350">
        <v>10604</v>
      </c>
      <c r="D350" t="s">
        <v>2369</v>
      </c>
      <c r="E350">
        <v>5</v>
      </c>
      <c r="F350" t="s">
        <v>816</v>
      </c>
      <c r="G350" t="s">
        <v>2246</v>
      </c>
      <c r="H350" t="s">
        <v>2411</v>
      </c>
      <c r="I350" t="s">
        <v>2412</v>
      </c>
      <c r="K350" t="s">
        <v>792</v>
      </c>
      <c r="L350">
        <v>2</v>
      </c>
    </row>
    <row r="351" spans="1:12" x14ac:dyDescent="0.25">
      <c r="A351" t="s">
        <v>4553</v>
      </c>
      <c r="B351" t="s">
        <v>2410</v>
      </c>
      <c r="C351">
        <v>10604</v>
      </c>
      <c r="D351" t="s">
        <v>2369</v>
      </c>
      <c r="E351">
        <v>5</v>
      </c>
      <c r="F351" t="s">
        <v>816</v>
      </c>
      <c r="G351" t="s">
        <v>2246</v>
      </c>
      <c r="H351" t="s">
        <v>2413</v>
      </c>
      <c r="I351" t="s">
        <v>2414</v>
      </c>
      <c r="K351" t="s">
        <v>792</v>
      </c>
      <c r="L351">
        <v>2</v>
      </c>
    </row>
    <row r="352" spans="1:12" x14ac:dyDescent="0.25">
      <c r="A352" t="s">
        <v>4553</v>
      </c>
      <c r="B352" t="s">
        <v>2410</v>
      </c>
      <c r="C352">
        <v>10604</v>
      </c>
      <c r="D352" t="s">
        <v>2369</v>
      </c>
      <c r="E352">
        <v>5</v>
      </c>
      <c r="F352" t="s">
        <v>816</v>
      </c>
      <c r="G352" t="s">
        <v>2246</v>
      </c>
      <c r="H352" t="s">
        <v>2308</v>
      </c>
      <c r="I352" t="s">
        <v>2415</v>
      </c>
      <c r="K352" t="s">
        <v>792</v>
      </c>
      <c r="L352">
        <v>2</v>
      </c>
    </row>
    <row r="353" spans="1:12" x14ac:dyDescent="0.25">
      <c r="A353" t="s">
        <v>4553</v>
      </c>
      <c r="B353" t="s">
        <v>2416</v>
      </c>
      <c r="C353">
        <v>10604</v>
      </c>
      <c r="D353" t="s">
        <v>2369</v>
      </c>
      <c r="E353">
        <v>5</v>
      </c>
      <c r="F353" t="s">
        <v>871</v>
      </c>
      <c r="G353" t="s">
        <v>1334</v>
      </c>
      <c r="H353" t="s">
        <v>2417</v>
      </c>
      <c r="I353" t="s">
        <v>2418</v>
      </c>
      <c r="K353" t="s">
        <v>792</v>
      </c>
      <c r="L353">
        <v>2</v>
      </c>
    </row>
    <row r="354" spans="1:12" x14ac:dyDescent="0.25">
      <c r="A354" t="s">
        <v>4553</v>
      </c>
      <c r="B354" t="s">
        <v>2416</v>
      </c>
      <c r="C354">
        <v>10604</v>
      </c>
      <c r="D354" t="s">
        <v>2369</v>
      </c>
      <c r="E354">
        <v>5</v>
      </c>
      <c r="F354" t="s">
        <v>1476</v>
      </c>
      <c r="G354" t="s">
        <v>2256</v>
      </c>
      <c r="H354" t="s">
        <v>2419</v>
      </c>
      <c r="I354" t="s">
        <v>2313</v>
      </c>
      <c r="K354" t="s">
        <v>792</v>
      </c>
      <c r="L354">
        <v>2</v>
      </c>
    </row>
    <row r="355" spans="1:12" x14ac:dyDescent="0.25">
      <c r="A355" t="s">
        <v>4553</v>
      </c>
      <c r="B355" t="s">
        <v>2416</v>
      </c>
      <c r="C355">
        <v>10604</v>
      </c>
      <c r="D355" t="s">
        <v>2369</v>
      </c>
      <c r="E355">
        <v>5</v>
      </c>
      <c r="F355" t="s">
        <v>951</v>
      </c>
      <c r="G355" t="s">
        <v>2259</v>
      </c>
      <c r="H355" t="s">
        <v>2420</v>
      </c>
      <c r="I355" t="s">
        <v>2421</v>
      </c>
      <c r="K355" t="s">
        <v>1255</v>
      </c>
      <c r="L355">
        <v>1</v>
      </c>
    </row>
    <row r="356" spans="1:12" ht="15.75" x14ac:dyDescent="0.25">
      <c r="A356" s="61" t="s">
        <v>4554</v>
      </c>
      <c r="B356" t="s">
        <v>1622</v>
      </c>
      <c r="C356">
        <v>10501</v>
      </c>
      <c r="D356" t="s">
        <v>156</v>
      </c>
      <c r="E356">
        <v>3</v>
      </c>
      <c r="F356" t="s">
        <v>1448</v>
      </c>
      <c r="G356" t="s">
        <v>1724</v>
      </c>
      <c r="H356" t="s">
        <v>1285</v>
      </c>
      <c r="I356" t="s">
        <v>1447</v>
      </c>
      <c r="K356" t="s">
        <v>792</v>
      </c>
      <c r="L356">
        <v>2</v>
      </c>
    </row>
    <row r="357" spans="1:12" ht="15.75" x14ac:dyDescent="0.25">
      <c r="A357" s="61" t="s">
        <v>4554</v>
      </c>
      <c r="B357" t="s">
        <v>1622</v>
      </c>
      <c r="C357">
        <v>10501</v>
      </c>
      <c r="D357" t="s">
        <v>156</v>
      </c>
      <c r="E357">
        <v>3</v>
      </c>
      <c r="F357" t="s">
        <v>2207</v>
      </c>
      <c r="G357" t="s">
        <v>2210</v>
      </c>
      <c r="H357" t="s">
        <v>2489</v>
      </c>
      <c r="I357" t="s">
        <v>2490</v>
      </c>
      <c r="K357" t="s">
        <v>792</v>
      </c>
      <c r="L357">
        <v>2</v>
      </c>
    </row>
    <row r="358" spans="1:12" ht="15.75" x14ac:dyDescent="0.25">
      <c r="A358" s="61" t="s">
        <v>4554</v>
      </c>
      <c r="B358" t="s">
        <v>1622</v>
      </c>
      <c r="C358">
        <v>10501</v>
      </c>
      <c r="D358" t="s">
        <v>156</v>
      </c>
      <c r="E358">
        <v>3</v>
      </c>
      <c r="F358" t="s">
        <v>871</v>
      </c>
      <c r="G358" t="s">
        <v>1266</v>
      </c>
      <c r="H358" t="s">
        <v>1281</v>
      </c>
      <c r="I358" t="s">
        <v>2491</v>
      </c>
      <c r="K358" t="s">
        <v>792</v>
      </c>
      <c r="L358">
        <v>2</v>
      </c>
    </row>
    <row r="359" spans="1:12" ht="15.75" x14ac:dyDescent="0.25">
      <c r="A359" s="61" t="s">
        <v>4554</v>
      </c>
      <c r="B359" t="s">
        <v>1622</v>
      </c>
      <c r="C359">
        <v>10501</v>
      </c>
      <c r="D359" t="s">
        <v>156</v>
      </c>
      <c r="E359">
        <v>3</v>
      </c>
      <c r="F359" t="s">
        <v>2208</v>
      </c>
      <c r="G359" t="s">
        <v>2213</v>
      </c>
      <c r="H359" t="s">
        <v>2492</v>
      </c>
      <c r="I359" t="s">
        <v>2493</v>
      </c>
      <c r="K359" t="s">
        <v>792</v>
      </c>
      <c r="L359">
        <v>2</v>
      </c>
    </row>
    <row r="360" spans="1:12" ht="15.75" x14ac:dyDescent="0.25">
      <c r="A360" s="61" t="s">
        <v>4554</v>
      </c>
      <c r="B360" t="s">
        <v>1622</v>
      </c>
      <c r="C360">
        <v>10501</v>
      </c>
      <c r="D360" t="s">
        <v>156</v>
      </c>
      <c r="E360">
        <v>3</v>
      </c>
      <c r="F360" t="s">
        <v>2215</v>
      </c>
      <c r="G360" t="s">
        <v>2494</v>
      </c>
      <c r="H360" t="s">
        <v>2495</v>
      </c>
      <c r="I360" t="s">
        <v>2496</v>
      </c>
      <c r="K360" t="s">
        <v>792</v>
      </c>
      <c r="L360">
        <v>2</v>
      </c>
    </row>
    <row r="361" spans="1:12" ht="15.75" x14ac:dyDescent="0.25">
      <c r="A361" s="61" t="s">
        <v>4554</v>
      </c>
      <c r="B361" t="s">
        <v>1622</v>
      </c>
      <c r="C361">
        <v>10501</v>
      </c>
      <c r="D361" t="s">
        <v>156</v>
      </c>
      <c r="E361">
        <v>3</v>
      </c>
      <c r="F361" t="s">
        <v>874</v>
      </c>
      <c r="G361" t="s">
        <v>2217</v>
      </c>
      <c r="H361" t="s">
        <v>2497</v>
      </c>
      <c r="I361" t="s">
        <v>2498</v>
      </c>
      <c r="K361" t="s">
        <v>792</v>
      </c>
      <c r="L361">
        <v>2</v>
      </c>
    </row>
    <row r="362" spans="1:12" ht="15.75" x14ac:dyDescent="0.25">
      <c r="A362" s="61" t="s">
        <v>4554</v>
      </c>
      <c r="B362" t="s">
        <v>2499</v>
      </c>
      <c r="C362">
        <v>10501</v>
      </c>
      <c r="D362" t="s">
        <v>156</v>
      </c>
      <c r="E362">
        <v>3</v>
      </c>
      <c r="F362" t="s">
        <v>872</v>
      </c>
      <c r="G362" t="s">
        <v>1268</v>
      </c>
      <c r="H362" t="s">
        <v>2500</v>
      </c>
      <c r="I362" t="s">
        <v>2501</v>
      </c>
      <c r="K362" t="s">
        <v>792</v>
      </c>
      <c r="L362">
        <v>2</v>
      </c>
    </row>
    <row r="363" spans="1:12" ht="15.75" x14ac:dyDescent="0.25">
      <c r="A363" s="61" t="s">
        <v>4554</v>
      </c>
      <c r="B363" t="s">
        <v>2499</v>
      </c>
      <c r="C363">
        <v>10501</v>
      </c>
      <c r="D363" t="s">
        <v>156</v>
      </c>
      <c r="E363">
        <v>3</v>
      </c>
      <c r="F363" t="s">
        <v>961</v>
      </c>
      <c r="G363" t="s">
        <v>1332</v>
      </c>
      <c r="H363" t="s">
        <v>2502</v>
      </c>
      <c r="I363" t="s">
        <v>2503</v>
      </c>
      <c r="K363" t="s">
        <v>792</v>
      </c>
      <c r="L363">
        <v>2</v>
      </c>
    </row>
    <row r="364" spans="1:12" ht="15.75" x14ac:dyDescent="0.25">
      <c r="A364" s="61" t="s">
        <v>4554</v>
      </c>
      <c r="B364" t="s">
        <v>2499</v>
      </c>
      <c r="C364">
        <v>10501</v>
      </c>
      <c r="D364" t="s">
        <v>156</v>
      </c>
      <c r="E364">
        <v>3</v>
      </c>
      <c r="F364" t="s">
        <v>873</v>
      </c>
      <c r="G364" t="s">
        <v>1340</v>
      </c>
      <c r="H364" t="s">
        <v>2504</v>
      </c>
      <c r="I364" t="s">
        <v>2505</v>
      </c>
      <c r="K364" t="s">
        <v>792</v>
      </c>
      <c r="L364">
        <v>2</v>
      </c>
    </row>
    <row r="365" spans="1:12" ht="15.75" x14ac:dyDescent="0.25">
      <c r="A365" s="61" t="s">
        <v>4554</v>
      </c>
      <c r="B365" t="s">
        <v>2499</v>
      </c>
      <c r="C365">
        <v>10501</v>
      </c>
      <c r="D365" t="s">
        <v>156</v>
      </c>
      <c r="E365">
        <v>3</v>
      </c>
      <c r="F365" t="s">
        <v>965</v>
      </c>
      <c r="G365" t="s">
        <v>1413</v>
      </c>
      <c r="H365" t="s">
        <v>2506</v>
      </c>
      <c r="I365" t="s">
        <v>1412</v>
      </c>
      <c r="K365" t="s">
        <v>792</v>
      </c>
      <c r="L365">
        <v>2</v>
      </c>
    </row>
    <row r="366" spans="1:12" ht="15.75" x14ac:dyDescent="0.25">
      <c r="A366" s="61" t="s">
        <v>4554</v>
      </c>
      <c r="B366" t="s">
        <v>2507</v>
      </c>
      <c r="C366">
        <v>10501</v>
      </c>
      <c r="D366" t="s">
        <v>156</v>
      </c>
      <c r="E366">
        <v>3</v>
      </c>
      <c r="F366" t="s">
        <v>947</v>
      </c>
      <c r="G366" t="s">
        <v>1354</v>
      </c>
      <c r="H366" t="s">
        <v>2508</v>
      </c>
      <c r="I366" t="s">
        <v>2509</v>
      </c>
      <c r="K366" t="s">
        <v>792</v>
      </c>
      <c r="L366">
        <v>2</v>
      </c>
    </row>
    <row r="367" spans="1:12" ht="15.75" x14ac:dyDescent="0.25">
      <c r="A367" s="61" t="s">
        <v>4554</v>
      </c>
      <c r="B367" t="s">
        <v>2507</v>
      </c>
      <c r="C367">
        <v>10501</v>
      </c>
      <c r="D367" t="s">
        <v>156</v>
      </c>
      <c r="E367">
        <v>3</v>
      </c>
      <c r="F367" t="s">
        <v>947</v>
      </c>
      <c r="G367" t="s">
        <v>1354</v>
      </c>
      <c r="H367" t="s">
        <v>2510</v>
      </c>
      <c r="I367" t="s">
        <v>1430</v>
      </c>
      <c r="K367" t="s">
        <v>792</v>
      </c>
      <c r="L367">
        <v>2</v>
      </c>
    </row>
    <row r="368" spans="1:12" ht="15.75" x14ac:dyDescent="0.25">
      <c r="A368" s="61" t="s">
        <v>4554</v>
      </c>
      <c r="B368" t="s">
        <v>2507</v>
      </c>
      <c r="C368">
        <v>10501</v>
      </c>
      <c r="D368" t="s">
        <v>156</v>
      </c>
      <c r="E368">
        <v>3</v>
      </c>
      <c r="F368" t="s">
        <v>1457</v>
      </c>
      <c r="G368" t="s">
        <v>2511</v>
      </c>
      <c r="H368" t="s">
        <v>2512</v>
      </c>
      <c r="I368" t="s">
        <v>2513</v>
      </c>
      <c r="K368" t="s">
        <v>792</v>
      </c>
      <c r="L368">
        <v>2</v>
      </c>
    </row>
    <row r="369" spans="1:12" ht="15.75" x14ac:dyDescent="0.25">
      <c r="A369" s="61" t="s">
        <v>4554</v>
      </c>
      <c r="B369" t="s">
        <v>1724</v>
      </c>
      <c r="C369">
        <v>10501</v>
      </c>
      <c r="D369" t="s">
        <v>156</v>
      </c>
      <c r="E369">
        <v>3</v>
      </c>
      <c r="F369" t="s">
        <v>1448</v>
      </c>
      <c r="G369" t="s">
        <v>1724</v>
      </c>
      <c r="H369" t="s">
        <v>1285</v>
      </c>
      <c r="I369" t="s">
        <v>2514</v>
      </c>
      <c r="K369" t="s">
        <v>792</v>
      </c>
      <c r="L369">
        <v>2</v>
      </c>
    </row>
    <row r="370" spans="1:12" ht="15.75" x14ac:dyDescent="0.25">
      <c r="A370" s="61" t="s">
        <v>4554</v>
      </c>
      <c r="B370" t="s">
        <v>1724</v>
      </c>
      <c r="C370">
        <v>10501</v>
      </c>
      <c r="D370" t="s">
        <v>156</v>
      </c>
      <c r="E370">
        <v>3</v>
      </c>
      <c r="F370" t="s">
        <v>1448</v>
      </c>
      <c r="G370" t="s">
        <v>1724</v>
      </c>
      <c r="H370" t="s">
        <v>2515</v>
      </c>
      <c r="I370" t="s">
        <v>2516</v>
      </c>
      <c r="K370" t="s">
        <v>792</v>
      </c>
      <c r="L370">
        <v>2</v>
      </c>
    </row>
    <row r="371" spans="1:12" ht="15.75" x14ac:dyDescent="0.25">
      <c r="A371" s="61" t="s">
        <v>4554</v>
      </c>
      <c r="B371" t="s">
        <v>2256</v>
      </c>
      <c r="C371">
        <v>10501</v>
      </c>
      <c r="D371" t="s">
        <v>156</v>
      </c>
      <c r="E371">
        <v>3</v>
      </c>
      <c r="F371" t="s">
        <v>953</v>
      </c>
      <c r="G371" t="s">
        <v>1342</v>
      </c>
      <c r="H371" t="s">
        <v>2517</v>
      </c>
      <c r="I371" t="s">
        <v>2518</v>
      </c>
      <c r="K371" t="s">
        <v>792</v>
      </c>
      <c r="L371">
        <v>2</v>
      </c>
    </row>
    <row r="372" spans="1:12" ht="15.75" x14ac:dyDescent="0.25">
      <c r="A372" s="61" t="s">
        <v>4554</v>
      </c>
      <c r="B372" t="s">
        <v>2256</v>
      </c>
      <c r="C372">
        <v>10501</v>
      </c>
      <c r="D372" t="s">
        <v>156</v>
      </c>
      <c r="E372">
        <v>3</v>
      </c>
      <c r="F372" t="s">
        <v>2519</v>
      </c>
      <c r="G372" t="s">
        <v>2256</v>
      </c>
      <c r="H372" t="s">
        <v>2520</v>
      </c>
      <c r="I372" t="s">
        <v>2521</v>
      </c>
      <c r="K372" t="s">
        <v>792</v>
      </c>
      <c r="L372">
        <v>2</v>
      </c>
    </row>
    <row r="373" spans="1:12" ht="15.75" x14ac:dyDescent="0.25">
      <c r="A373" s="61" t="s">
        <v>4554</v>
      </c>
      <c r="B373" t="s">
        <v>2483</v>
      </c>
      <c r="C373">
        <v>10501</v>
      </c>
      <c r="D373" t="s">
        <v>156</v>
      </c>
      <c r="E373">
        <v>3</v>
      </c>
      <c r="F373" t="s">
        <v>2522</v>
      </c>
      <c r="G373" t="s">
        <v>2483</v>
      </c>
      <c r="H373" t="s">
        <v>2523</v>
      </c>
      <c r="I373" t="s">
        <v>2524</v>
      </c>
      <c r="K373" t="s">
        <v>792</v>
      </c>
      <c r="L373">
        <v>2</v>
      </c>
    </row>
    <row r="374" spans="1:12" ht="15.75" x14ac:dyDescent="0.25">
      <c r="A374" s="61" t="s">
        <v>4554</v>
      </c>
      <c r="B374" t="s">
        <v>2483</v>
      </c>
      <c r="C374">
        <v>10501</v>
      </c>
      <c r="D374" t="s">
        <v>156</v>
      </c>
      <c r="E374">
        <v>3</v>
      </c>
      <c r="F374" t="s">
        <v>874</v>
      </c>
      <c r="G374" t="s">
        <v>1402</v>
      </c>
      <c r="H374" t="s">
        <v>2525</v>
      </c>
      <c r="I374" t="s">
        <v>2526</v>
      </c>
      <c r="K374" t="s">
        <v>792</v>
      </c>
      <c r="L374">
        <v>2</v>
      </c>
    </row>
    <row r="375" spans="1:12" x14ac:dyDescent="0.25">
      <c r="A375" t="s">
        <v>4555</v>
      </c>
      <c r="B375" t="s">
        <v>1622</v>
      </c>
      <c r="C375">
        <v>10502</v>
      </c>
      <c r="D375" t="s">
        <v>187</v>
      </c>
      <c r="E375">
        <v>4</v>
      </c>
      <c r="F375" t="s">
        <v>1448</v>
      </c>
      <c r="G375" t="s">
        <v>1724</v>
      </c>
      <c r="H375" t="s">
        <v>2527</v>
      </c>
      <c r="I375" t="s">
        <v>2528</v>
      </c>
      <c r="K375" t="s">
        <v>792</v>
      </c>
      <c r="L375">
        <v>2</v>
      </c>
    </row>
    <row r="376" spans="1:12" x14ac:dyDescent="0.25">
      <c r="A376" t="s">
        <v>4555</v>
      </c>
      <c r="B376" t="s">
        <v>1622</v>
      </c>
      <c r="C376">
        <v>10502</v>
      </c>
      <c r="D376" t="s">
        <v>187</v>
      </c>
      <c r="E376">
        <v>4</v>
      </c>
      <c r="F376" t="s">
        <v>2207</v>
      </c>
      <c r="G376" t="s">
        <v>2210</v>
      </c>
      <c r="H376" t="s">
        <v>2529</v>
      </c>
      <c r="I376" t="s">
        <v>2530</v>
      </c>
      <c r="K376" t="s">
        <v>792</v>
      </c>
      <c r="L376">
        <v>2</v>
      </c>
    </row>
    <row r="377" spans="1:12" x14ac:dyDescent="0.25">
      <c r="A377" t="s">
        <v>4555</v>
      </c>
      <c r="B377" t="s">
        <v>1622</v>
      </c>
      <c r="C377">
        <v>10502</v>
      </c>
      <c r="D377" t="s">
        <v>187</v>
      </c>
      <c r="E377">
        <v>4</v>
      </c>
      <c r="F377" t="s">
        <v>871</v>
      </c>
      <c r="G377" t="s">
        <v>1266</v>
      </c>
      <c r="H377" t="s">
        <v>2531</v>
      </c>
      <c r="I377" t="s">
        <v>2532</v>
      </c>
      <c r="K377" t="s">
        <v>792</v>
      </c>
      <c r="L377">
        <v>2</v>
      </c>
    </row>
    <row r="378" spans="1:12" x14ac:dyDescent="0.25">
      <c r="A378" t="s">
        <v>4555</v>
      </c>
      <c r="B378" t="s">
        <v>1622</v>
      </c>
      <c r="C378">
        <v>10502</v>
      </c>
      <c r="D378" t="s">
        <v>187</v>
      </c>
      <c r="E378">
        <v>4</v>
      </c>
      <c r="F378" t="s">
        <v>2208</v>
      </c>
      <c r="G378" t="s">
        <v>2213</v>
      </c>
      <c r="H378" t="s">
        <v>2533</v>
      </c>
      <c r="I378" t="s">
        <v>2534</v>
      </c>
      <c r="K378" t="s">
        <v>792</v>
      </c>
      <c r="L378">
        <v>2</v>
      </c>
    </row>
    <row r="379" spans="1:12" x14ac:dyDescent="0.25">
      <c r="A379" t="s">
        <v>4555</v>
      </c>
      <c r="B379" t="s">
        <v>1622</v>
      </c>
      <c r="C379">
        <v>10502</v>
      </c>
      <c r="D379" t="s">
        <v>187</v>
      </c>
      <c r="E379">
        <v>4</v>
      </c>
      <c r="F379" t="s">
        <v>2215</v>
      </c>
      <c r="G379" t="s">
        <v>2494</v>
      </c>
      <c r="H379" t="s">
        <v>2535</v>
      </c>
      <c r="I379" t="s">
        <v>2536</v>
      </c>
      <c r="K379" t="s">
        <v>792</v>
      </c>
      <c r="L379">
        <v>2</v>
      </c>
    </row>
    <row r="380" spans="1:12" x14ac:dyDescent="0.25">
      <c r="A380" t="s">
        <v>4555</v>
      </c>
      <c r="B380" t="s">
        <v>1622</v>
      </c>
      <c r="C380">
        <v>10502</v>
      </c>
      <c r="D380" t="s">
        <v>187</v>
      </c>
      <c r="E380">
        <v>4</v>
      </c>
      <c r="F380" t="s">
        <v>874</v>
      </c>
      <c r="G380" t="s">
        <v>2217</v>
      </c>
      <c r="H380" t="s">
        <v>2537</v>
      </c>
      <c r="I380" t="s">
        <v>2538</v>
      </c>
      <c r="K380" t="s">
        <v>792</v>
      </c>
      <c r="L380">
        <v>2</v>
      </c>
    </row>
    <row r="381" spans="1:12" x14ac:dyDescent="0.25">
      <c r="A381" t="s">
        <v>4555</v>
      </c>
      <c r="B381" t="s">
        <v>2539</v>
      </c>
      <c r="C381">
        <v>10502</v>
      </c>
      <c r="D381" t="s">
        <v>187</v>
      </c>
      <c r="E381">
        <v>4</v>
      </c>
      <c r="F381" t="s">
        <v>872</v>
      </c>
      <c r="G381" t="s">
        <v>1268</v>
      </c>
      <c r="H381" t="s">
        <v>2540</v>
      </c>
      <c r="I381" t="s">
        <v>2541</v>
      </c>
      <c r="K381" t="s">
        <v>792</v>
      </c>
      <c r="L381">
        <v>2</v>
      </c>
    </row>
    <row r="382" spans="1:12" x14ac:dyDescent="0.25">
      <c r="A382" t="s">
        <v>4555</v>
      </c>
      <c r="B382" t="s">
        <v>2539</v>
      </c>
      <c r="C382">
        <v>10502</v>
      </c>
      <c r="D382" t="s">
        <v>187</v>
      </c>
      <c r="E382">
        <v>4</v>
      </c>
      <c r="F382" t="s">
        <v>873</v>
      </c>
      <c r="G382" t="s">
        <v>1340</v>
      </c>
      <c r="H382" t="s">
        <v>1292</v>
      </c>
      <c r="I382" t="s">
        <v>2542</v>
      </c>
      <c r="K382" t="s">
        <v>792</v>
      </c>
      <c r="L382">
        <v>2</v>
      </c>
    </row>
    <row r="383" spans="1:12" x14ac:dyDescent="0.25">
      <c r="A383" t="s">
        <v>4555</v>
      </c>
      <c r="B383" t="s">
        <v>2539</v>
      </c>
      <c r="C383">
        <v>10502</v>
      </c>
      <c r="D383" t="s">
        <v>187</v>
      </c>
      <c r="E383">
        <v>4</v>
      </c>
      <c r="F383" t="s">
        <v>961</v>
      </c>
      <c r="G383" t="s">
        <v>1332</v>
      </c>
      <c r="H383" t="s">
        <v>2543</v>
      </c>
      <c r="I383" t="s">
        <v>2544</v>
      </c>
      <c r="K383" t="s">
        <v>792</v>
      </c>
      <c r="L383">
        <v>2</v>
      </c>
    </row>
    <row r="384" spans="1:12" x14ac:dyDescent="0.25">
      <c r="A384" t="s">
        <v>4555</v>
      </c>
      <c r="B384" t="s">
        <v>2539</v>
      </c>
      <c r="C384">
        <v>10502</v>
      </c>
      <c r="D384" t="s">
        <v>187</v>
      </c>
      <c r="E384">
        <v>4</v>
      </c>
      <c r="F384" t="s">
        <v>965</v>
      </c>
      <c r="G384" t="s">
        <v>1413</v>
      </c>
      <c r="H384" t="s">
        <v>2545</v>
      </c>
      <c r="I384" t="s">
        <v>2388</v>
      </c>
      <c r="K384" t="s">
        <v>792</v>
      </c>
      <c r="L384">
        <v>2</v>
      </c>
    </row>
    <row r="385" spans="1:12" x14ac:dyDescent="0.25">
      <c r="A385" t="s">
        <v>4555</v>
      </c>
      <c r="B385" t="s">
        <v>2546</v>
      </c>
      <c r="C385">
        <v>10502</v>
      </c>
      <c r="D385" t="s">
        <v>187</v>
      </c>
      <c r="E385">
        <v>4</v>
      </c>
      <c r="F385" t="s">
        <v>816</v>
      </c>
      <c r="G385" t="s">
        <v>2246</v>
      </c>
      <c r="H385" t="s">
        <v>2547</v>
      </c>
      <c r="I385" t="s">
        <v>2548</v>
      </c>
      <c r="K385" t="s">
        <v>792</v>
      </c>
      <c r="L385">
        <v>2</v>
      </c>
    </row>
    <row r="386" spans="1:12" x14ac:dyDescent="0.25">
      <c r="A386" t="s">
        <v>4555</v>
      </c>
      <c r="B386" t="s">
        <v>2546</v>
      </c>
      <c r="C386">
        <v>10502</v>
      </c>
      <c r="D386" t="s">
        <v>187</v>
      </c>
      <c r="E386">
        <v>4</v>
      </c>
      <c r="F386" t="s">
        <v>816</v>
      </c>
      <c r="G386" t="s">
        <v>2246</v>
      </c>
      <c r="H386" t="s">
        <v>2549</v>
      </c>
      <c r="I386" t="s">
        <v>2550</v>
      </c>
      <c r="K386" t="s">
        <v>792</v>
      </c>
      <c r="L386">
        <v>2</v>
      </c>
    </row>
    <row r="387" spans="1:12" x14ac:dyDescent="0.25">
      <c r="A387" t="s">
        <v>4555</v>
      </c>
      <c r="B387" t="s">
        <v>2546</v>
      </c>
      <c r="C387">
        <v>10502</v>
      </c>
      <c r="D387" t="s">
        <v>187</v>
      </c>
      <c r="E387">
        <v>4</v>
      </c>
      <c r="F387" t="s">
        <v>1457</v>
      </c>
      <c r="G387" t="s">
        <v>2511</v>
      </c>
      <c r="H387" t="s">
        <v>2551</v>
      </c>
      <c r="I387" t="s">
        <v>2552</v>
      </c>
      <c r="K387" t="s">
        <v>792</v>
      </c>
      <c r="L387">
        <v>2</v>
      </c>
    </row>
    <row r="388" spans="1:12" x14ac:dyDescent="0.25">
      <c r="A388" t="s">
        <v>4555</v>
      </c>
      <c r="B388" t="s">
        <v>2553</v>
      </c>
      <c r="C388">
        <v>10502</v>
      </c>
      <c r="D388" t="s">
        <v>187</v>
      </c>
      <c r="E388">
        <v>4</v>
      </c>
      <c r="F388" t="s">
        <v>1448</v>
      </c>
      <c r="G388" t="s">
        <v>1724</v>
      </c>
      <c r="H388" t="s">
        <v>1295</v>
      </c>
      <c r="I388" t="s">
        <v>2554</v>
      </c>
      <c r="K388" t="s">
        <v>792</v>
      </c>
      <c r="L388">
        <v>2</v>
      </c>
    </row>
    <row r="389" spans="1:12" x14ac:dyDescent="0.25">
      <c r="A389" t="s">
        <v>4555</v>
      </c>
      <c r="B389" t="s">
        <v>2553</v>
      </c>
      <c r="C389">
        <v>10502</v>
      </c>
      <c r="D389" t="s">
        <v>187</v>
      </c>
      <c r="E389">
        <v>4</v>
      </c>
      <c r="F389" t="s">
        <v>2519</v>
      </c>
      <c r="G389" t="s">
        <v>2256</v>
      </c>
      <c r="H389" t="s">
        <v>2555</v>
      </c>
      <c r="I389" t="s">
        <v>2556</v>
      </c>
      <c r="K389" t="s">
        <v>792</v>
      </c>
      <c r="L389">
        <v>2</v>
      </c>
    </row>
    <row r="390" spans="1:12" x14ac:dyDescent="0.25">
      <c r="A390" t="s">
        <v>4555</v>
      </c>
      <c r="B390" t="s">
        <v>2553</v>
      </c>
      <c r="C390">
        <v>10502</v>
      </c>
      <c r="D390" t="s">
        <v>187</v>
      </c>
      <c r="E390">
        <v>4</v>
      </c>
      <c r="F390" t="s">
        <v>953</v>
      </c>
      <c r="G390" t="s">
        <v>1342</v>
      </c>
      <c r="H390" t="s">
        <v>2557</v>
      </c>
      <c r="I390" t="s">
        <v>2558</v>
      </c>
      <c r="K390" t="s">
        <v>792</v>
      </c>
      <c r="L390">
        <v>2</v>
      </c>
    </row>
    <row r="391" spans="1:12" x14ac:dyDescent="0.25">
      <c r="A391" t="s">
        <v>4555</v>
      </c>
      <c r="B391" t="s">
        <v>2559</v>
      </c>
      <c r="C391">
        <v>10502</v>
      </c>
      <c r="D391" t="s">
        <v>187</v>
      </c>
      <c r="E391">
        <v>4</v>
      </c>
      <c r="F391" t="s">
        <v>2522</v>
      </c>
      <c r="G391" t="s">
        <v>2483</v>
      </c>
      <c r="H391" t="s">
        <v>2560</v>
      </c>
      <c r="I391" t="s">
        <v>2561</v>
      </c>
      <c r="K391" t="s">
        <v>792</v>
      </c>
      <c r="L391">
        <v>2</v>
      </c>
    </row>
    <row r="392" spans="1:12" x14ac:dyDescent="0.25">
      <c r="A392" t="s">
        <v>4555</v>
      </c>
      <c r="B392" t="s">
        <v>2559</v>
      </c>
      <c r="C392">
        <v>10502</v>
      </c>
      <c r="D392" t="s">
        <v>187</v>
      </c>
      <c r="E392">
        <v>4</v>
      </c>
      <c r="F392" t="s">
        <v>874</v>
      </c>
      <c r="G392" t="s">
        <v>1402</v>
      </c>
      <c r="H392" t="s">
        <v>2562</v>
      </c>
      <c r="I392" t="s">
        <v>2563</v>
      </c>
      <c r="K392" t="s">
        <v>792</v>
      </c>
      <c r="L392">
        <v>2</v>
      </c>
    </row>
    <row r="393" spans="1:12" x14ac:dyDescent="0.25">
      <c r="A393" t="s">
        <v>4555</v>
      </c>
      <c r="B393" t="s">
        <v>2559</v>
      </c>
      <c r="C393">
        <v>10502</v>
      </c>
      <c r="D393" t="s">
        <v>187</v>
      </c>
      <c r="E393">
        <v>4</v>
      </c>
      <c r="F393" t="s">
        <v>871</v>
      </c>
      <c r="G393" t="s">
        <v>1334</v>
      </c>
      <c r="H393" t="s">
        <v>2564</v>
      </c>
      <c r="I393" t="s">
        <v>2565</v>
      </c>
      <c r="K393" t="s">
        <v>792</v>
      </c>
      <c r="L393">
        <v>2</v>
      </c>
    </row>
    <row r="394" spans="1:12" x14ac:dyDescent="0.25">
      <c r="A394" t="s">
        <v>4555</v>
      </c>
      <c r="B394" t="s">
        <v>2256</v>
      </c>
      <c r="C394">
        <v>10502</v>
      </c>
      <c r="D394" t="s">
        <v>187</v>
      </c>
      <c r="E394">
        <v>4</v>
      </c>
      <c r="F394" t="s">
        <v>1476</v>
      </c>
      <c r="G394" t="s">
        <v>2256</v>
      </c>
      <c r="H394" t="s">
        <v>2257</v>
      </c>
      <c r="I394" t="s">
        <v>2258</v>
      </c>
      <c r="K394" t="s">
        <v>792</v>
      </c>
      <c r="L394">
        <v>2</v>
      </c>
    </row>
    <row r="395" spans="1:12" x14ac:dyDescent="0.25">
      <c r="A395" t="s">
        <v>4555</v>
      </c>
      <c r="B395" t="s">
        <v>2256</v>
      </c>
      <c r="C395">
        <v>10502</v>
      </c>
      <c r="D395" t="s">
        <v>187</v>
      </c>
      <c r="E395">
        <v>4</v>
      </c>
      <c r="F395" t="s">
        <v>951</v>
      </c>
      <c r="G395" t="s">
        <v>2259</v>
      </c>
      <c r="H395" t="s">
        <v>2566</v>
      </c>
      <c r="I395" t="s">
        <v>2567</v>
      </c>
      <c r="K395" t="s">
        <v>1255</v>
      </c>
      <c r="L395">
        <v>1</v>
      </c>
    </row>
    <row r="396" spans="1:12" x14ac:dyDescent="0.25">
      <c r="A396" t="s">
        <v>4556</v>
      </c>
      <c r="B396" t="s">
        <v>1622</v>
      </c>
      <c r="C396">
        <v>10503</v>
      </c>
      <c r="D396" t="s">
        <v>164</v>
      </c>
      <c r="E396">
        <v>5</v>
      </c>
      <c r="F396" t="s">
        <v>1448</v>
      </c>
      <c r="G396" t="s">
        <v>1724</v>
      </c>
      <c r="H396" t="s">
        <v>2568</v>
      </c>
      <c r="I396" t="s">
        <v>2528</v>
      </c>
      <c r="K396" t="s">
        <v>792</v>
      </c>
      <c r="L396">
        <v>2</v>
      </c>
    </row>
    <row r="397" spans="1:12" x14ac:dyDescent="0.25">
      <c r="A397" t="s">
        <v>4556</v>
      </c>
      <c r="B397" t="s">
        <v>1622</v>
      </c>
      <c r="C397">
        <v>10503</v>
      </c>
      <c r="D397" t="s">
        <v>164</v>
      </c>
      <c r="E397">
        <v>5</v>
      </c>
      <c r="F397" t="s">
        <v>2207</v>
      </c>
      <c r="G397" t="s">
        <v>2210</v>
      </c>
      <c r="H397" t="s">
        <v>2569</v>
      </c>
      <c r="I397" t="s">
        <v>2570</v>
      </c>
      <c r="K397" t="s">
        <v>792</v>
      </c>
      <c r="L397">
        <v>2</v>
      </c>
    </row>
    <row r="398" spans="1:12" x14ac:dyDescent="0.25">
      <c r="A398" t="s">
        <v>4556</v>
      </c>
      <c r="B398" t="s">
        <v>1622</v>
      </c>
      <c r="C398">
        <v>10503</v>
      </c>
      <c r="D398" t="s">
        <v>164</v>
      </c>
      <c r="E398">
        <v>5</v>
      </c>
      <c r="F398" t="s">
        <v>871</v>
      </c>
      <c r="G398" t="s">
        <v>1266</v>
      </c>
      <c r="H398" t="s">
        <v>2571</v>
      </c>
      <c r="I398" t="s">
        <v>2572</v>
      </c>
      <c r="K398" t="s">
        <v>792</v>
      </c>
      <c r="L398">
        <v>2</v>
      </c>
    </row>
    <row r="399" spans="1:12" x14ac:dyDescent="0.25">
      <c r="A399" t="s">
        <v>4556</v>
      </c>
      <c r="B399" t="s">
        <v>1622</v>
      </c>
      <c r="C399">
        <v>10503</v>
      </c>
      <c r="D399" t="s">
        <v>164</v>
      </c>
      <c r="E399">
        <v>5</v>
      </c>
      <c r="F399" t="s">
        <v>2208</v>
      </c>
      <c r="G399" t="s">
        <v>2213</v>
      </c>
      <c r="H399" t="s">
        <v>2573</v>
      </c>
      <c r="I399" t="s">
        <v>2574</v>
      </c>
      <c r="K399" t="s">
        <v>792</v>
      </c>
      <c r="L399">
        <v>2</v>
      </c>
    </row>
    <row r="400" spans="1:12" x14ac:dyDescent="0.25">
      <c r="A400" t="s">
        <v>4556</v>
      </c>
      <c r="B400" t="s">
        <v>1622</v>
      </c>
      <c r="C400">
        <v>10503</v>
      </c>
      <c r="D400" t="s">
        <v>164</v>
      </c>
      <c r="E400">
        <v>5</v>
      </c>
      <c r="F400" t="s">
        <v>2215</v>
      </c>
      <c r="G400" t="s">
        <v>2494</v>
      </c>
      <c r="H400" t="s">
        <v>2575</v>
      </c>
      <c r="I400" t="s">
        <v>2496</v>
      </c>
      <c r="K400" t="s">
        <v>792</v>
      </c>
      <c r="L400">
        <v>2</v>
      </c>
    </row>
    <row r="401" spans="1:12" x14ac:dyDescent="0.25">
      <c r="A401" t="s">
        <v>4556</v>
      </c>
      <c r="B401" t="s">
        <v>1622</v>
      </c>
      <c r="C401">
        <v>10503</v>
      </c>
      <c r="D401" t="s">
        <v>164</v>
      </c>
      <c r="E401">
        <v>5</v>
      </c>
      <c r="F401" t="s">
        <v>874</v>
      </c>
      <c r="G401" t="s">
        <v>2217</v>
      </c>
      <c r="H401" t="s">
        <v>2537</v>
      </c>
      <c r="I401" t="s">
        <v>2576</v>
      </c>
      <c r="K401" t="s">
        <v>792</v>
      </c>
      <c r="L401">
        <v>2</v>
      </c>
    </row>
    <row r="402" spans="1:12" x14ac:dyDescent="0.25">
      <c r="A402" t="s">
        <v>4556</v>
      </c>
      <c r="B402" t="s">
        <v>2577</v>
      </c>
      <c r="C402">
        <v>10503</v>
      </c>
      <c r="D402" t="s">
        <v>164</v>
      </c>
      <c r="E402">
        <v>5</v>
      </c>
      <c r="F402" t="s">
        <v>872</v>
      </c>
      <c r="G402" t="s">
        <v>1268</v>
      </c>
      <c r="H402" t="s">
        <v>2578</v>
      </c>
      <c r="I402" t="s">
        <v>2579</v>
      </c>
      <c r="K402" t="s">
        <v>792</v>
      </c>
      <c r="L402">
        <v>2</v>
      </c>
    </row>
    <row r="403" spans="1:12" x14ac:dyDescent="0.25">
      <c r="A403" t="s">
        <v>4556</v>
      </c>
      <c r="B403" t="s">
        <v>2577</v>
      </c>
      <c r="C403">
        <v>10503</v>
      </c>
      <c r="D403" t="s">
        <v>164</v>
      </c>
      <c r="E403">
        <v>5</v>
      </c>
      <c r="F403" t="s">
        <v>872</v>
      </c>
      <c r="G403" t="s">
        <v>1268</v>
      </c>
      <c r="H403" t="s">
        <v>2580</v>
      </c>
      <c r="I403" t="s">
        <v>2581</v>
      </c>
      <c r="K403" t="s">
        <v>792</v>
      </c>
      <c r="L403">
        <v>2</v>
      </c>
    </row>
    <row r="404" spans="1:12" x14ac:dyDescent="0.25">
      <c r="A404" t="s">
        <v>4556</v>
      </c>
      <c r="B404" t="s">
        <v>2577</v>
      </c>
      <c r="C404">
        <v>10503</v>
      </c>
      <c r="D404" t="s">
        <v>164</v>
      </c>
      <c r="E404">
        <v>5</v>
      </c>
      <c r="F404" t="s">
        <v>2582</v>
      </c>
      <c r="G404" t="s">
        <v>1325</v>
      </c>
      <c r="H404" t="s">
        <v>2583</v>
      </c>
      <c r="I404" t="s">
        <v>885</v>
      </c>
      <c r="K404" t="s">
        <v>792</v>
      </c>
      <c r="L404">
        <v>2</v>
      </c>
    </row>
    <row r="405" spans="1:12" x14ac:dyDescent="0.25">
      <c r="A405" t="s">
        <v>4556</v>
      </c>
      <c r="B405" t="s">
        <v>2584</v>
      </c>
      <c r="C405">
        <v>10503</v>
      </c>
      <c r="D405" t="s">
        <v>164</v>
      </c>
      <c r="E405">
        <v>5</v>
      </c>
      <c r="F405" t="s">
        <v>1457</v>
      </c>
      <c r="G405" t="s">
        <v>2511</v>
      </c>
      <c r="H405" t="s">
        <v>2585</v>
      </c>
      <c r="I405" t="s">
        <v>2586</v>
      </c>
      <c r="K405" t="s">
        <v>792</v>
      </c>
      <c r="L405">
        <v>2</v>
      </c>
    </row>
    <row r="406" spans="1:12" x14ac:dyDescent="0.25">
      <c r="A406" t="s">
        <v>4556</v>
      </c>
      <c r="B406" t="s">
        <v>2584</v>
      </c>
      <c r="C406">
        <v>10503</v>
      </c>
      <c r="D406" t="s">
        <v>164</v>
      </c>
      <c r="E406">
        <v>5</v>
      </c>
      <c r="F406" t="s">
        <v>1457</v>
      </c>
      <c r="G406" t="s">
        <v>2511</v>
      </c>
      <c r="H406" t="s">
        <v>2587</v>
      </c>
      <c r="I406" t="s">
        <v>2588</v>
      </c>
      <c r="K406" t="s">
        <v>792</v>
      </c>
      <c r="L406">
        <v>2</v>
      </c>
    </row>
    <row r="407" spans="1:12" x14ac:dyDescent="0.25">
      <c r="A407" t="s">
        <v>4556</v>
      </c>
      <c r="B407" t="s">
        <v>2584</v>
      </c>
      <c r="C407">
        <v>10503</v>
      </c>
      <c r="D407" t="s">
        <v>164</v>
      </c>
      <c r="E407">
        <v>5</v>
      </c>
      <c r="F407" t="s">
        <v>1457</v>
      </c>
      <c r="G407" t="s">
        <v>2511</v>
      </c>
      <c r="H407" t="s">
        <v>2589</v>
      </c>
      <c r="I407" t="s">
        <v>2590</v>
      </c>
      <c r="K407" t="s">
        <v>792</v>
      </c>
      <c r="L407">
        <v>2</v>
      </c>
    </row>
    <row r="408" spans="1:12" x14ac:dyDescent="0.25">
      <c r="A408" t="s">
        <v>4556</v>
      </c>
      <c r="B408" t="s">
        <v>2591</v>
      </c>
      <c r="C408">
        <v>10503</v>
      </c>
      <c r="D408" t="s">
        <v>164</v>
      </c>
      <c r="E408">
        <v>5</v>
      </c>
      <c r="F408" t="s">
        <v>873</v>
      </c>
      <c r="G408" t="s">
        <v>1340</v>
      </c>
      <c r="H408" t="s">
        <v>2592</v>
      </c>
      <c r="I408" t="s">
        <v>2593</v>
      </c>
      <c r="K408" t="s">
        <v>792</v>
      </c>
      <c r="L408">
        <v>2</v>
      </c>
    </row>
    <row r="409" spans="1:12" x14ac:dyDescent="0.25">
      <c r="A409" t="s">
        <v>4556</v>
      </c>
      <c r="B409" t="s">
        <v>2591</v>
      </c>
      <c r="C409">
        <v>10503</v>
      </c>
      <c r="D409" t="s">
        <v>164</v>
      </c>
      <c r="E409">
        <v>5</v>
      </c>
      <c r="F409" t="s">
        <v>961</v>
      </c>
      <c r="G409" t="s">
        <v>1332</v>
      </c>
      <c r="H409" t="s">
        <v>2594</v>
      </c>
      <c r="I409" t="s">
        <v>2595</v>
      </c>
      <c r="K409" t="s">
        <v>792</v>
      </c>
      <c r="L409">
        <v>2</v>
      </c>
    </row>
    <row r="410" spans="1:12" x14ac:dyDescent="0.25">
      <c r="A410" t="s">
        <v>4556</v>
      </c>
      <c r="B410" t="s">
        <v>2591</v>
      </c>
      <c r="C410">
        <v>10503</v>
      </c>
      <c r="D410" t="s">
        <v>164</v>
      </c>
      <c r="E410">
        <v>5</v>
      </c>
      <c r="F410" t="s">
        <v>965</v>
      </c>
      <c r="G410" t="s">
        <v>1413</v>
      </c>
      <c r="H410" t="s">
        <v>2596</v>
      </c>
      <c r="I410" t="s">
        <v>2597</v>
      </c>
      <c r="K410" t="s">
        <v>792</v>
      </c>
      <c r="L410">
        <v>2</v>
      </c>
    </row>
    <row r="411" spans="1:12" x14ac:dyDescent="0.25">
      <c r="A411" t="s">
        <v>4556</v>
      </c>
      <c r="B411" t="s">
        <v>2598</v>
      </c>
      <c r="C411">
        <v>10503</v>
      </c>
      <c r="D411" t="s">
        <v>164</v>
      </c>
      <c r="E411">
        <v>5</v>
      </c>
      <c r="F411" t="s">
        <v>2522</v>
      </c>
      <c r="G411" t="s">
        <v>2483</v>
      </c>
      <c r="H411" t="s">
        <v>2599</v>
      </c>
      <c r="I411" t="s">
        <v>942</v>
      </c>
      <c r="K411" t="s">
        <v>792</v>
      </c>
      <c r="L411">
        <v>2</v>
      </c>
    </row>
    <row r="412" spans="1:12" x14ac:dyDescent="0.25">
      <c r="A412" t="s">
        <v>4556</v>
      </c>
      <c r="B412" t="s">
        <v>2598</v>
      </c>
      <c r="C412">
        <v>10503</v>
      </c>
      <c r="D412" t="s">
        <v>164</v>
      </c>
      <c r="E412">
        <v>5</v>
      </c>
      <c r="F412" t="s">
        <v>874</v>
      </c>
      <c r="G412" t="s">
        <v>1402</v>
      </c>
      <c r="H412" t="s">
        <v>2600</v>
      </c>
      <c r="I412" t="s">
        <v>2563</v>
      </c>
      <c r="K412" t="s">
        <v>792</v>
      </c>
      <c r="L412">
        <v>2</v>
      </c>
    </row>
    <row r="413" spans="1:12" x14ac:dyDescent="0.25">
      <c r="A413" t="s">
        <v>4556</v>
      </c>
      <c r="B413" t="s">
        <v>2598</v>
      </c>
      <c r="C413">
        <v>10503</v>
      </c>
      <c r="D413" t="s">
        <v>164</v>
      </c>
      <c r="E413">
        <v>5</v>
      </c>
      <c r="F413" t="s">
        <v>947</v>
      </c>
      <c r="G413" t="s">
        <v>1354</v>
      </c>
      <c r="H413" t="s">
        <v>2601</v>
      </c>
      <c r="I413" t="s">
        <v>2602</v>
      </c>
      <c r="K413" t="s">
        <v>792</v>
      </c>
      <c r="L413">
        <v>2</v>
      </c>
    </row>
    <row r="414" spans="1:12" x14ac:dyDescent="0.25">
      <c r="A414" t="s">
        <v>4556</v>
      </c>
      <c r="B414" t="s">
        <v>2603</v>
      </c>
      <c r="C414">
        <v>10503</v>
      </c>
      <c r="D414" t="s">
        <v>164</v>
      </c>
      <c r="E414">
        <v>5</v>
      </c>
      <c r="F414" t="s">
        <v>2519</v>
      </c>
      <c r="G414" t="s">
        <v>2256</v>
      </c>
      <c r="H414" t="s">
        <v>2604</v>
      </c>
      <c r="I414" t="s">
        <v>2567</v>
      </c>
      <c r="K414" t="s">
        <v>792</v>
      </c>
      <c r="L414">
        <v>2</v>
      </c>
    </row>
    <row r="415" spans="1:12" x14ac:dyDescent="0.25">
      <c r="A415" t="s">
        <v>4556</v>
      </c>
      <c r="B415" t="s">
        <v>2603</v>
      </c>
      <c r="C415">
        <v>10503</v>
      </c>
      <c r="D415" t="s">
        <v>164</v>
      </c>
      <c r="E415">
        <v>5</v>
      </c>
      <c r="F415" t="s">
        <v>953</v>
      </c>
      <c r="G415" t="s">
        <v>1342</v>
      </c>
      <c r="H415" t="s">
        <v>2605</v>
      </c>
      <c r="I415" t="s">
        <v>2606</v>
      </c>
      <c r="K415" t="s">
        <v>792</v>
      </c>
      <c r="L415">
        <v>2</v>
      </c>
    </row>
    <row r="416" spans="1:12" x14ac:dyDescent="0.25">
      <c r="A416" t="s">
        <v>4556</v>
      </c>
      <c r="B416" t="s">
        <v>2603</v>
      </c>
      <c r="C416">
        <v>10503</v>
      </c>
      <c r="D416" t="s">
        <v>164</v>
      </c>
      <c r="E416">
        <v>5</v>
      </c>
      <c r="F416" t="s">
        <v>1476</v>
      </c>
      <c r="G416" t="s">
        <v>2256</v>
      </c>
      <c r="H416" t="s">
        <v>2257</v>
      </c>
      <c r="I416" t="s">
        <v>2313</v>
      </c>
      <c r="K416" t="s">
        <v>792</v>
      </c>
      <c r="L416">
        <v>2</v>
      </c>
    </row>
    <row r="417" spans="1:12" x14ac:dyDescent="0.25">
      <c r="A417" t="s">
        <v>4556</v>
      </c>
      <c r="B417" t="s">
        <v>2603</v>
      </c>
      <c r="C417">
        <v>10503</v>
      </c>
      <c r="D417" t="s">
        <v>164</v>
      </c>
      <c r="E417">
        <v>5</v>
      </c>
      <c r="F417" t="s">
        <v>951</v>
      </c>
      <c r="G417" t="s">
        <v>2259</v>
      </c>
      <c r="H417" t="s">
        <v>2607</v>
      </c>
      <c r="I417" t="s">
        <v>2608</v>
      </c>
      <c r="K417" t="s">
        <v>1255</v>
      </c>
      <c r="L417">
        <v>1</v>
      </c>
    </row>
    <row r="418" spans="1:12" x14ac:dyDescent="0.25">
      <c r="A418" t="s">
        <v>4557</v>
      </c>
      <c r="B418" t="s">
        <v>1622</v>
      </c>
      <c r="C418">
        <v>10401</v>
      </c>
      <c r="D418" t="s">
        <v>184</v>
      </c>
      <c r="E418">
        <v>4</v>
      </c>
      <c r="F418" t="s">
        <v>1448</v>
      </c>
      <c r="G418" t="s">
        <v>1724</v>
      </c>
      <c r="H418" t="s">
        <v>2609</v>
      </c>
      <c r="I418" t="s">
        <v>2610</v>
      </c>
      <c r="K418" t="s">
        <v>792</v>
      </c>
      <c r="L418">
        <v>2</v>
      </c>
    </row>
    <row r="419" spans="1:12" x14ac:dyDescent="0.25">
      <c r="A419" t="s">
        <v>4557</v>
      </c>
      <c r="B419" t="s">
        <v>1622</v>
      </c>
      <c r="C419">
        <v>10401</v>
      </c>
      <c r="D419" t="s">
        <v>184</v>
      </c>
      <c r="E419">
        <v>4</v>
      </c>
      <c r="F419" t="s">
        <v>2207</v>
      </c>
      <c r="G419" t="s">
        <v>2210</v>
      </c>
      <c r="H419" t="s">
        <v>2611</v>
      </c>
      <c r="I419" t="s">
        <v>2612</v>
      </c>
      <c r="K419" t="s">
        <v>792</v>
      </c>
      <c r="L419">
        <v>2</v>
      </c>
    </row>
    <row r="420" spans="1:12" x14ac:dyDescent="0.25">
      <c r="A420" t="s">
        <v>4557</v>
      </c>
      <c r="B420" t="s">
        <v>1622</v>
      </c>
      <c r="C420">
        <v>10401</v>
      </c>
      <c r="D420" t="s">
        <v>184</v>
      </c>
      <c r="E420">
        <v>4</v>
      </c>
      <c r="F420" t="s">
        <v>871</v>
      </c>
      <c r="G420" t="s">
        <v>1266</v>
      </c>
      <c r="H420" t="s">
        <v>2613</v>
      </c>
      <c r="I420" t="s">
        <v>2614</v>
      </c>
      <c r="K420" t="s">
        <v>792</v>
      </c>
      <c r="L420">
        <v>2</v>
      </c>
    </row>
    <row r="421" spans="1:12" x14ac:dyDescent="0.25">
      <c r="A421" t="s">
        <v>4557</v>
      </c>
      <c r="B421" t="s">
        <v>1622</v>
      </c>
      <c r="C421">
        <v>10401</v>
      </c>
      <c r="D421" t="s">
        <v>184</v>
      </c>
      <c r="E421">
        <v>4</v>
      </c>
      <c r="F421" t="s">
        <v>1392</v>
      </c>
      <c r="G421" t="s">
        <v>2615</v>
      </c>
      <c r="H421" t="s">
        <v>2616</v>
      </c>
      <c r="I421" t="s">
        <v>2617</v>
      </c>
      <c r="K421" t="s">
        <v>792</v>
      </c>
      <c r="L421">
        <v>2</v>
      </c>
    </row>
    <row r="422" spans="1:12" x14ac:dyDescent="0.25">
      <c r="A422" t="s">
        <v>4557</v>
      </c>
      <c r="B422" t="s">
        <v>1622</v>
      </c>
      <c r="C422">
        <v>10401</v>
      </c>
      <c r="D422" t="s">
        <v>184</v>
      </c>
      <c r="E422">
        <v>4</v>
      </c>
      <c r="F422" t="s">
        <v>2208</v>
      </c>
      <c r="G422" t="s">
        <v>2213</v>
      </c>
      <c r="H422" t="s">
        <v>2492</v>
      </c>
      <c r="I422" t="s">
        <v>2618</v>
      </c>
      <c r="K422" t="s">
        <v>792</v>
      </c>
      <c r="L422">
        <v>2</v>
      </c>
    </row>
    <row r="423" spans="1:12" x14ac:dyDescent="0.25">
      <c r="A423" t="s">
        <v>4557</v>
      </c>
      <c r="B423" t="s">
        <v>1622</v>
      </c>
      <c r="C423">
        <v>10401</v>
      </c>
      <c r="D423" t="s">
        <v>184</v>
      </c>
      <c r="E423">
        <v>4</v>
      </c>
      <c r="F423" t="s">
        <v>872</v>
      </c>
      <c r="G423" t="s">
        <v>1268</v>
      </c>
      <c r="H423" t="s">
        <v>2619</v>
      </c>
      <c r="I423" t="s">
        <v>2620</v>
      </c>
      <c r="K423" t="s">
        <v>792</v>
      </c>
      <c r="L423">
        <v>2</v>
      </c>
    </row>
    <row r="424" spans="1:12" x14ac:dyDescent="0.25">
      <c r="A424" t="s">
        <v>4557</v>
      </c>
      <c r="B424" t="s">
        <v>2621</v>
      </c>
      <c r="C424">
        <v>10401</v>
      </c>
      <c r="D424" t="s">
        <v>184</v>
      </c>
      <c r="E424">
        <v>4</v>
      </c>
      <c r="F424" t="s">
        <v>1448</v>
      </c>
      <c r="G424" t="s">
        <v>2621</v>
      </c>
      <c r="H424" t="s">
        <v>2622</v>
      </c>
      <c r="I424" t="s">
        <v>2623</v>
      </c>
      <c r="K424" t="s">
        <v>792</v>
      </c>
      <c r="L424">
        <v>2</v>
      </c>
    </row>
    <row r="425" spans="1:12" x14ac:dyDescent="0.25">
      <c r="A425" t="s">
        <v>4557</v>
      </c>
      <c r="B425" t="s">
        <v>2621</v>
      </c>
      <c r="C425">
        <v>10401</v>
      </c>
      <c r="D425" t="s">
        <v>184</v>
      </c>
      <c r="E425">
        <v>4</v>
      </c>
      <c r="F425" t="s">
        <v>1448</v>
      </c>
      <c r="G425" t="s">
        <v>2621</v>
      </c>
      <c r="H425" t="s">
        <v>2624</v>
      </c>
      <c r="I425" t="s">
        <v>2516</v>
      </c>
      <c r="K425" t="s">
        <v>792</v>
      </c>
      <c r="L425">
        <v>2</v>
      </c>
    </row>
    <row r="426" spans="1:12" x14ac:dyDescent="0.25">
      <c r="A426" t="s">
        <v>4557</v>
      </c>
      <c r="B426" t="s">
        <v>2621</v>
      </c>
      <c r="C426">
        <v>10401</v>
      </c>
      <c r="D426" t="s">
        <v>184</v>
      </c>
      <c r="E426">
        <v>4</v>
      </c>
      <c r="F426" t="s">
        <v>1448</v>
      </c>
      <c r="G426" t="s">
        <v>2621</v>
      </c>
      <c r="H426" t="s">
        <v>2625</v>
      </c>
      <c r="I426" t="s">
        <v>2626</v>
      </c>
      <c r="K426" t="s">
        <v>792</v>
      </c>
      <c r="L426">
        <v>2</v>
      </c>
    </row>
    <row r="427" spans="1:12" x14ac:dyDescent="0.25">
      <c r="A427" t="s">
        <v>4557</v>
      </c>
      <c r="B427" t="s">
        <v>2627</v>
      </c>
      <c r="C427">
        <v>10401</v>
      </c>
      <c r="D427" t="s">
        <v>184</v>
      </c>
      <c r="E427">
        <v>4</v>
      </c>
      <c r="F427" t="s">
        <v>816</v>
      </c>
      <c r="G427" t="s">
        <v>2628</v>
      </c>
      <c r="H427" t="s">
        <v>2629</v>
      </c>
      <c r="I427" t="s">
        <v>2630</v>
      </c>
      <c r="K427" t="s">
        <v>792</v>
      </c>
      <c r="L427">
        <v>2</v>
      </c>
    </row>
    <row r="428" spans="1:12" x14ac:dyDescent="0.25">
      <c r="A428" t="s">
        <v>4557</v>
      </c>
      <c r="B428" t="s">
        <v>2627</v>
      </c>
      <c r="C428">
        <v>10401</v>
      </c>
      <c r="D428" t="s">
        <v>184</v>
      </c>
      <c r="E428">
        <v>4</v>
      </c>
      <c r="F428" t="s">
        <v>816</v>
      </c>
      <c r="G428" t="s">
        <v>2628</v>
      </c>
      <c r="H428" t="s">
        <v>2631</v>
      </c>
      <c r="I428" t="s">
        <v>2632</v>
      </c>
      <c r="K428" t="s">
        <v>792</v>
      </c>
      <c r="L428">
        <v>2</v>
      </c>
    </row>
    <row r="429" spans="1:12" x14ac:dyDescent="0.25">
      <c r="A429" t="s">
        <v>4557</v>
      </c>
      <c r="B429" t="s">
        <v>2627</v>
      </c>
      <c r="C429">
        <v>10401</v>
      </c>
      <c r="D429" t="s">
        <v>184</v>
      </c>
      <c r="E429">
        <v>4</v>
      </c>
      <c r="F429" t="s">
        <v>1394</v>
      </c>
      <c r="G429" t="s">
        <v>2633</v>
      </c>
      <c r="H429" t="s">
        <v>2634</v>
      </c>
      <c r="I429" t="s">
        <v>2635</v>
      </c>
      <c r="K429" t="s">
        <v>792</v>
      </c>
      <c r="L429">
        <v>2</v>
      </c>
    </row>
    <row r="430" spans="1:12" x14ac:dyDescent="0.25">
      <c r="A430" t="s">
        <v>4557</v>
      </c>
      <c r="B430" t="s">
        <v>2627</v>
      </c>
      <c r="C430">
        <v>10401</v>
      </c>
      <c r="D430" t="s">
        <v>184</v>
      </c>
      <c r="E430">
        <v>4</v>
      </c>
      <c r="F430" t="s">
        <v>1457</v>
      </c>
      <c r="G430" t="s">
        <v>2636</v>
      </c>
      <c r="H430" t="s">
        <v>2637</v>
      </c>
      <c r="I430" t="s">
        <v>2638</v>
      </c>
      <c r="K430" t="s">
        <v>792</v>
      </c>
      <c r="L430">
        <v>2</v>
      </c>
    </row>
    <row r="431" spans="1:12" x14ac:dyDescent="0.25">
      <c r="A431" t="s">
        <v>4557</v>
      </c>
      <c r="B431" t="s">
        <v>2639</v>
      </c>
      <c r="C431">
        <v>10401</v>
      </c>
      <c r="D431" t="s">
        <v>184</v>
      </c>
      <c r="E431">
        <v>4</v>
      </c>
      <c r="F431" t="s">
        <v>947</v>
      </c>
      <c r="G431" t="s">
        <v>1354</v>
      </c>
      <c r="H431" t="s">
        <v>2640</v>
      </c>
      <c r="I431" t="s">
        <v>2641</v>
      </c>
      <c r="K431" t="s">
        <v>792</v>
      </c>
      <c r="L431">
        <v>2</v>
      </c>
    </row>
    <row r="432" spans="1:12" x14ac:dyDescent="0.25">
      <c r="A432" t="s">
        <v>4557</v>
      </c>
      <c r="B432" t="s">
        <v>2639</v>
      </c>
      <c r="C432">
        <v>10401</v>
      </c>
      <c r="D432" t="s">
        <v>184</v>
      </c>
      <c r="E432">
        <v>4</v>
      </c>
      <c r="F432" t="s">
        <v>947</v>
      </c>
      <c r="G432" t="s">
        <v>1354</v>
      </c>
      <c r="H432" t="s">
        <v>2642</v>
      </c>
      <c r="I432" t="s">
        <v>2643</v>
      </c>
      <c r="K432" t="s">
        <v>792</v>
      </c>
      <c r="L432">
        <v>2</v>
      </c>
    </row>
    <row r="433" spans="1:12" x14ac:dyDescent="0.25">
      <c r="A433" t="s">
        <v>4557</v>
      </c>
      <c r="B433" t="s">
        <v>2639</v>
      </c>
      <c r="C433">
        <v>10401</v>
      </c>
      <c r="D433" t="s">
        <v>184</v>
      </c>
      <c r="E433">
        <v>4</v>
      </c>
      <c r="F433" t="s">
        <v>947</v>
      </c>
      <c r="G433" t="s">
        <v>1354</v>
      </c>
      <c r="H433" t="s">
        <v>2644</v>
      </c>
      <c r="I433" t="s">
        <v>2645</v>
      </c>
      <c r="K433" t="s">
        <v>792</v>
      </c>
      <c r="L433">
        <v>2</v>
      </c>
    </row>
    <row r="434" spans="1:12" x14ac:dyDescent="0.25">
      <c r="A434" t="s">
        <v>4557</v>
      </c>
      <c r="B434" t="s">
        <v>2639</v>
      </c>
      <c r="C434">
        <v>10401</v>
      </c>
      <c r="D434" t="s">
        <v>184</v>
      </c>
      <c r="E434">
        <v>4</v>
      </c>
      <c r="F434" t="s">
        <v>947</v>
      </c>
      <c r="G434" t="s">
        <v>1354</v>
      </c>
      <c r="H434" t="s">
        <v>2646</v>
      </c>
      <c r="I434" t="s">
        <v>1426</v>
      </c>
      <c r="K434" t="s">
        <v>792</v>
      </c>
      <c r="L434">
        <v>2</v>
      </c>
    </row>
    <row r="435" spans="1:12" x14ac:dyDescent="0.25">
      <c r="A435" t="s">
        <v>4557</v>
      </c>
      <c r="B435" t="s">
        <v>2647</v>
      </c>
      <c r="C435">
        <v>10401</v>
      </c>
      <c r="D435" t="s">
        <v>184</v>
      </c>
      <c r="E435">
        <v>4</v>
      </c>
      <c r="F435" t="s">
        <v>1392</v>
      </c>
      <c r="G435" t="s">
        <v>2615</v>
      </c>
      <c r="H435" t="s">
        <v>2648</v>
      </c>
      <c r="I435" t="s">
        <v>2649</v>
      </c>
      <c r="K435" t="s">
        <v>792</v>
      </c>
      <c r="L435">
        <v>2</v>
      </c>
    </row>
    <row r="436" spans="1:12" x14ac:dyDescent="0.25">
      <c r="A436" t="s">
        <v>4557</v>
      </c>
      <c r="B436" t="s">
        <v>2647</v>
      </c>
      <c r="C436">
        <v>10401</v>
      </c>
      <c r="D436" t="s">
        <v>184</v>
      </c>
      <c r="E436">
        <v>4</v>
      </c>
      <c r="F436" t="s">
        <v>2650</v>
      </c>
      <c r="G436" t="s">
        <v>2651</v>
      </c>
      <c r="H436" t="s">
        <v>2652</v>
      </c>
      <c r="I436" t="s">
        <v>2653</v>
      </c>
      <c r="K436" t="s">
        <v>792</v>
      </c>
      <c r="L436">
        <v>2</v>
      </c>
    </row>
    <row r="437" spans="1:12" x14ac:dyDescent="0.25">
      <c r="A437" t="s">
        <v>4557</v>
      </c>
      <c r="B437" t="s">
        <v>2647</v>
      </c>
      <c r="C437">
        <v>10401</v>
      </c>
      <c r="D437" t="s">
        <v>184</v>
      </c>
      <c r="E437">
        <v>4</v>
      </c>
      <c r="F437" t="s">
        <v>2654</v>
      </c>
      <c r="G437" t="s">
        <v>2480</v>
      </c>
      <c r="H437" t="s">
        <v>2655</v>
      </c>
      <c r="I437" t="s">
        <v>2656</v>
      </c>
      <c r="K437" t="s">
        <v>792</v>
      </c>
      <c r="L437">
        <v>2</v>
      </c>
    </row>
    <row r="438" spans="1:12" x14ac:dyDescent="0.25">
      <c r="A438" t="s">
        <v>4557</v>
      </c>
      <c r="B438" t="s">
        <v>2647</v>
      </c>
      <c r="C438">
        <v>10401</v>
      </c>
      <c r="D438" t="s">
        <v>184</v>
      </c>
      <c r="E438">
        <v>4</v>
      </c>
      <c r="F438" t="s">
        <v>873</v>
      </c>
      <c r="G438" t="s">
        <v>1340</v>
      </c>
      <c r="H438" t="s">
        <v>2657</v>
      </c>
      <c r="I438" t="s">
        <v>2658</v>
      </c>
      <c r="K438" t="s">
        <v>792</v>
      </c>
      <c r="L438">
        <v>2</v>
      </c>
    </row>
    <row r="439" spans="1:12" x14ac:dyDescent="0.25">
      <c r="A439" t="s">
        <v>4557</v>
      </c>
      <c r="B439" t="s">
        <v>2659</v>
      </c>
      <c r="C439">
        <v>10401</v>
      </c>
      <c r="D439" t="s">
        <v>184</v>
      </c>
      <c r="E439">
        <v>4</v>
      </c>
      <c r="F439" t="s">
        <v>874</v>
      </c>
      <c r="G439" t="s">
        <v>1402</v>
      </c>
      <c r="H439" t="s">
        <v>2660</v>
      </c>
      <c r="I439" t="s">
        <v>2661</v>
      </c>
      <c r="K439" t="s">
        <v>792</v>
      </c>
      <c r="L439">
        <v>2</v>
      </c>
    </row>
    <row r="440" spans="1:12" x14ac:dyDescent="0.25">
      <c r="A440" t="s">
        <v>4557</v>
      </c>
      <c r="B440" t="s">
        <v>2659</v>
      </c>
      <c r="C440">
        <v>10401</v>
      </c>
      <c r="D440" t="s">
        <v>184</v>
      </c>
      <c r="E440">
        <v>4</v>
      </c>
      <c r="F440" t="s">
        <v>2522</v>
      </c>
      <c r="G440" t="s">
        <v>2483</v>
      </c>
      <c r="H440" t="s">
        <v>2484</v>
      </c>
      <c r="I440" t="s">
        <v>2662</v>
      </c>
      <c r="K440" t="s">
        <v>792</v>
      </c>
      <c r="L440">
        <v>2</v>
      </c>
    </row>
    <row r="441" spans="1:12" x14ac:dyDescent="0.25">
      <c r="A441" t="s">
        <v>4557</v>
      </c>
      <c r="B441" t="s">
        <v>2659</v>
      </c>
      <c r="C441">
        <v>10401</v>
      </c>
      <c r="D441" t="s">
        <v>184</v>
      </c>
      <c r="E441">
        <v>4</v>
      </c>
      <c r="F441" t="s">
        <v>2582</v>
      </c>
      <c r="G441" t="s">
        <v>1325</v>
      </c>
      <c r="H441" t="s">
        <v>2663</v>
      </c>
      <c r="I441" t="s">
        <v>2664</v>
      </c>
      <c r="K441" t="s">
        <v>792</v>
      </c>
      <c r="L441">
        <v>2</v>
      </c>
    </row>
    <row r="442" spans="1:12" x14ac:dyDescent="0.25">
      <c r="A442" t="s">
        <v>4557</v>
      </c>
      <c r="B442" t="s">
        <v>2659</v>
      </c>
      <c r="C442">
        <v>10401</v>
      </c>
      <c r="D442" t="s">
        <v>184</v>
      </c>
      <c r="E442">
        <v>4</v>
      </c>
      <c r="F442" t="s">
        <v>2665</v>
      </c>
      <c r="G442" t="s">
        <v>2666</v>
      </c>
      <c r="H442" t="s">
        <v>2667</v>
      </c>
      <c r="I442" t="s">
        <v>2668</v>
      </c>
      <c r="K442" t="s">
        <v>792</v>
      </c>
      <c r="L442">
        <v>2</v>
      </c>
    </row>
    <row r="443" spans="1:12" x14ac:dyDescent="0.25">
      <c r="A443" t="s">
        <v>4557</v>
      </c>
      <c r="B443" t="s">
        <v>2669</v>
      </c>
      <c r="C443">
        <v>10401</v>
      </c>
      <c r="D443" t="s">
        <v>184</v>
      </c>
      <c r="E443">
        <v>4</v>
      </c>
      <c r="F443" t="s">
        <v>1415</v>
      </c>
      <c r="G443" t="s">
        <v>2670</v>
      </c>
      <c r="H443" t="s">
        <v>2671</v>
      </c>
      <c r="I443" t="s">
        <v>2672</v>
      </c>
      <c r="K443" t="s">
        <v>792</v>
      </c>
      <c r="L443">
        <v>2</v>
      </c>
    </row>
    <row r="444" spans="1:12" x14ac:dyDescent="0.25">
      <c r="A444" t="s">
        <v>4557</v>
      </c>
      <c r="B444" t="s">
        <v>2669</v>
      </c>
      <c r="C444">
        <v>10401</v>
      </c>
      <c r="D444" t="s">
        <v>184</v>
      </c>
      <c r="E444">
        <v>4</v>
      </c>
      <c r="F444" t="s">
        <v>961</v>
      </c>
      <c r="G444" t="s">
        <v>1332</v>
      </c>
      <c r="H444" t="s">
        <v>2673</v>
      </c>
      <c r="I444" t="s">
        <v>1412</v>
      </c>
      <c r="K444" t="s">
        <v>792</v>
      </c>
      <c r="L444">
        <v>2</v>
      </c>
    </row>
    <row r="445" spans="1:12" x14ac:dyDescent="0.25">
      <c r="A445" t="s">
        <v>4557</v>
      </c>
      <c r="B445" t="s">
        <v>2669</v>
      </c>
      <c r="C445">
        <v>10401</v>
      </c>
      <c r="D445" t="s">
        <v>184</v>
      </c>
      <c r="E445">
        <v>4</v>
      </c>
      <c r="F445" t="s">
        <v>873</v>
      </c>
      <c r="G445" t="s">
        <v>1340</v>
      </c>
      <c r="H445" t="s">
        <v>2674</v>
      </c>
      <c r="I445" t="s">
        <v>2675</v>
      </c>
      <c r="K445" t="s">
        <v>792</v>
      </c>
      <c r="L445">
        <v>2</v>
      </c>
    </row>
    <row r="446" spans="1:12" x14ac:dyDescent="0.25">
      <c r="A446" t="s">
        <v>4557</v>
      </c>
      <c r="B446" t="s">
        <v>2676</v>
      </c>
      <c r="C446">
        <v>10401</v>
      </c>
      <c r="D446" t="s">
        <v>184</v>
      </c>
      <c r="E446">
        <v>4</v>
      </c>
      <c r="F446" t="s">
        <v>953</v>
      </c>
      <c r="G446" t="s">
        <v>1342</v>
      </c>
      <c r="H446" t="s">
        <v>2677</v>
      </c>
      <c r="I446" t="s">
        <v>2678</v>
      </c>
      <c r="K446" t="s">
        <v>792</v>
      </c>
      <c r="L446">
        <v>2</v>
      </c>
    </row>
    <row r="447" spans="1:12" x14ac:dyDescent="0.25">
      <c r="A447" t="s">
        <v>4557</v>
      </c>
      <c r="B447" t="s">
        <v>2676</v>
      </c>
      <c r="C447">
        <v>10401</v>
      </c>
      <c r="D447" t="s">
        <v>184</v>
      </c>
      <c r="E447">
        <v>4</v>
      </c>
      <c r="F447" t="s">
        <v>1476</v>
      </c>
      <c r="G447" t="s">
        <v>2256</v>
      </c>
      <c r="H447" t="s">
        <v>2679</v>
      </c>
      <c r="I447" t="s">
        <v>2521</v>
      </c>
      <c r="K447" t="s">
        <v>792</v>
      </c>
      <c r="L447">
        <v>2</v>
      </c>
    </row>
    <row r="448" spans="1:12" x14ac:dyDescent="0.25">
      <c r="A448" t="s">
        <v>4557</v>
      </c>
      <c r="B448" t="s">
        <v>2676</v>
      </c>
      <c r="C448">
        <v>10401</v>
      </c>
      <c r="D448" t="s">
        <v>184</v>
      </c>
      <c r="E448">
        <v>4</v>
      </c>
      <c r="F448" t="s">
        <v>951</v>
      </c>
      <c r="G448" t="s">
        <v>2259</v>
      </c>
      <c r="H448" t="s">
        <v>2680</v>
      </c>
      <c r="I448" t="s">
        <v>2681</v>
      </c>
      <c r="K448" t="s">
        <v>1255</v>
      </c>
      <c r="L448">
        <v>1</v>
      </c>
    </row>
    <row r="449" spans="1:12" x14ac:dyDescent="0.25">
      <c r="A449" t="s">
        <v>4558</v>
      </c>
      <c r="B449" t="s">
        <v>1622</v>
      </c>
      <c r="C449">
        <v>10402</v>
      </c>
      <c r="D449" t="s">
        <v>458</v>
      </c>
      <c r="E449">
        <v>5</v>
      </c>
      <c r="F449" t="s">
        <v>1448</v>
      </c>
      <c r="G449" t="s">
        <v>1724</v>
      </c>
      <c r="H449" t="s">
        <v>2682</v>
      </c>
      <c r="I449" t="s">
        <v>2528</v>
      </c>
      <c r="K449" t="s">
        <v>792</v>
      </c>
      <c r="L449">
        <v>2</v>
      </c>
    </row>
    <row r="450" spans="1:12" x14ac:dyDescent="0.25">
      <c r="A450" t="s">
        <v>4558</v>
      </c>
      <c r="B450" t="s">
        <v>1622</v>
      </c>
      <c r="C450">
        <v>10402</v>
      </c>
      <c r="D450" t="s">
        <v>458</v>
      </c>
      <c r="E450">
        <v>5</v>
      </c>
      <c r="F450" t="s">
        <v>2207</v>
      </c>
      <c r="G450" t="s">
        <v>2210</v>
      </c>
      <c r="H450" t="s">
        <v>2683</v>
      </c>
      <c r="I450" t="s">
        <v>2684</v>
      </c>
      <c r="K450" t="s">
        <v>792</v>
      </c>
      <c r="L450">
        <v>2</v>
      </c>
    </row>
    <row r="451" spans="1:12" x14ac:dyDescent="0.25">
      <c r="A451" t="s">
        <v>4558</v>
      </c>
      <c r="B451" t="s">
        <v>1622</v>
      </c>
      <c r="C451">
        <v>10402</v>
      </c>
      <c r="D451" t="s">
        <v>458</v>
      </c>
      <c r="E451">
        <v>5</v>
      </c>
      <c r="F451" t="s">
        <v>871</v>
      </c>
      <c r="G451" t="s">
        <v>1266</v>
      </c>
      <c r="H451" t="s">
        <v>2685</v>
      </c>
      <c r="I451" t="s">
        <v>2686</v>
      </c>
      <c r="K451" t="s">
        <v>792</v>
      </c>
      <c r="L451">
        <v>2</v>
      </c>
    </row>
    <row r="452" spans="1:12" x14ac:dyDescent="0.25">
      <c r="A452" t="s">
        <v>4558</v>
      </c>
      <c r="B452" t="s">
        <v>1622</v>
      </c>
      <c r="C452">
        <v>10402</v>
      </c>
      <c r="D452" t="s">
        <v>458</v>
      </c>
      <c r="E452">
        <v>5</v>
      </c>
      <c r="F452" t="s">
        <v>2208</v>
      </c>
      <c r="G452" t="s">
        <v>2213</v>
      </c>
      <c r="H452" t="s">
        <v>2687</v>
      </c>
      <c r="I452" t="s">
        <v>2688</v>
      </c>
      <c r="K452" t="s">
        <v>792</v>
      </c>
      <c r="L452">
        <v>2</v>
      </c>
    </row>
    <row r="453" spans="1:12" x14ac:dyDescent="0.25">
      <c r="A453" t="s">
        <v>4558</v>
      </c>
      <c r="B453" t="s">
        <v>1622</v>
      </c>
      <c r="C453">
        <v>10402</v>
      </c>
      <c r="D453" t="s">
        <v>458</v>
      </c>
      <c r="E453">
        <v>5</v>
      </c>
      <c r="F453" t="s">
        <v>872</v>
      </c>
      <c r="G453" t="s">
        <v>1268</v>
      </c>
      <c r="H453" t="s">
        <v>2689</v>
      </c>
      <c r="I453" t="s">
        <v>1399</v>
      </c>
      <c r="K453" t="s">
        <v>792</v>
      </c>
      <c r="L453">
        <v>2</v>
      </c>
    </row>
    <row r="454" spans="1:12" x14ac:dyDescent="0.25">
      <c r="A454" t="s">
        <v>4558</v>
      </c>
      <c r="B454" t="s">
        <v>2690</v>
      </c>
      <c r="C454">
        <v>10402</v>
      </c>
      <c r="D454" t="s">
        <v>458</v>
      </c>
      <c r="E454">
        <v>5</v>
      </c>
      <c r="F454" t="s">
        <v>2691</v>
      </c>
      <c r="G454" t="s">
        <v>2692</v>
      </c>
      <c r="H454" t="s">
        <v>2693</v>
      </c>
      <c r="I454" t="s">
        <v>2694</v>
      </c>
      <c r="K454" t="s">
        <v>792</v>
      </c>
      <c r="L454">
        <v>2</v>
      </c>
    </row>
    <row r="455" spans="1:12" x14ac:dyDescent="0.25">
      <c r="A455" t="s">
        <v>4558</v>
      </c>
      <c r="B455" t="s">
        <v>2690</v>
      </c>
      <c r="C455">
        <v>10402</v>
      </c>
      <c r="D455" t="s">
        <v>458</v>
      </c>
      <c r="E455">
        <v>5</v>
      </c>
      <c r="F455" t="s">
        <v>2650</v>
      </c>
      <c r="G455" t="s">
        <v>2651</v>
      </c>
      <c r="H455" t="s">
        <v>2695</v>
      </c>
      <c r="I455" t="s">
        <v>2696</v>
      </c>
      <c r="K455" t="s">
        <v>792</v>
      </c>
      <c r="L455">
        <v>2</v>
      </c>
    </row>
    <row r="456" spans="1:12" x14ac:dyDescent="0.25">
      <c r="A456" t="s">
        <v>4558</v>
      </c>
      <c r="B456" t="s">
        <v>2690</v>
      </c>
      <c r="C456">
        <v>10402</v>
      </c>
      <c r="D456" t="s">
        <v>458</v>
      </c>
      <c r="E456">
        <v>5</v>
      </c>
      <c r="F456" t="s">
        <v>2650</v>
      </c>
      <c r="G456" t="s">
        <v>2651</v>
      </c>
      <c r="H456" t="s">
        <v>2697</v>
      </c>
      <c r="I456" t="s">
        <v>2698</v>
      </c>
      <c r="K456" t="s">
        <v>792</v>
      </c>
      <c r="L456">
        <v>2</v>
      </c>
    </row>
    <row r="457" spans="1:12" x14ac:dyDescent="0.25">
      <c r="A457" t="s">
        <v>4558</v>
      </c>
      <c r="B457" t="s">
        <v>2690</v>
      </c>
      <c r="C457">
        <v>10402</v>
      </c>
      <c r="D457" t="s">
        <v>458</v>
      </c>
      <c r="E457">
        <v>5</v>
      </c>
      <c r="F457" t="s">
        <v>947</v>
      </c>
      <c r="G457" t="s">
        <v>1354</v>
      </c>
      <c r="H457" t="s">
        <v>2699</v>
      </c>
      <c r="I457" t="s">
        <v>2700</v>
      </c>
      <c r="K457" t="s">
        <v>792</v>
      </c>
      <c r="L457">
        <v>2</v>
      </c>
    </row>
    <row r="458" spans="1:12" x14ac:dyDescent="0.25">
      <c r="A458" t="s">
        <v>4558</v>
      </c>
      <c r="B458" t="s">
        <v>2701</v>
      </c>
      <c r="C458">
        <v>10402</v>
      </c>
      <c r="D458" t="s">
        <v>458</v>
      </c>
      <c r="E458">
        <v>5</v>
      </c>
      <c r="F458" t="s">
        <v>816</v>
      </c>
      <c r="G458" t="s">
        <v>2628</v>
      </c>
      <c r="H458" t="s">
        <v>2702</v>
      </c>
      <c r="I458" t="s">
        <v>2703</v>
      </c>
      <c r="K458" t="s">
        <v>792</v>
      </c>
      <c r="L458">
        <v>2</v>
      </c>
    </row>
    <row r="459" spans="1:12" x14ac:dyDescent="0.25">
      <c r="A459" t="s">
        <v>4558</v>
      </c>
      <c r="B459" t="s">
        <v>2701</v>
      </c>
      <c r="C459">
        <v>10402</v>
      </c>
      <c r="D459" t="s">
        <v>458</v>
      </c>
      <c r="E459">
        <v>5</v>
      </c>
      <c r="F459" t="s">
        <v>1394</v>
      </c>
      <c r="G459" t="s">
        <v>2633</v>
      </c>
      <c r="H459" t="s">
        <v>2704</v>
      </c>
      <c r="I459" t="s">
        <v>2705</v>
      </c>
      <c r="K459" t="s">
        <v>792</v>
      </c>
      <c r="L459">
        <v>2</v>
      </c>
    </row>
    <row r="460" spans="1:12" x14ac:dyDescent="0.25">
      <c r="A460" t="s">
        <v>4558</v>
      </c>
      <c r="B460" t="s">
        <v>2701</v>
      </c>
      <c r="C460">
        <v>10402</v>
      </c>
      <c r="D460" t="s">
        <v>458</v>
      </c>
      <c r="E460">
        <v>5</v>
      </c>
      <c r="F460" t="s">
        <v>2706</v>
      </c>
      <c r="G460" t="s">
        <v>1352</v>
      </c>
      <c r="H460" t="s">
        <v>2707</v>
      </c>
      <c r="I460" t="s">
        <v>823</v>
      </c>
      <c r="K460" t="s">
        <v>792</v>
      </c>
      <c r="L460">
        <v>2</v>
      </c>
    </row>
    <row r="461" spans="1:12" x14ac:dyDescent="0.25">
      <c r="A461" t="s">
        <v>4558</v>
      </c>
      <c r="B461" t="s">
        <v>2701</v>
      </c>
      <c r="C461">
        <v>10402</v>
      </c>
      <c r="D461" t="s">
        <v>458</v>
      </c>
      <c r="E461">
        <v>5</v>
      </c>
      <c r="F461" t="s">
        <v>1457</v>
      </c>
      <c r="G461" t="s">
        <v>2636</v>
      </c>
      <c r="H461" t="s">
        <v>2708</v>
      </c>
      <c r="I461" t="s">
        <v>2709</v>
      </c>
      <c r="K461" t="s">
        <v>792</v>
      </c>
      <c r="L461">
        <v>2</v>
      </c>
    </row>
    <row r="462" spans="1:12" x14ac:dyDescent="0.25">
      <c r="A462" t="s">
        <v>4558</v>
      </c>
      <c r="B462" t="s">
        <v>2710</v>
      </c>
      <c r="C462">
        <v>10402</v>
      </c>
      <c r="D462" t="s">
        <v>458</v>
      </c>
      <c r="E462">
        <v>5</v>
      </c>
      <c r="F462" t="s">
        <v>1392</v>
      </c>
      <c r="G462" t="s">
        <v>2615</v>
      </c>
      <c r="H462" t="s">
        <v>2711</v>
      </c>
      <c r="I462" t="s">
        <v>2649</v>
      </c>
      <c r="K462" t="s">
        <v>792</v>
      </c>
      <c r="L462">
        <v>2</v>
      </c>
    </row>
    <row r="463" spans="1:12" x14ac:dyDescent="0.25">
      <c r="A463" t="s">
        <v>4558</v>
      </c>
      <c r="B463" t="s">
        <v>2710</v>
      </c>
      <c r="C463">
        <v>10402</v>
      </c>
      <c r="D463" t="s">
        <v>458</v>
      </c>
      <c r="E463">
        <v>5</v>
      </c>
      <c r="F463" t="s">
        <v>2654</v>
      </c>
      <c r="G463" t="s">
        <v>2480</v>
      </c>
      <c r="H463" t="s">
        <v>2712</v>
      </c>
      <c r="I463" t="s">
        <v>2713</v>
      </c>
      <c r="K463" t="s">
        <v>792</v>
      </c>
      <c r="L463">
        <v>2</v>
      </c>
    </row>
    <row r="464" spans="1:12" x14ac:dyDescent="0.25">
      <c r="A464" t="s">
        <v>4558</v>
      </c>
      <c r="B464" t="s">
        <v>2710</v>
      </c>
      <c r="C464">
        <v>10402</v>
      </c>
      <c r="D464" t="s">
        <v>458</v>
      </c>
      <c r="E464">
        <v>5</v>
      </c>
      <c r="F464" t="s">
        <v>2654</v>
      </c>
      <c r="G464" t="s">
        <v>2480</v>
      </c>
      <c r="H464" t="s">
        <v>2714</v>
      </c>
      <c r="I464" t="s">
        <v>2715</v>
      </c>
      <c r="K464" t="s">
        <v>792</v>
      </c>
      <c r="L464">
        <v>2</v>
      </c>
    </row>
    <row r="465" spans="1:12" x14ac:dyDescent="0.25">
      <c r="A465" t="s">
        <v>4558</v>
      </c>
      <c r="B465" t="s">
        <v>2710</v>
      </c>
      <c r="C465">
        <v>10402</v>
      </c>
      <c r="D465" t="s">
        <v>458</v>
      </c>
      <c r="E465">
        <v>5</v>
      </c>
      <c r="F465" t="s">
        <v>873</v>
      </c>
      <c r="G465" t="s">
        <v>1340</v>
      </c>
      <c r="H465" t="s">
        <v>2716</v>
      </c>
      <c r="I465" t="s">
        <v>2717</v>
      </c>
      <c r="K465" t="s">
        <v>792</v>
      </c>
      <c r="L465">
        <v>2</v>
      </c>
    </row>
    <row r="466" spans="1:12" x14ac:dyDescent="0.25">
      <c r="A466" t="s">
        <v>4558</v>
      </c>
      <c r="B466" t="s">
        <v>2718</v>
      </c>
      <c r="C466">
        <v>10402</v>
      </c>
      <c r="D466" t="s">
        <v>458</v>
      </c>
      <c r="E466">
        <v>5</v>
      </c>
      <c r="F466" t="s">
        <v>1237</v>
      </c>
      <c r="G466" t="s">
        <v>2719</v>
      </c>
      <c r="H466" t="s">
        <v>2720</v>
      </c>
      <c r="I466" t="s">
        <v>1424</v>
      </c>
      <c r="K466" t="s">
        <v>792</v>
      </c>
      <c r="L466">
        <v>2</v>
      </c>
    </row>
    <row r="467" spans="1:12" x14ac:dyDescent="0.25">
      <c r="A467" t="s">
        <v>4558</v>
      </c>
      <c r="B467" t="s">
        <v>2718</v>
      </c>
      <c r="C467">
        <v>10402</v>
      </c>
      <c r="D467" t="s">
        <v>458</v>
      </c>
      <c r="E467">
        <v>5</v>
      </c>
      <c r="F467" t="s">
        <v>947</v>
      </c>
      <c r="G467" t="s">
        <v>1354</v>
      </c>
      <c r="H467" t="s">
        <v>2721</v>
      </c>
      <c r="I467" t="s">
        <v>2722</v>
      </c>
      <c r="K467" t="s">
        <v>792</v>
      </c>
      <c r="L467">
        <v>2</v>
      </c>
    </row>
    <row r="468" spans="1:12" x14ac:dyDescent="0.25">
      <c r="A468" t="s">
        <v>4558</v>
      </c>
      <c r="B468" t="s">
        <v>2718</v>
      </c>
      <c r="C468">
        <v>10402</v>
      </c>
      <c r="D468" t="s">
        <v>458</v>
      </c>
      <c r="E468">
        <v>5</v>
      </c>
      <c r="F468" t="s">
        <v>2723</v>
      </c>
      <c r="G468" t="s">
        <v>2724</v>
      </c>
      <c r="H468" t="s">
        <v>2725</v>
      </c>
      <c r="I468" t="s">
        <v>2726</v>
      </c>
      <c r="K468" t="s">
        <v>792</v>
      </c>
      <c r="L468">
        <v>2</v>
      </c>
    </row>
    <row r="469" spans="1:12" x14ac:dyDescent="0.25">
      <c r="A469" t="s">
        <v>4558</v>
      </c>
      <c r="B469" t="s">
        <v>2727</v>
      </c>
      <c r="C469">
        <v>10402</v>
      </c>
      <c r="D469" t="s">
        <v>458</v>
      </c>
      <c r="E469">
        <v>5</v>
      </c>
      <c r="F469" t="s">
        <v>2522</v>
      </c>
      <c r="G469" t="s">
        <v>2483</v>
      </c>
      <c r="H469" t="s">
        <v>2728</v>
      </c>
      <c r="I469" t="s">
        <v>942</v>
      </c>
      <c r="K469" t="s">
        <v>792</v>
      </c>
      <c r="L469">
        <v>2</v>
      </c>
    </row>
    <row r="470" spans="1:12" x14ac:dyDescent="0.25">
      <c r="A470" t="s">
        <v>4558</v>
      </c>
      <c r="B470" t="s">
        <v>2727</v>
      </c>
      <c r="C470">
        <v>10402</v>
      </c>
      <c r="D470" t="s">
        <v>458</v>
      </c>
      <c r="E470">
        <v>5</v>
      </c>
      <c r="F470" t="s">
        <v>2582</v>
      </c>
      <c r="G470" t="s">
        <v>1325</v>
      </c>
      <c r="H470" t="s">
        <v>2729</v>
      </c>
      <c r="I470" t="s">
        <v>2730</v>
      </c>
      <c r="K470" t="s">
        <v>792</v>
      </c>
      <c r="L470">
        <v>2</v>
      </c>
    </row>
    <row r="471" spans="1:12" x14ac:dyDescent="0.25">
      <c r="A471" t="s">
        <v>4558</v>
      </c>
      <c r="B471" t="s">
        <v>2727</v>
      </c>
      <c r="C471">
        <v>10402</v>
      </c>
      <c r="D471" t="s">
        <v>458</v>
      </c>
      <c r="E471">
        <v>5</v>
      </c>
      <c r="F471" t="s">
        <v>874</v>
      </c>
      <c r="G471" t="s">
        <v>1402</v>
      </c>
      <c r="H471" t="s">
        <v>2731</v>
      </c>
      <c r="I471" t="s">
        <v>1471</v>
      </c>
      <c r="K471" t="s">
        <v>792</v>
      </c>
      <c r="L471">
        <v>2</v>
      </c>
    </row>
    <row r="472" spans="1:12" x14ac:dyDescent="0.25">
      <c r="A472" t="s">
        <v>4558</v>
      </c>
      <c r="B472" t="s">
        <v>2732</v>
      </c>
      <c r="C472">
        <v>10402</v>
      </c>
      <c r="D472" t="s">
        <v>458</v>
      </c>
      <c r="E472">
        <v>5</v>
      </c>
      <c r="F472" t="s">
        <v>1415</v>
      </c>
      <c r="G472" t="s">
        <v>2670</v>
      </c>
      <c r="H472" t="s">
        <v>2733</v>
      </c>
      <c r="I472" t="s">
        <v>2734</v>
      </c>
      <c r="K472" t="s">
        <v>792</v>
      </c>
      <c r="L472">
        <v>2</v>
      </c>
    </row>
    <row r="473" spans="1:12" x14ac:dyDescent="0.25">
      <c r="A473" t="s">
        <v>4558</v>
      </c>
      <c r="B473" t="s">
        <v>2732</v>
      </c>
      <c r="C473">
        <v>10402</v>
      </c>
      <c r="D473" t="s">
        <v>458</v>
      </c>
      <c r="E473">
        <v>5</v>
      </c>
      <c r="F473" t="s">
        <v>1415</v>
      </c>
      <c r="G473" t="s">
        <v>2670</v>
      </c>
      <c r="H473" t="s">
        <v>2735</v>
      </c>
      <c r="I473" t="s">
        <v>2736</v>
      </c>
      <c r="K473" t="s">
        <v>792</v>
      </c>
      <c r="L473">
        <v>2</v>
      </c>
    </row>
    <row r="474" spans="1:12" x14ac:dyDescent="0.25">
      <c r="A474" t="s">
        <v>4558</v>
      </c>
      <c r="B474" t="s">
        <v>2732</v>
      </c>
      <c r="C474">
        <v>10402</v>
      </c>
      <c r="D474" t="s">
        <v>458</v>
      </c>
      <c r="E474">
        <v>5</v>
      </c>
      <c r="F474" t="s">
        <v>2665</v>
      </c>
      <c r="G474" t="s">
        <v>2666</v>
      </c>
      <c r="H474" t="s">
        <v>2737</v>
      </c>
      <c r="I474" t="s">
        <v>2738</v>
      </c>
      <c r="K474" t="s">
        <v>792</v>
      </c>
      <c r="L474">
        <v>2</v>
      </c>
    </row>
    <row r="475" spans="1:12" x14ac:dyDescent="0.25">
      <c r="A475" t="s">
        <v>4558</v>
      </c>
      <c r="B475" t="s">
        <v>2739</v>
      </c>
      <c r="C475">
        <v>10402</v>
      </c>
      <c r="D475" t="s">
        <v>458</v>
      </c>
      <c r="E475">
        <v>5</v>
      </c>
      <c r="F475" t="s">
        <v>953</v>
      </c>
      <c r="G475" t="s">
        <v>1342</v>
      </c>
      <c r="H475" t="s">
        <v>2740</v>
      </c>
      <c r="I475" t="s">
        <v>2741</v>
      </c>
      <c r="K475" t="s">
        <v>792</v>
      </c>
      <c r="L475">
        <v>2</v>
      </c>
    </row>
    <row r="476" spans="1:12" x14ac:dyDescent="0.25">
      <c r="A476" t="s">
        <v>4558</v>
      </c>
      <c r="B476" t="s">
        <v>2739</v>
      </c>
      <c r="C476">
        <v>10402</v>
      </c>
      <c r="D476" t="s">
        <v>458</v>
      </c>
      <c r="E476">
        <v>5</v>
      </c>
      <c r="F476" t="s">
        <v>1476</v>
      </c>
      <c r="G476" t="s">
        <v>2256</v>
      </c>
      <c r="H476" t="s">
        <v>2742</v>
      </c>
      <c r="I476" t="s">
        <v>2743</v>
      </c>
      <c r="K476" t="s">
        <v>792</v>
      </c>
      <c r="L476">
        <v>2</v>
      </c>
    </row>
    <row r="477" spans="1:12" x14ac:dyDescent="0.25">
      <c r="A477" t="s">
        <v>4558</v>
      </c>
      <c r="B477" t="s">
        <v>2739</v>
      </c>
      <c r="C477">
        <v>10402</v>
      </c>
      <c r="D477" t="s">
        <v>458</v>
      </c>
      <c r="E477">
        <v>5</v>
      </c>
      <c r="F477" t="s">
        <v>951</v>
      </c>
      <c r="G477" t="s">
        <v>2259</v>
      </c>
      <c r="H477" t="s">
        <v>2744</v>
      </c>
      <c r="I477" t="s">
        <v>2745</v>
      </c>
      <c r="K477" t="s">
        <v>1255</v>
      </c>
      <c r="L477">
        <v>1</v>
      </c>
    </row>
    <row r="478" spans="1:12" x14ac:dyDescent="0.25">
      <c r="A478" t="s">
        <v>4559</v>
      </c>
      <c r="B478" t="s">
        <v>1622</v>
      </c>
      <c r="C478">
        <v>10403</v>
      </c>
      <c r="D478" t="s">
        <v>249</v>
      </c>
      <c r="E478">
        <v>6</v>
      </c>
      <c r="F478" t="s">
        <v>1448</v>
      </c>
      <c r="G478" t="s">
        <v>1724</v>
      </c>
      <c r="H478" t="s">
        <v>2746</v>
      </c>
      <c r="I478" t="s">
        <v>2747</v>
      </c>
      <c r="K478" t="s">
        <v>792</v>
      </c>
      <c r="L478">
        <v>2</v>
      </c>
    </row>
    <row r="479" spans="1:12" x14ac:dyDescent="0.25">
      <c r="A479" t="s">
        <v>4559</v>
      </c>
      <c r="B479" t="s">
        <v>1622</v>
      </c>
      <c r="C479">
        <v>10403</v>
      </c>
      <c r="D479" t="s">
        <v>249</v>
      </c>
      <c r="E479">
        <v>6</v>
      </c>
      <c r="F479" t="s">
        <v>2207</v>
      </c>
      <c r="G479" t="s">
        <v>2210</v>
      </c>
      <c r="H479" t="s">
        <v>2748</v>
      </c>
      <c r="I479" t="s">
        <v>2749</v>
      </c>
      <c r="K479" t="s">
        <v>792</v>
      </c>
      <c r="L479">
        <v>2</v>
      </c>
    </row>
    <row r="480" spans="1:12" x14ac:dyDescent="0.25">
      <c r="A480" t="s">
        <v>4559</v>
      </c>
      <c r="B480" t="s">
        <v>1622</v>
      </c>
      <c r="C480">
        <v>10403</v>
      </c>
      <c r="D480" t="s">
        <v>249</v>
      </c>
      <c r="E480">
        <v>6</v>
      </c>
      <c r="F480" t="s">
        <v>871</v>
      </c>
      <c r="G480" t="s">
        <v>1266</v>
      </c>
      <c r="H480" t="s">
        <v>2750</v>
      </c>
      <c r="I480" t="s">
        <v>2751</v>
      </c>
      <c r="K480" t="s">
        <v>792</v>
      </c>
      <c r="L480">
        <v>2</v>
      </c>
    </row>
    <row r="481" spans="1:12" x14ac:dyDescent="0.25">
      <c r="A481" t="s">
        <v>4559</v>
      </c>
      <c r="B481" t="s">
        <v>1622</v>
      </c>
      <c r="C481">
        <v>10403</v>
      </c>
      <c r="D481" t="s">
        <v>249</v>
      </c>
      <c r="E481">
        <v>6</v>
      </c>
      <c r="F481" t="s">
        <v>2208</v>
      </c>
      <c r="G481" t="s">
        <v>2213</v>
      </c>
      <c r="H481" t="s">
        <v>2752</v>
      </c>
      <c r="I481" t="s">
        <v>2377</v>
      </c>
      <c r="K481" t="s">
        <v>792</v>
      </c>
      <c r="L481">
        <v>2</v>
      </c>
    </row>
    <row r="482" spans="1:12" x14ac:dyDescent="0.25">
      <c r="A482" t="s">
        <v>4559</v>
      </c>
      <c r="B482" t="s">
        <v>1622</v>
      </c>
      <c r="C482">
        <v>10403</v>
      </c>
      <c r="D482" t="s">
        <v>249</v>
      </c>
      <c r="E482">
        <v>6</v>
      </c>
      <c r="F482" t="s">
        <v>872</v>
      </c>
      <c r="G482" t="s">
        <v>1268</v>
      </c>
      <c r="H482" t="s">
        <v>2753</v>
      </c>
      <c r="I482" t="s">
        <v>2754</v>
      </c>
      <c r="K482" t="s">
        <v>792</v>
      </c>
      <c r="L482">
        <v>2</v>
      </c>
    </row>
    <row r="483" spans="1:12" x14ac:dyDescent="0.25">
      <c r="A483" t="s">
        <v>4559</v>
      </c>
      <c r="B483" t="s">
        <v>2755</v>
      </c>
      <c r="C483">
        <v>10403</v>
      </c>
      <c r="D483" t="s">
        <v>249</v>
      </c>
      <c r="E483">
        <v>6</v>
      </c>
      <c r="F483" t="s">
        <v>1392</v>
      </c>
      <c r="G483" t="s">
        <v>2615</v>
      </c>
      <c r="H483" t="s">
        <v>2756</v>
      </c>
      <c r="I483" t="s">
        <v>2757</v>
      </c>
      <c r="K483" t="s">
        <v>792</v>
      </c>
      <c r="L483">
        <v>2</v>
      </c>
    </row>
    <row r="484" spans="1:12" x14ac:dyDescent="0.25">
      <c r="A484" t="s">
        <v>4559</v>
      </c>
      <c r="B484" t="s">
        <v>2755</v>
      </c>
      <c r="C484">
        <v>10403</v>
      </c>
      <c r="D484" t="s">
        <v>249</v>
      </c>
      <c r="E484">
        <v>6</v>
      </c>
      <c r="F484" t="s">
        <v>1392</v>
      </c>
      <c r="G484" t="s">
        <v>2615</v>
      </c>
      <c r="H484" t="s">
        <v>2758</v>
      </c>
      <c r="I484" t="s">
        <v>2759</v>
      </c>
      <c r="K484" t="s">
        <v>792</v>
      </c>
      <c r="L484">
        <v>2</v>
      </c>
    </row>
    <row r="485" spans="1:12" x14ac:dyDescent="0.25">
      <c r="A485" t="s">
        <v>4559</v>
      </c>
      <c r="B485" t="s">
        <v>2755</v>
      </c>
      <c r="C485">
        <v>10403</v>
      </c>
      <c r="D485" t="s">
        <v>249</v>
      </c>
      <c r="E485">
        <v>6</v>
      </c>
      <c r="F485" t="s">
        <v>1392</v>
      </c>
      <c r="G485" t="s">
        <v>2615</v>
      </c>
      <c r="H485" t="s">
        <v>2760</v>
      </c>
      <c r="I485" t="s">
        <v>2761</v>
      </c>
      <c r="K485" t="s">
        <v>792</v>
      </c>
      <c r="L485">
        <v>2</v>
      </c>
    </row>
    <row r="486" spans="1:12" x14ac:dyDescent="0.25">
      <c r="A486" t="s">
        <v>4559</v>
      </c>
      <c r="B486" t="s">
        <v>2762</v>
      </c>
      <c r="C486">
        <v>10403</v>
      </c>
      <c r="D486" t="s">
        <v>249</v>
      </c>
      <c r="E486">
        <v>6</v>
      </c>
      <c r="F486" t="s">
        <v>816</v>
      </c>
      <c r="G486" t="s">
        <v>2628</v>
      </c>
      <c r="H486" t="s">
        <v>2763</v>
      </c>
      <c r="I486" t="s">
        <v>2764</v>
      </c>
      <c r="K486" t="s">
        <v>792</v>
      </c>
      <c r="L486">
        <v>2</v>
      </c>
    </row>
    <row r="487" spans="1:12" x14ac:dyDescent="0.25">
      <c r="A487" t="s">
        <v>4559</v>
      </c>
      <c r="B487" t="s">
        <v>2762</v>
      </c>
      <c r="C487">
        <v>10403</v>
      </c>
      <c r="D487" t="s">
        <v>249</v>
      </c>
      <c r="E487">
        <v>6</v>
      </c>
      <c r="F487" t="s">
        <v>1394</v>
      </c>
      <c r="G487" t="s">
        <v>2633</v>
      </c>
      <c r="H487" t="s">
        <v>2765</v>
      </c>
      <c r="I487" t="s">
        <v>2766</v>
      </c>
      <c r="K487" t="s">
        <v>792</v>
      </c>
      <c r="L487">
        <v>2</v>
      </c>
    </row>
    <row r="488" spans="1:12" x14ac:dyDescent="0.25">
      <c r="A488" t="s">
        <v>4559</v>
      </c>
      <c r="B488" t="s">
        <v>2762</v>
      </c>
      <c r="C488">
        <v>10403</v>
      </c>
      <c r="D488" t="s">
        <v>249</v>
      </c>
      <c r="E488">
        <v>6</v>
      </c>
      <c r="F488" t="s">
        <v>2706</v>
      </c>
      <c r="G488" t="s">
        <v>1352</v>
      </c>
      <c r="H488" t="s">
        <v>2767</v>
      </c>
      <c r="I488" t="s">
        <v>2768</v>
      </c>
      <c r="K488" t="s">
        <v>792</v>
      </c>
      <c r="L488">
        <v>2</v>
      </c>
    </row>
    <row r="489" spans="1:12" x14ac:dyDescent="0.25">
      <c r="A489" t="s">
        <v>4559</v>
      </c>
      <c r="B489" t="s">
        <v>2769</v>
      </c>
      <c r="C489">
        <v>10403</v>
      </c>
      <c r="D489" t="s">
        <v>249</v>
      </c>
      <c r="E489">
        <v>6</v>
      </c>
      <c r="F489" t="s">
        <v>2691</v>
      </c>
      <c r="G489" t="s">
        <v>2692</v>
      </c>
      <c r="H489" t="s">
        <v>2770</v>
      </c>
      <c r="I489" t="s">
        <v>2771</v>
      </c>
      <c r="K489" t="s">
        <v>792</v>
      </c>
      <c r="L489">
        <v>2</v>
      </c>
    </row>
    <row r="490" spans="1:12" x14ac:dyDescent="0.25">
      <c r="A490" t="s">
        <v>4559</v>
      </c>
      <c r="B490" t="s">
        <v>2769</v>
      </c>
      <c r="C490">
        <v>10403</v>
      </c>
      <c r="D490" t="s">
        <v>249</v>
      </c>
      <c r="E490">
        <v>6</v>
      </c>
      <c r="F490" t="s">
        <v>2650</v>
      </c>
      <c r="G490" t="s">
        <v>2651</v>
      </c>
      <c r="H490" t="s">
        <v>2772</v>
      </c>
      <c r="I490" t="s">
        <v>2773</v>
      </c>
      <c r="K490" t="s">
        <v>792</v>
      </c>
      <c r="L490">
        <v>2</v>
      </c>
    </row>
    <row r="491" spans="1:12" x14ac:dyDescent="0.25">
      <c r="A491" t="s">
        <v>4559</v>
      </c>
      <c r="B491" t="s">
        <v>2769</v>
      </c>
      <c r="C491">
        <v>10403</v>
      </c>
      <c r="D491" t="s">
        <v>249</v>
      </c>
      <c r="E491">
        <v>6</v>
      </c>
      <c r="F491" t="s">
        <v>2654</v>
      </c>
      <c r="G491" t="s">
        <v>2480</v>
      </c>
      <c r="H491" t="s">
        <v>2774</v>
      </c>
      <c r="I491" t="s">
        <v>2775</v>
      </c>
      <c r="K491" t="s">
        <v>792</v>
      </c>
      <c r="L491">
        <v>2</v>
      </c>
    </row>
    <row r="492" spans="1:12" x14ac:dyDescent="0.25">
      <c r="A492" t="s">
        <v>4559</v>
      </c>
      <c r="B492" t="s">
        <v>2769</v>
      </c>
      <c r="C492">
        <v>10403</v>
      </c>
      <c r="D492" t="s">
        <v>249</v>
      </c>
      <c r="E492">
        <v>6</v>
      </c>
      <c r="F492" t="s">
        <v>2654</v>
      </c>
      <c r="G492" t="s">
        <v>2480</v>
      </c>
      <c r="H492" t="s">
        <v>2776</v>
      </c>
      <c r="I492" t="s">
        <v>2777</v>
      </c>
      <c r="K492" t="s">
        <v>792</v>
      </c>
      <c r="L492">
        <v>2</v>
      </c>
    </row>
    <row r="493" spans="1:12" x14ac:dyDescent="0.25">
      <c r="A493" t="s">
        <v>4559</v>
      </c>
      <c r="B493" t="s">
        <v>2778</v>
      </c>
      <c r="C493">
        <v>10403</v>
      </c>
      <c r="D493" t="s">
        <v>249</v>
      </c>
      <c r="E493">
        <v>6</v>
      </c>
      <c r="F493" t="s">
        <v>947</v>
      </c>
      <c r="G493" t="s">
        <v>1354</v>
      </c>
      <c r="H493" t="s">
        <v>2779</v>
      </c>
      <c r="I493" t="s">
        <v>2780</v>
      </c>
      <c r="K493" t="s">
        <v>792</v>
      </c>
      <c r="L493">
        <v>2</v>
      </c>
    </row>
    <row r="494" spans="1:12" x14ac:dyDescent="0.25">
      <c r="A494" t="s">
        <v>4559</v>
      </c>
      <c r="B494" t="s">
        <v>2778</v>
      </c>
      <c r="C494">
        <v>10403</v>
      </c>
      <c r="D494" t="s">
        <v>249</v>
      </c>
      <c r="E494">
        <v>6</v>
      </c>
      <c r="F494" t="s">
        <v>947</v>
      </c>
      <c r="G494" t="s">
        <v>1354</v>
      </c>
      <c r="H494" t="s">
        <v>2781</v>
      </c>
      <c r="I494" t="s">
        <v>2782</v>
      </c>
      <c r="K494" t="s">
        <v>792</v>
      </c>
      <c r="L494">
        <v>2</v>
      </c>
    </row>
    <row r="495" spans="1:12" x14ac:dyDescent="0.25">
      <c r="A495" t="s">
        <v>4559</v>
      </c>
      <c r="B495" t="s">
        <v>2778</v>
      </c>
      <c r="C495">
        <v>10403</v>
      </c>
      <c r="D495" t="s">
        <v>249</v>
      </c>
      <c r="E495">
        <v>6</v>
      </c>
      <c r="F495" t="s">
        <v>2723</v>
      </c>
      <c r="G495" t="s">
        <v>2724</v>
      </c>
      <c r="H495" t="s">
        <v>2783</v>
      </c>
      <c r="I495" t="s">
        <v>2784</v>
      </c>
      <c r="K495" t="s">
        <v>792</v>
      </c>
      <c r="L495">
        <v>2</v>
      </c>
    </row>
    <row r="496" spans="1:12" x14ac:dyDescent="0.25">
      <c r="A496" t="s">
        <v>4559</v>
      </c>
      <c r="B496" t="s">
        <v>2785</v>
      </c>
      <c r="C496">
        <v>10403</v>
      </c>
      <c r="D496" t="s">
        <v>249</v>
      </c>
      <c r="E496">
        <v>6</v>
      </c>
      <c r="F496" t="s">
        <v>2522</v>
      </c>
      <c r="G496" t="s">
        <v>2483</v>
      </c>
      <c r="H496" t="s">
        <v>2786</v>
      </c>
      <c r="I496" t="s">
        <v>942</v>
      </c>
      <c r="K496" t="s">
        <v>792</v>
      </c>
      <c r="L496">
        <v>2</v>
      </c>
    </row>
    <row r="497" spans="1:12" x14ac:dyDescent="0.25">
      <c r="A497" t="s">
        <v>4559</v>
      </c>
      <c r="B497" t="s">
        <v>2785</v>
      </c>
      <c r="C497">
        <v>10403</v>
      </c>
      <c r="D497" t="s">
        <v>249</v>
      </c>
      <c r="E497">
        <v>6</v>
      </c>
      <c r="F497" t="s">
        <v>2582</v>
      </c>
      <c r="G497" t="s">
        <v>1325</v>
      </c>
      <c r="H497" t="s">
        <v>2787</v>
      </c>
      <c r="I497" t="s">
        <v>2788</v>
      </c>
      <c r="K497" t="s">
        <v>792</v>
      </c>
      <c r="L497">
        <v>2</v>
      </c>
    </row>
    <row r="498" spans="1:12" x14ac:dyDescent="0.25">
      <c r="A498" t="s">
        <v>4559</v>
      </c>
      <c r="B498" t="s">
        <v>2785</v>
      </c>
      <c r="C498">
        <v>10403</v>
      </c>
      <c r="D498" t="s">
        <v>249</v>
      </c>
      <c r="E498">
        <v>6</v>
      </c>
      <c r="F498" t="s">
        <v>874</v>
      </c>
      <c r="G498" t="s">
        <v>1402</v>
      </c>
      <c r="H498" t="s">
        <v>2789</v>
      </c>
      <c r="I498" t="s">
        <v>1471</v>
      </c>
      <c r="K498" t="s">
        <v>792</v>
      </c>
      <c r="L498">
        <v>2</v>
      </c>
    </row>
    <row r="499" spans="1:12" x14ac:dyDescent="0.25">
      <c r="A499" t="s">
        <v>4559</v>
      </c>
      <c r="B499" t="s">
        <v>2790</v>
      </c>
      <c r="C499">
        <v>10403</v>
      </c>
      <c r="D499" t="s">
        <v>249</v>
      </c>
      <c r="E499">
        <v>6</v>
      </c>
      <c r="F499" t="s">
        <v>1415</v>
      </c>
      <c r="G499" t="s">
        <v>2670</v>
      </c>
      <c r="H499" t="s">
        <v>2791</v>
      </c>
      <c r="I499" t="s">
        <v>2792</v>
      </c>
      <c r="K499" t="s">
        <v>792</v>
      </c>
      <c r="L499">
        <v>2</v>
      </c>
    </row>
    <row r="500" spans="1:12" x14ac:dyDescent="0.25">
      <c r="A500" t="s">
        <v>4559</v>
      </c>
      <c r="B500" t="s">
        <v>2790</v>
      </c>
      <c r="C500">
        <v>10403</v>
      </c>
      <c r="D500" t="s">
        <v>249</v>
      </c>
      <c r="E500">
        <v>6</v>
      </c>
      <c r="F500" t="s">
        <v>1415</v>
      </c>
      <c r="G500" t="s">
        <v>2670</v>
      </c>
      <c r="H500" t="s">
        <v>2793</v>
      </c>
      <c r="I500" t="s">
        <v>2794</v>
      </c>
      <c r="K500" t="s">
        <v>792</v>
      </c>
      <c r="L500">
        <v>2</v>
      </c>
    </row>
    <row r="501" spans="1:12" x14ac:dyDescent="0.25">
      <c r="A501" t="s">
        <v>4559</v>
      </c>
      <c r="B501" t="s">
        <v>2790</v>
      </c>
      <c r="C501">
        <v>10403</v>
      </c>
      <c r="D501" t="s">
        <v>249</v>
      </c>
      <c r="E501">
        <v>6</v>
      </c>
      <c r="F501" t="s">
        <v>2665</v>
      </c>
      <c r="G501" t="s">
        <v>2666</v>
      </c>
      <c r="H501" t="s">
        <v>2795</v>
      </c>
      <c r="I501" t="s">
        <v>2796</v>
      </c>
      <c r="K501" t="s">
        <v>792</v>
      </c>
      <c r="L501">
        <v>2</v>
      </c>
    </row>
    <row r="502" spans="1:12" x14ac:dyDescent="0.25">
      <c r="A502" t="s">
        <v>4559</v>
      </c>
      <c r="B502" t="s">
        <v>2797</v>
      </c>
      <c r="C502">
        <v>10403</v>
      </c>
      <c r="D502" t="s">
        <v>249</v>
      </c>
      <c r="E502">
        <v>6</v>
      </c>
      <c r="F502" t="s">
        <v>951</v>
      </c>
      <c r="G502" t="s">
        <v>2259</v>
      </c>
      <c r="H502" t="s">
        <v>2798</v>
      </c>
      <c r="I502" t="s">
        <v>2799</v>
      </c>
      <c r="K502" t="s">
        <v>1255</v>
      </c>
      <c r="L502">
        <v>1</v>
      </c>
    </row>
    <row r="503" spans="1:12" x14ac:dyDescent="0.25">
      <c r="A503" t="s">
        <v>4559</v>
      </c>
      <c r="B503" t="s">
        <v>2797</v>
      </c>
      <c r="C503">
        <v>10403</v>
      </c>
      <c r="D503" t="s">
        <v>249</v>
      </c>
      <c r="E503">
        <v>6</v>
      </c>
      <c r="F503" t="s">
        <v>1476</v>
      </c>
      <c r="G503" t="s">
        <v>2256</v>
      </c>
      <c r="H503" t="s">
        <v>2800</v>
      </c>
      <c r="I503" t="s">
        <v>2801</v>
      </c>
      <c r="K503" t="s">
        <v>792</v>
      </c>
      <c r="L503">
        <v>2</v>
      </c>
    </row>
    <row r="504" spans="1:12" x14ac:dyDescent="0.25">
      <c r="A504" t="s">
        <v>2477</v>
      </c>
      <c r="B504" t="s">
        <v>1622</v>
      </c>
      <c r="C504">
        <v>10301</v>
      </c>
      <c r="D504" t="s">
        <v>222</v>
      </c>
      <c r="E504">
        <v>5</v>
      </c>
      <c r="F504" t="s">
        <v>1448</v>
      </c>
      <c r="G504" t="s">
        <v>1724</v>
      </c>
      <c r="H504" t="s">
        <v>2802</v>
      </c>
      <c r="I504" t="s">
        <v>2803</v>
      </c>
      <c r="K504" t="s">
        <v>792</v>
      </c>
      <c r="L504">
        <v>2</v>
      </c>
    </row>
    <row r="505" spans="1:12" x14ac:dyDescent="0.25">
      <c r="A505" t="s">
        <v>2477</v>
      </c>
      <c r="B505" t="s">
        <v>1622</v>
      </c>
      <c r="C505">
        <v>10301</v>
      </c>
      <c r="D505" t="s">
        <v>222</v>
      </c>
      <c r="E505">
        <v>5</v>
      </c>
      <c r="F505" t="s">
        <v>1448</v>
      </c>
      <c r="G505" t="s">
        <v>1724</v>
      </c>
      <c r="H505" t="s">
        <v>2804</v>
      </c>
      <c r="I505" t="s">
        <v>2805</v>
      </c>
      <c r="K505" t="s">
        <v>792</v>
      </c>
      <c r="L505">
        <v>2</v>
      </c>
    </row>
    <row r="506" spans="1:12" x14ac:dyDescent="0.25">
      <c r="A506" t="s">
        <v>2477</v>
      </c>
      <c r="B506" t="s">
        <v>1622</v>
      </c>
      <c r="C506">
        <v>10301</v>
      </c>
      <c r="D506" t="s">
        <v>222</v>
      </c>
      <c r="E506">
        <v>5</v>
      </c>
      <c r="F506" t="s">
        <v>2665</v>
      </c>
      <c r="G506" t="s">
        <v>2806</v>
      </c>
      <c r="H506" t="s">
        <v>2807</v>
      </c>
      <c r="I506" t="s">
        <v>2808</v>
      </c>
      <c r="K506" t="s">
        <v>792</v>
      </c>
      <c r="L506">
        <v>2</v>
      </c>
    </row>
    <row r="507" spans="1:12" x14ac:dyDescent="0.25">
      <c r="A507" t="s">
        <v>2477</v>
      </c>
      <c r="B507" t="s">
        <v>1622</v>
      </c>
      <c r="C507">
        <v>10301</v>
      </c>
      <c r="D507" t="s">
        <v>222</v>
      </c>
      <c r="E507">
        <v>5</v>
      </c>
      <c r="F507" t="s">
        <v>2208</v>
      </c>
      <c r="G507" t="s">
        <v>2809</v>
      </c>
      <c r="H507" t="s">
        <v>2492</v>
      </c>
      <c r="I507" t="s">
        <v>2810</v>
      </c>
      <c r="K507" t="s">
        <v>792</v>
      </c>
      <c r="L507">
        <v>2</v>
      </c>
    </row>
    <row r="508" spans="1:12" x14ac:dyDescent="0.25">
      <c r="A508" t="s">
        <v>2477</v>
      </c>
      <c r="B508" t="s">
        <v>1622</v>
      </c>
      <c r="C508">
        <v>10301</v>
      </c>
      <c r="D508" t="s">
        <v>222</v>
      </c>
      <c r="E508">
        <v>5</v>
      </c>
      <c r="F508" t="s">
        <v>2207</v>
      </c>
      <c r="G508" t="s">
        <v>2811</v>
      </c>
      <c r="H508" t="s">
        <v>2812</v>
      </c>
      <c r="I508" t="s">
        <v>2813</v>
      </c>
      <c r="K508" t="s">
        <v>792</v>
      </c>
      <c r="L508">
        <v>2</v>
      </c>
    </row>
    <row r="509" spans="1:12" x14ac:dyDescent="0.25">
      <c r="A509" t="s">
        <v>2477</v>
      </c>
      <c r="B509" t="s">
        <v>1622</v>
      </c>
      <c r="C509">
        <v>10301</v>
      </c>
      <c r="D509" t="s">
        <v>222</v>
      </c>
      <c r="E509">
        <v>5</v>
      </c>
      <c r="F509" t="s">
        <v>871</v>
      </c>
      <c r="G509" t="s">
        <v>1266</v>
      </c>
      <c r="H509" t="s">
        <v>2814</v>
      </c>
      <c r="I509" t="s">
        <v>2815</v>
      </c>
      <c r="K509" t="s">
        <v>792</v>
      </c>
      <c r="L509">
        <v>2</v>
      </c>
    </row>
    <row r="510" spans="1:12" x14ac:dyDescent="0.25">
      <c r="A510" t="s">
        <v>2477</v>
      </c>
      <c r="B510" t="s">
        <v>2816</v>
      </c>
      <c r="C510">
        <v>10301</v>
      </c>
      <c r="D510" t="s">
        <v>222</v>
      </c>
      <c r="E510">
        <v>5</v>
      </c>
      <c r="F510" t="s">
        <v>872</v>
      </c>
      <c r="G510" t="s">
        <v>1268</v>
      </c>
      <c r="H510" t="s">
        <v>2817</v>
      </c>
      <c r="I510" t="s">
        <v>2818</v>
      </c>
      <c r="K510" t="s">
        <v>792</v>
      </c>
      <c r="L510">
        <v>2</v>
      </c>
    </row>
    <row r="511" spans="1:12" x14ac:dyDescent="0.25">
      <c r="A511" t="s">
        <v>2477</v>
      </c>
      <c r="B511" t="s">
        <v>2816</v>
      </c>
      <c r="C511">
        <v>10301</v>
      </c>
      <c r="D511" t="s">
        <v>222</v>
      </c>
      <c r="E511">
        <v>5</v>
      </c>
      <c r="F511" t="s">
        <v>2819</v>
      </c>
      <c r="G511" t="s">
        <v>1231</v>
      </c>
      <c r="H511" t="s">
        <v>2820</v>
      </c>
      <c r="I511" t="s">
        <v>2821</v>
      </c>
      <c r="K511" t="s">
        <v>792</v>
      </c>
      <c r="L511">
        <v>2</v>
      </c>
    </row>
    <row r="512" spans="1:12" x14ac:dyDescent="0.25">
      <c r="A512" t="s">
        <v>2477</v>
      </c>
      <c r="B512" t="s">
        <v>2816</v>
      </c>
      <c r="C512">
        <v>10301</v>
      </c>
      <c r="D512" t="s">
        <v>222</v>
      </c>
      <c r="E512">
        <v>5</v>
      </c>
      <c r="F512" t="s">
        <v>874</v>
      </c>
      <c r="G512" t="s">
        <v>1402</v>
      </c>
      <c r="H512" t="s">
        <v>2822</v>
      </c>
      <c r="I512" t="s">
        <v>2563</v>
      </c>
      <c r="K512" t="s">
        <v>792</v>
      </c>
      <c r="L512">
        <v>2</v>
      </c>
    </row>
    <row r="513" spans="1:12" x14ac:dyDescent="0.25">
      <c r="A513" t="s">
        <v>2477</v>
      </c>
      <c r="B513" t="s">
        <v>2816</v>
      </c>
      <c r="C513">
        <v>10301</v>
      </c>
      <c r="D513" t="s">
        <v>222</v>
      </c>
      <c r="E513">
        <v>5</v>
      </c>
      <c r="F513" t="s">
        <v>934</v>
      </c>
      <c r="G513" t="s">
        <v>1325</v>
      </c>
      <c r="H513" t="s">
        <v>2823</v>
      </c>
      <c r="I513" t="s">
        <v>2815</v>
      </c>
      <c r="K513" t="s">
        <v>792</v>
      </c>
      <c r="L513">
        <v>2</v>
      </c>
    </row>
    <row r="514" spans="1:12" x14ac:dyDescent="0.25">
      <c r="A514" t="s">
        <v>2477</v>
      </c>
      <c r="B514" t="s">
        <v>2816</v>
      </c>
      <c r="C514">
        <v>10301</v>
      </c>
      <c r="D514" t="s">
        <v>222</v>
      </c>
      <c r="E514">
        <v>5</v>
      </c>
      <c r="F514" t="s">
        <v>2215</v>
      </c>
      <c r="G514" t="s">
        <v>2216</v>
      </c>
      <c r="H514" t="s">
        <v>2824</v>
      </c>
      <c r="I514" t="s">
        <v>2825</v>
      </c>
      <c r="K514" t="s">
        <v>792</v>
      </c>
      <c r="L514">
        <v>2</v>
      </c>
    </row>
    <row r="515" spans="1:12" x14ac:dyDescent="0.25">
      <c r="A515" t="s">
        <v>2477</v>
      </c>
      <c r="B515" t="s">
        <v>2826</v>
      </c>
      <c r="C515">
        <v>10301</v>
      </c>
      <c r="D515" t="s">
        <v>222</v>
      </c>
      <c r="E515">
        <v>5</v>
      </c>
      <c r="F515" t="s">
        <v>816</v>
      </c>
      <c r="G515" t="s">
        <v>1256</v>
      </c>
      <c r="H515" t="s">
        <v>2827</v>
      </c>
      <c r="I515" t="s">
        <v>2653</v>
      </c>
      <c r="K515" t="s">
        <v>792</v>
      </c>
      <c r="L515">
        <v>2</v>
      </c>
    </row>
    <row r="516" spans="1:12" x14ac:dyDescent="0.25">
      <c r="A516" t="s">
        <v>2477</v>
      </c>
      <c r="B516" t="s">
        <v>2826</v>
      </c>
      <c r="C516">
        <v>10301</v>
      </c>
      <c r="D516" t="s">
        <v>222</v>
      </c>
      <c r="E516">
        <v>5</v>
      </c>
      <c r="F516" t="s">
        <v>816</v>
      </c>
      <c r="G516" t="s">
        <v>1256</v>
      </c>
      <c r="H516" t="s">
        <v>2828</v>
      </c>
      <c r="I516" t="s">
        <v>2829</v>
      </c>
      <c r="K516" t="s">
        <v>792</v>
      </c>
      <c r="L516">
        <v>2</v>
      </c>
    </row>
    <row r="517" spans="1:12" x14ac:dyDescent="0.25">
      <c r="A517" t="s">
        <v>2477</v>
      </c>
      <c r="B517" t="s">
        <v>2826</v>
      </c>
      <c r="C517">
        <v>10301</v>
      </c>
      <c r="D517" t="s">
        <v>222</v>
      </c>
      <c r="E517">
        <v>5</v>
      </c>
      <c r="F517" t="s">
        <v>816</v>
      </c>
      <c r="G517" t="s">
        <v>1256</v>
      </c>
      <c r="H517" t="s">
        <v>2830</v>
      </c>
      <c r="I517" t="s">
        <v>827</v>
      </c>
      <c r="K517" t="s">
        <v>792</v>
      </c>
      <c r="L517">
        <v>2</v>
      </c>
    </row>
    <row r="518" spans="1:12" x14ac:dyDescent="0.25">
      <c r="A518" t="s">
        <v>2477</v>
      </c>
      <c r="B518" t="s">
        <v>2826</v>
      </c>
      <c r="C518">
        <v>10301</v>
      </c>
      <c r="D518" t="s">
        <v>222</v>
      </c>
      <c r="E518">
        <v>5</v>
      </c>
      <c r="F518" t="s">
        <v>816</v>
      </c>
      <c r="G518" t="s">
        <v>1256</v>
      </c>
      <c r="H518" t="s">
        <v>2831</v>
      </c>
      <c r="I518" t="s">
        <v>2832</v>
      </c>
      <c r="K518" t="s">
        <v>792</v>
      </c>
      <c r="L518">
        <v>2</v>
      </c>
    </row>
    <row r="519" spans="1:12" x14ac:dyDescent="0.25">
      <c r="A519" t="s">
        <v>2477</v>
      </c>
      <c r="B519" t="s">
        <v>2833</v>
      </c>
      <c r="C519">
        <v>10301</v>
      </c>
      <c r="D519" t="s">
        <v>222</v>
      </c>
      <c r="E519">
        <v>5</v>
      </c>
      <c r="F519" t="s">
        <v>962</v>
      </c>
      <c r="G519" t="s">
        <v>2834</v>
      </c>
      <c r="H519" t="s">
        <v>2835</v>
      </c>
      <c r="I519" t="s">
        <v>1391</v>
      </c>
      <c r="K519" t="s">
        <v>792</v>
      </c>
      <c r="L519">
        <v>2</v>
      </c>
    </row>
    <row r="520" spans="1:12" x14ac:dyDescent="0.25">
      <c r="A520" t="s">
        <v>2477</v>
      </c>
      <c r="B520" t="s">
        <v>2833</v>
      </c>
      <c r="C520">
        <v>10301</v>
      </c>
      <c r="D520" t="s">
        <v>222</v>
      </c>
      <c r="E520">
        <v>5</v>
      </c>
      <c r="F520" t="s">
        <v>962</v>
      </c>
      <c r="G520" t="s">
        <v>2834</v>
      </c>
      <c r="H520" t="s">
        <v>2836</v>
      </c>
      <c r="I520" t="s">
        <v>2837</v>
      </c>
      <c r="K520" t="s">
        <v>792</v>
      </c>
      <c r="L520">
        <v>2</v>
      </c>
    </row>
    <row r="521" spans="1:12" x14ac:dyDescent="0.25">
      <c r="A521" t="s">
        <v>2477</v>
      </c>
      <c r="B521" t="s">
        <v>2833</v>
      </c>
      <c r="C521">
        <v>10301</v>
      </c>
      <c r="D521" t="s">
        <v>222</v>
      </c>
      <c r="E521">
        <v>5</v>
      </c>
      <c r="F521" t="s">
        <v>1392</v>
      </c>
      <c r="G521" t="s">
        <v>2615</v>
      </c>
      <c r="H521" t="s">
        <v>2838</v>
      </c>
      <c r="I521" t="s">
        <v>2839</v>
      </c>
      <c r="K521" t="s">
        <v>792</v>
      </c>
      <c r="L521">
        <v>2</v>
      </c>
    </row>
    <row r="522" spans="1:12" x14ac:dyDescent="0.25">
      <c r="A522" t="s">
        <v>2477</v>
      </c>
      <c r="B522" t="s">
        <v>2833</v>
      </c>
      <c r="C522">
        <v>10301</v>
      </c>
      <c r="D522" t="s">
        <v>222</v>
      </c>
      <c r="E522">
        <v>5</v>
      </c>
      <c r="F522" t="s">
        <v>1392</v>
      </c>
      <c r="G522" t="s">
        <v>2615</v>
      </c>
      <c r="H522" t="s">
        <v>2840</v>
      </c>
      <c r="I522" t="s">
        <v>2841</v>
      </c>
      <c r="K522" t="s">
        <v>792</v>
      </c>
      <c r="L522">
        <v>2</v>
      </c>
    </row>
    <row r="523" spans="1:12" x14ac:dyDescent="0.25">
      <c r="A523" t="s">
        <v>2477</v>
      </c>
      <c r="B523" t="s">
        <v>2842</v>
      </c>
      <c r="C523">
        <v>10301</v>
      </c>
      <c r="D523" t="s">
        <v>222</v>
      </c>
      <c r="E523">
        <v>5</v>
      </c>
      <c r="F523" t="s">
        <v>2843</v>
      </c>
      <c r="G523" t="s">
        <v>2480</v>
      </c>
      <c r="H523" t="s">
        <v>2844</v>
      </c>
      <c r="I523" t="s">
        <v>2845</v>
      </c>
      <c r="K523" t="s">
        <v>792</v>
      </c>
      <c r="L523">
        <v>2</v>
      </c>
    </row>
    <row r="524" spans="1:12" x14ac:dyDescent="0.25">
      <c r="A524" t="s">
        <v>2477</v>
      </c>
      <c r="B524" t="s">
        <v>2842</v>
      </c>
      <c r="C524">
        <v>10301</v>
      </c>
      <c r="D524" t="s">
        <v>222</v>
      </c>
      <c r="E524">
        <v>5</v>
      </c>
      <c r="F524" t="s">
        <v>947</v>
      </c>
      <c r="G524" t="s">
        <v>1354</v>
      </c>
      <c r="H524" t="s">
        <v>2846</v>
      </c>
      <c r="I524" t="s">
        <v>2847</v>
      </c>
      <c r="K524" t="s">
        <v>792</v>
      </c>
      <c r="L524">
        <v>2</v>
      </c>
    </row>
    <row r="525" spans="1:12" x14ac:dyDescent="0.25">
      <c r="A525" t="s">
        <v>2477</v>
      </c>
      <c r="B525" t="s">
        <v>2842</v>
      </c>
      <c r="C525">
        <v>10301</v>
      </c>
      <c r="D525" t="s">
        <v>222</v>
      </c>
      <c r="E525">
        <v>5</v>
      </c>
      <c r="F525" t="s">
        <v>947</v>
      </c>
      <c r="G525" t="s">
        <v>1354</v>
      </c>
      <c r="H525" t="s">
        <v>2848</v>
      </c>
      <c r="I525" t="s">
        <v>903</v>
      </c>
      <c r="K525" t="s">
        <v>792</v>
      </c>
      <c r="L525">
        <v>2</v>
      </c>
    </row>
    <row r="526" spans="1:12" x14ac:dyDescent="0.25">
      <c r="A526" t="s">
        <v>2477</v>
      </c>
      <c r="B526" t="s">
        <v>2842</v>
      </c>
      <c r="C526">
        <v>10301</v>
      </c>
      <c r="D526" t="s">
        <v>222</v>
      </c>
      <c r="E526">
        <v>5</v>
      </c>
      <c r="F526" t="s">
        <v>947</v>
      </c>
      <c r="G526" t="s">
        <v>1354</v>
      </c>
      <c r="H526" t="s">
        <v>2849</v>
      </c>
      <c r="I526" t="s">
        <v>2850</v>
      </c>
      <c r="K526" t="s">
        <v>792</v>
      </c>
      <c r="L526">
        <v>2</v>
      </c>
    </row>
    <row r="527" spans="1:12" x14ac:dyDescent="0.25">
      <c r="A527" t="s">
        <v>2477</v>
      </c>
      <c r="B527" t="s">
        <v>2851</v>
      </c>
      <c r="C527">
        <v>10301</v>
      </c>
      <c r="D527" t="s">
        <v>222</v>
      </c>
      <c r="E527">
        <v>5</v>
      </c>
      <c r="F527" t="s">
        <v>873</v>
      </c>
      <c r="G527" t="s">
        <v>1340</v>
      </c>
      <c r="H527" t="s">
        <v>2852</v>
      </c>
      <c r="I527" t="s">
        <v>2853</v>
      </c>
      <c r="K527" t="s">
        <v>792</v>
      </c>
      <c r="L527">
        <v>2</v>
      </c>
    </row>
    <row r="528" spans="1:12" x14ac:dyDescent="0.25">
      <c r="A528" t="s">
        <v>2477</v>
      </c>
      <c r="B528" t="s">
        <v>2851</v>
      </c>
      <c r="C528">
        <v>10301</v>
      </c>
      <c r="D528" t="s">
        <v>222</v>
      </c>
      <c r="E528">
        <v>5</v>
      </c>
      <c r="F528" t="s">
        <v>873</v>
      </c>
      <c r="G528" t="s">
        <v>1340</v>
      </c>
      <c r="H528" t="s">
        <v>2482</v>
      </c>
      <c r="I528" t="s">
        <v>1412</v>
      </c>
      <c r="K528" t="s">
        <v>792</v>
      </c>
      <c r="L528">
        <v>2</v>
      </c>
    </row>
    <row r="529" spans="1:12" x14ac:dyDescent="0.25">
      <c r="A529" t="s">
        <v>2477</v>
      </c>
      <c r="B529" t="s">
        <v>2851</v>
      </c>
      <c r="C529">
        <v>10301</v>
      </c>
      <c r="D529" t="s">
        <v>222</v>
      </c>
      <c r="E529">
        <v>5</v>
      </c>
      <c r="F529" t="s">
        <v>1415</v>
      </c>
      <c r="G529" t="s">
        <v>2670</v>
      </c>
      <c r="H529" t="s">
        <v>2671</v>
      </c>
      <c r="I529" t="s">
        <v>2854</v>
      </c>
      <c r="K529" t="s">
        <v>792</v>
      </c>
      <c r="L529">
        <v>2</v>
      </c>
    </row>
    <row r="530" spans="1:12" x14ac:dyDescent="0.25">
      <c r="A530" t="s">
        <v>2477</v>
      </c>
      <c r="B530" t="s">
        <v>2851</v>
      </c>
      <c r="C530">
        <v>10301</v>
      </c>
      <c r="D530" t="s">
        <v>222</v>
      </c>
      <c r="E530">
        <v>5</v>
      </c>
      <c r="F530" t="s">
        <v>2855</v>
      </c>
      <c r="G530" t="s">
        <v>2481</v>
      </c>
      <c r="H530" t="s">
        <v>2856</v>
      </c>
      <c r="I530" t="s">
        <v>2857</v>
      </c>
      <c r="K530" t="s">
        <v>792</v>
      </c>
      <c r="L530">
        <v>2</v>
      </c>
    </row>
    <row r="531" spans="1:12" x14ac:dyDescent="0.25">
      <c r="A531" t="s">
        <v>2477</v>
      </c>
      <c r="B531" t="s">
        <v>2858</v>
      </c>
      <c r="C531">
        <v>10301</v>
      </c>
      <c r="D531" t="s">
        <v>222</v>
      </c>
      <c r="E531">
        <v>5</v>
      </c>
      <c r="F531" t="s">
        <v>2203</v>
      </c>
      <c r="G531" t="s">
        <v>2859</v>
      </c>
      <c r="H531" t="s">
        <v>2860</v>
      </c>
      <c r="I531" t="s">
        <v>2861</v>
      </c>
      <c r="K531" t="s">
        <v>792</v>
      </c>
      <c r="L531">
        <v>2</v>
      </c>
    </row>
    <row r="532" spans="1:12" x14ac:dyDescent="0.25">
      <c r="A532" t="s">
        <v>2477</v>
      </c>
      <c r="B532" t="s">
        <v>2858</v>
      </c>
      <c r="C532">
        <v>10301</v>
      </c>
      <c r="D532" t="s">
        <v>222</v>
      </c>
      <c r="E532">
        <v>5</v>
      </c>
      <c r="F532" t="s">
        <v>953</v>
      </c>
      <c r="G532" t="s">
        <v>1342</v>
      </c>
      <c r="H532" t="s">
        <v>2862</v>
      </c>
      <c r="I532" t="s">
        <v>2863</v>
      </c>
      <c r="K532" t="s">
        <v>792</v>
      </c>
      <c r="L532">
        <v>2</v>
      </c>
    </row>
    <row r="533" spans="1:12" x14ac:dyDescent="0.25">
      <c r="A533" t="s">
        <v>2477</v>
      </c>
      <c r="B533" t="s">
        <v>2858</v>
      </c>
      <c r="C533">
        <v>10301</v>
      </c>
      <c r="D533" t="s">
        <v>222</v>
      </c>
      <c r="E533">
        <v>5</v>
      </c>
      <c r="F533" t="s">
        <v>2864</v>
      </c>
      <c r="G533" t="s">
        <v>2865</v>
      </c>
      <c r="H533" t="s">
        <v>2866</v>
      </c>
      <c r="I533" t="s">
        <v>2867</v>
      </c>
      <c r="K533" t="s">
        <v>792</v>
      </c>
      <c r="L533">
        <v>2</v>
      </c>
    </row>
    <row r="534" spans="1:12" x14ac:dyDescent="0.25">
      <c r="A534" t="s">
        <v>2477</v>
      </c>
      <c r="B534" t="s">
        <v>2868</v>
      </c>
      <c r="C534">
        <v>10301</v>
      </c>
      <c r="D534" t="s">
        <v>222</v>
      </c>
      <c r="E534">
        <v>5</v>
      </c>
      <c r="F534" t="s">
        <v>871</v>
      </c>
      <c r="G534" t="s">
        <v>2483</v>
      </c>
      <c r="H534" t="s">
        <v>2869</v>
      </c>
      <c r="I534" t="s">
        <v>2870</v>
      </c>
      <c r="K534" t="s">
        <v>792</v>
      </c>
      <c r="L534">
        <v>2</v>
      </c>
    </row>
    <row r="535" spans="1:12" x14ac:dyDescent="0.25">
      <c r="A535" t="s">
        <v>2477</v>
      </c>
      <c r="B535" t="s">
        <v>2868</v>
      </c>
      <c r="C535">
        <v>10301</v>
      </c>
      <c r="D535" t="s">
        <v>222</v>
      </c>
      <c r="E535">
        <v>5</v>
      </c>
      <c r="F535" t="s">
        <v>874</v>
      </c>
      <c r="G535" t="s">
        <v>1402</v>
      </c>
      <c r="H535" t="s">
        <v>2871</v>
      </c>
      <c r="I535" t="s">
        <v>2872</v>
      </c>
      <c r="K535" t="s">
        <v>792</v>
      </c>
      <c r="L535">
        <v>2</v>
      </c>
    </row>
    <row r="536" spans="1:12" x14ac:dyDescent="0.25">
      <c r="A536" t="s">
        <v>2477</v>
      </c>
      <c r="B536" t="s">
        <v>2868</v>
      </c>
      <c r="C536">
        <v>10301</v>
      </c>
      <c r="D536" t="s">
        <v>222</v>
      </c>
      <c r="E536">
        <v>5</v>
      </c>
      <c r="F536" t="s">
        <v>2519</v>
      </c>
      <c r="G536" t="s">
        <v>1270</v>
      </c>
      <c r="H536" t="s">
        <v>2873</v>
      </c>
      <c r="I536" t="s">
        <v>2874</v>
      </c>
      <c r="K536" t="s">
        <v>792</v>
      </c>
      <c r="L536">
        <v>2</v>
      </c>
    </row>
    <row r="537" spans="1:12" x14ac:dyDescent="0.25">
      <c r="A537" t="s">
        <v>2477</v>
      </c>
      <c r="B537" t="s">
        <v>2256</v>
      </c>
      <c r="C537">
        <v>10301</v>
      </c>
      <c r="D537" t="s">
        <v>222</v>
      </c>
      <c r="E537">
        <v>5</v>
      </c>
      <c r="F537" t="s">
        <v>951</v>
      </c>
      <c r="G537" t="s">
        <v>2256</v>
      </c>
      <c r="H537" t="s">
        <v>2679</v>
      </c>
      <c r="I537" t="s">
        <v>2875</v>
      </c>
      <c r="K537" t="s">
        <v>1255</v>
      </c>
      <c r="L537">
        <v>1</v>
      </c>
    </row>
    <row r="538" spans="1:12" x14ac:dyDescent="0.25">
      <c r="A538" t="s">
        <v>2477</v>
      </c>
      <c r="B538" t="s">
        <v>2256</v>
      </c>
      <c r="C538">
        <v>10301</v>
      </c>
      <c r="D538" t="s">
        <v>222</v>
      </c>
      <c r="E538">
        <v>5</v>
      </c>
      <c r="F538" t="s">
        <v>953</v>
      </c>
      <c r="G538" t="s">
        <v>1342</v>
      </c>
      <c r="H538" t="s">
        <v>2876</v>
      </c>
      <c r="I538" t="s">
        <v>2877</v>
      </c>
      <c r="K538" t="s">
        <v>1255</v>
      </c>
      <c r="L538">
        <v>1</v>
      </c>
    </row>
    <row r="539" spans="1:12" x14ac:dyDescent="0.25">
      <c r="A539" t="s">
        <v>4560</v>
      </c>
      <c r="B539" t="s">
        <v>1622</v>
      </c>
      <c r="C539">
        <v>10302</v>
      </c>
      <c r="D539" t="s">
        <v>240</v>
      </c>
      <c r="E539">
        <v>6</v>
      </c>
      <c r="F539" t="s">
        <v>1448</v>
      </c>
      <c r="G539" t="s">
        <v>1724</v>
      </c>
      <c r="H539" t="s">
        <v>2878</v>
      </c>
      <c r="I539" t="s">
        <v>2528</v>
      </c>
      <c r="K539" t="s">
        <v>792</v>
      </c>
      <c r="L539">
        <v>2</v>
      </c>
    </row>
    <row r="540" spans="1:12" x14ac:dyDescent="0.25">
      <c r="A540" t="s">
        <v>4560</v>
      </c>
      <c r="B540" t="s">
        <v>1622</v>
      </c>
      <c r="C540">
        <v>10302</v>
      </c>
      <c r="D540" t="s">
        <v>240</v>
      </c>
      <c r="E540">
        <v>6</v>
      </c>
      <c r="F540" t="s">
        <v>871</v>
      </c>
      <c r="G540" t="s">
        <v>1266</v>
      </c>
      <c r="H540" t="s">
        <v>2879</v>
      </c>
      <c r="I540" t="s">
        <v>2880</v>
      </c>
      <c r="K540" t="s">
        <v>792</v>
      </c>
      <c r="L540">
        <v>2</v>
      </c>
    </row>
    <row r="541" spans="1:12" x14ac:dyDescent="0.25">
      <c r="A541" t="s">
        <v>4560</v>
      </c>
      <c r="B541" t="s">
        <v>1622</v>
      </c>
      <c r="C541">
        <v>10302</v>
      </c>
      <c r="D541" t="s">
        <v>240</v>
      </c>
      <c r="E541">
        <v>6</v>
      </c>
      <c r="F541" t="s">
        <v>2207</v>
      </c>
      <c r="G541" t="s">
        <v>2811</v>
      </c>
      <c r="H541" t="s">
        <v>2881</v>
      </c>
      <c r="I541" t="s">
        <v>2882</v>
      </c>
      <c r="K541" t="s">
        <v>792</v>
      </c>
      <c r="L541">
        <v>2</v>
      </c>
    </row>
    <row r="542" spans="1:12" x14ac:dyDescent="0.25">
      <c r="A542" t="s">
        <v>4560</v>
      </c>
      <c r="B542" t="s">
        <v>1622</v>
      </c>
      <c r="C542">
        <v>10302</v>
      </c>
      <c r="D542" t="s">
        <v>240</v>
      </c>
      <c r="E542">
        <v>6</v>
      </c>
      <c r="F542" t="s">
        <v>2665</v>
      </c>
      <c r="G542" t="s">
        <v>2806</v>
      </c>
      <c r="H542" t="s">
        <v>2883</v>
      </c>
      <c r="I542" t="s">
        <v>2668</v>
      </c>
      <c r="K542" t="s">
        <v>792</v>
      </c>
      <c r="L542">
        <v>2</v>
      </c>
    </row>
    <row r="543" spans="1:12" x14ac:dyDescent="0.25">
      <c r="A543" t="s">
        <v>4560</v>
      </c>
      <c r="B543" t="s">
        <v>2884</v>
      </c>
      <c r="C543">
        <v>10302</v>
      </c>
      <c r="D543" t="s">
        <v>240</v>
      </c>
      <c r="E543">
        <v>6</v>
      </c>
      <c r="F543" t="s">
        <v>872</v>
      </c>
      <c r="G543" t="s">
        <v>1268</v>
      </c>
      <c r="H543" t="s">
        <v>2885</v>
      </c>
      <c r="I543" t="s">
        <v>926</v>
      </c>
      <c r="K543" t="s">
        <v>792</v>
      </c>
      <c r="L543">
        <v>2</v>
      </c>
    </row>
    <row r="544" spans="1:12" x14ac:dyDescent="0.25">
      <c r="A544" t="s">
        <v>4560</v>
      </c>
      <c r="B544" t="s">
        <v>2884</v>
      </c>
      <c r="C544">
        <v>10302</v>
      </c>
      <c r="D544" t="s">
        <v>240</v>
      </c>
      <c r="E544">
        <v>6</v>
      </c>
      <c r="F544" t="s">
        <v>2886</v>
      </c>
      <c r="G544" t="s">
        <v>2479</v>
      </c>
      <c r="H544" t="s">
        <v>2887</v>
      </c>
      <c r="I544" t="s">
        <v>2888</v>
      </c>
      <c r="K544" t="s">
        <v>792</v>
      </c>
      <c r="L544">
        <v>2</v>
      </c>
    </row>
    <row r="545" spans="1:12" x14ac:dyDescent="0.25">
      <c r="A545" t="s">
        <v>4560</v>
      </c>
      <c r="B545" t="s">
        <v>2884</v>
      </c>
      <c r="C545">
        <v>10302</v>
      </c>
      <c r="D545" t="s">
        <v>240</v>
      </c>
      <c r="E545">
        <v>6</v>
      </c>
      <c r="F545" t="s">
        <v>934</v>
      </c>
      <c r="G545" t="s">
        <v>1325</v>
      </c>
      <c r="H545" t="s">
        <v>2823</v>
      </c>
      <c r="I545" t="s">
        <v>2889</v>
      </c>
      <c r="K545" t="s">
        <v>792</v>
      </c>
      <c r="L545">
        <v>2</v>
      </c>
    </row>
    <row r="546" spans="1:12" x14ac:dyDescent="0.25">
      <c r="A546" t="s">
        <v>4560</v>
      </c>
      <c r="B546" t="s">
        <v>2884</v>
      </c>
      <c r="C546">
        <v>10302</v>
      </c>
      <c r="D546" t="s">
        <v>240</v>
      </c>
      <c r="E546">
        <v>6</v>
      </c>
      <c r="F546" t="s">
        <v>874</v>
      </c>
      <c r="G546" t="s">
        <v>1402</v>
      </c>
      <c r="H546" t="s">
        <v>2890</v>
      </c>
      <c r="I546" t="s">
        <v>1471</v>
      </c>
      <c r="K546" t="s">
        <v>792</v>
      </c>
      <c r="L546">
        <v>2</v>
      </c>
    </row>
    <row r="547" spans="1:12" x14ac:dyDescent="0.25">
      <c r="A547" t="s">
        <v>4560</v>
      </c>
      <c r="B547" t="s">
        <v>2483</v>
      </c>
      <c r="C547">
        <v>10302</v>
      </c>
      <c r="D547" t="s">
        <v>240</v>
      </c>
      <c r="E547">
        <v>6</v>
      </c>
      <c r="F547" t="s">
        <v>937</v>
      </c>
      <c r="G547" t="s">
        <v>2483</v>
      </c>
      <c r="H547" t="s">
        <v>2891</v>
      </c>
      <c r="I547" t="s">
        <v>2892</v>
      </c>
      <c r="K547" t="s">
        <v>792</v>
      </c>
      <c r="L547">
        <v>2</v>
      </c>
    </row>
    <row r="548" spans="1:12" x14ac:dyDescent="0.25">
      <c r="A548" t="s">
        <v>4560</v>
      </c>
      <c r="B548" t="s">
        <v>2483</v>
      </c>
      <c r="C548">
        <v>10302</v>
      </c>
      <c r="D548" t="s">
        <v>240</v>
      </c>
      <c r="E548">
        <v>6</v>
      </c>
      <c r="F548" t="s">
        <v>937</v>
      </c>
      <c r="G548" t="s">
        <v>2483</v>
      </c>
      <c r="H548" t="s">
        <v>2893</v>
      </c>
      <c r="I548" t="s">
        <v>847</v>
      </c>
      <c r="K548" t="s">
        <v>792</v>
      </c>
      <c r="L548">
        <v>2</v>
      </c>
    </row>
    <row r="549" spans="1:12" x14ac:dyDescent="0.25">
      <c r="A549" t="s">
        <v>4560</v>
      </c>
      <c r="B549" t="s">
        <v>2483</v>
      </c>
      <c r="C549">
        <v>10302</v>
      </c>
      <c r="D549" t="s">
        <v>240</v>
      </c>
      <c r="E549">
        <v>6</v>
      </c>
      <c r="F549" t="s">
        <v>871</v>
      </c>
      <c r="G549" t="s">
        <v>1334</v>
      </c>
      <c r="H549" t="s">
        <v>2894</v>
      </c>
      <c r="I549" t="s">
        <v>2895</v>
      </c>
      <c r="K549" t="s">
        <v>792</v>
      </c>
      <c r="L549">
        <v>2</v>
      </c>
    </row>
    <row r="550" spans="1:12" x14ac:dyDescent="0.25">
      <c r="A550" t="s">
        <v>4560</v>
      </c>
      <c r="B550" t="s">
        <v>2483</v>
      </c>
      <c r="C550">
        <v>10302</v>
      </c>
      <c r="D550" t="s">
        <v>240</v>
      </c>
      <c r="E550">
        <v>6</v>
      </c>
      <c r="F550" t="s">
        <v>871</v>
      </c>
      <c r="G550" t="s">
        <v>1334</v>
      </c>
      <c r="H550" t="s">
        <v>2896</v>
      </c>
      <c r="I550" t="s">
        <v>2897</v>
      </c>
      <c r="K550" t="s">
        <v>792</v>
      </c>
      <c r="L550">
        <v>2</v>
      </c>
    </row>
    <row r="551" spans="1:12" x14ac:dyDescent="0.25">
      <c r="A551" t="s">
        <v>4560</v>
      </c>
      <c r="B551" t="s">
        <v>2898</v>
      </c>
      <c r="C551">
        <v>10302</v>
      </c>
      <c r="D551" t="s">
        <v>240</v>
      </c>
      <c r="E551">
        <v>6</v>
      </c>
      <c r="F551" t="s">
        <v>2899</v>
      </c>
      <c r="G551" t="s">
        <v>2900</v>
      </c>
      <c r="H551" t="s">
        <v>2901</v>
      </c>
      <c r="I551" t="s">
        <v>942</v>
      </c>
      <c r="K551" t="s">
        <v>792</v>
      </c>
      <c r="L551">
        <v>2</v>
      </c>
    </row>
    <row r="552" spans="1:12" x14ac:dyDescent="0.25">
      <c r="A552" t="s">
        <v>4560</v>
      </c>
      <c r="B552" t="s">
        <v>2898</v>
      </c>
      <c r="C552">
        <v>10302</v>
      </c>
      <c r="D552" t="s">
        <v>240</v>
      </c>
      <c r="E552">
        <v>6</v>
      </c>
      <c r="F552" t="s">
        <v>2899</v>
      </c>
      <c r="G552" t="s">
        <v>2900</v>
      </c>
      <c r="H552" t="s">
        <v>2902</v>
      </c>
      <c r="I552" t="s">
        <v>2903</v>
      </c>
      <c r="K552" t="s">
        <v>792</v>
      </c>
      <c r="L552">
        <v>2</v>
      </c>
    </row>
    <row r="553" spans="1:12" x14ac:dyDescent="0.25">
      <c r="A553" t="s">
        <v>4560</v>
      </c>
      <c r="B553" t="s">
        <v>2898</v>
      </c>
      <c r="C553">
        <v>10302</v>
      </c>
      <c r="D553" t="s">
        <v>240</v>
      </c>
      <c r="E553">
        <v>6</v>
      </c>
      <c r="F553" t="s">
        <v>2519</v>
      </c>
      <c r="G553" t="s">
        <v>1270</v>
      </c>
      <c r="H553" t="s">
        <v>2904</v>
      </c>
      <c r="I553" t="s">
        <v>887</v>
      </c>
      <c r="K553" t="s">
        <v>792</v>
      </c>
      <c r="L553">
        <v>2</v>
      </c>
    </row>
    <row r="554" spans="1:12" x14ac:dyDescent="0.25">
      <c r="A554" t="s">
        <v>4560</v>
      </c>
      <c r="B554" t="s">
        <v>2898</v>
      </c>
      <c r="C554">
        <v>10302</v>
      </c>
      <c r="D554" t="s">
        <v>240</v>
      </c>
      <c r="E554">
        <v>6</v>
      </c>
      <c r="F554" t="s">
        <v>874</v>
      </c>
      <c r="G554" t="s">
        <v>1402</v>
      </c>
      <c r="H554" t="s">
        <v>2905</v>
      </c>
      <c r="I554" t="s">
        <v>2906</v>
      </c>
      <c r="K554" t="s">
        <v>792</v>
      </c>
      <c r="L554">
        <v>2</v>
      </c>
    </row>
    <row r="555" spans="1:12" x14ac:dyDescent="0.25">
      <c r="A555" t="s">
        <v>4560</v>
      </c>
      <c r="B555" t="s">
        <v>2907</v>
      </c>
      <c r="C555">
        <v>10302</v>
      </c>
      <c r="D555" t="s">
        <v>240</v>
      </c>
      <c r="E555">
        <v>6</v>
      </c>
      <c r="F555" t="s">
        <v>816</v>
      </c>
      <c r="G555" t="s">
        <v>1256</v>
      </c>
      <c r="H555" t="s">
        <v>2908</v>
      </c>
      <c r="I555" t="s">
        <v>2909</v>
      </c>
      <c r="K555" t="s">
        <v>792</v>
      </c>
      <c r="L555">
        <v>2</v>
      </c>
    </row>
    <row r="556" spans="1:12" x14ac:dyDescent="0.25">
      <c r="A556" t="s">
        <v>4560</v>
      </c>
      <c r="B556" t="s">
        <v>2907</v>
      </c>
      <c r="C556">
        <v>10302</v>
      </c>
      <c r="D556" t="s">
        <v>240</v>
      </c>
      <c r="E556">
        <v>6</v>
      </c>
      <c r="F556" t="s">
        <v>816</v>
      </c>
      <c r="G556" t="s">
        <v>1256</v>
      </c>
      <c r="H556" t="s">
        <v>2910</v>
      </c>
      <c r="I556" t="s">
        <v>2911</v>
      </c>
      <c r="K556" t="s">
        <v>792</v>
      </c>
      <c r="L556">
        <v>2</v>
      </c>
    </row>
    <row r="557" spans="1:12" x14ac:dyDescent="0.25">
      <c r="A557" t="s">
        <v>4560</v>
      </c>
      <c r="B557" t="s">
        <v>2907</v>
      </c>
      <c r="C557">
        <v>10302</v>
      </c>
      <c r="D557" t="s">
        <v>240</v>
      </c>
      <c r="E557">
        <v>6</v>
      </c>
      <c r="F557" t="s">
        <v>2203</v>
      </c>
      <c r="G557" t="s">
        <v>2859</v>
      </c>
      <c r="H557" t="s">
        <v>2912</v>
      </c>
      <c r="I557" t="s">
        <v>2913</v>
      </c>
      <c r="K557" t="s">
        <v>792</v>
      </c>
      <c r="L557">
        <v>2</v>
      </c>
    </row>
    <row r="558" spans="1:12" x14ac:dyDescent="0.25">
      <c r="A558" t="s">
        <v>4560</v>
      </c>
      <c r="B558" t="s">
        <v>2914</v>
      </c>
      <c r="C558">
        <v>10302</v>
      </c>
      <c r="D558" t="s">
        <v>240</v>
      </c>
      <c r="E558">
        <v>6</v>
      </c>
      <c r="F558" t="s">
        <v>873</v>
      </c>
      <c r="G558" t="s">
        <v>1340</v>
      </c>
      <c r="H558" t="s">
        <v>2915</v>
      </c>
      <c r="I558" t="s">
        <v>2916</v>
      </c>
      <c r="K558" t="s">
        <v>792</v>
      </c>
      <c r="L558">
        <v>2</v>
      </c>
    </row>
    <row r="559" spans="1:12" x14ac:dyDescent="0.25">
      <c r="A559" t="s">
        <v>4560</v>
      </c>
      <c r="B559" t="s">
        <v>2914</v>
      </c>
      <c r="C559">
        <v>10302</v>
      </c>
      <c r="D559" t="s">
        <v>240</v>
      </c>
      <c r="E559">
        <v>6</v>
      </c>
      <c r="F559" t="s">
        <v>873</v>
      </c>
      <c r="G559" t="s">
        <v>1340</v>
      </c>
      <c r="H559" t="s">
        <v>2917</v>
      </c>
      <c r="I559" t="s">
        <v>2918</v>
      </c>
      <c r="K559" t="s">
        <v>792</v>
      </c>
      <c r="L559">
        <v>2</v>
      </c>
    </row>
    <row r="560" spans="1:12" x14ac:dyDescent="0.25">
      <c r="A560" t="s">
        <v>4560</v>
      </c>
      <c r="B560" t="s">
        <v>2914</v>
      </c>
      <c r="C560">
        <v>10302</v>
      </c>
      <c r="D560" t="s">
        <v>240</v>
      </c>
      <c r="E560">
        <v>6</v>
      </c>
      <c r="F560" t="s">
        <v>873</v>
      </c>
      <c r="G560" t="s">
        <v>1340</v>
      </c>
      <c r="H560" t="s">
        <v>2919</v>
      </c>
      <c r="I560" t="s">
        <v>2920</v>
      </c>
      <c r="K560" t="s">
        <v>792</v>
      </c>
      <c r="L560">
        <v>2</v>
      </c>
    </row>
    <row r="561" spans="1:12" x14ac:dyDescent="0.25">
      <c r="A561" t="s">
        <v>4560</v>
      </c>
      <c r="B561" t="s">
        <v>2256</v>
      </c>
      <c r="C561">
        <v>10302</v>
      </c>
      <c r="D561" t="s">
        <v>240</v>
      </c>
      <c r="E561">
        <v>6</v>
      </c>
      <c r="F561" t="s">
        <v>951</v>
      </c>
      <c r="G561" t="s">
        <v>2256</v>
      </c>
      <c r="H561" t="s">
        <v>2679</v>
      </c>
      <c r="I561" t="s">
        <v>1396</v>
      </c>
      <c r="K561" t="s">
        <v>1255</v>
      </c>
      <c r="L561">
        <v>1</v>
      </c>
    </row>
    <row r="562" spans="1:12" x14ac:dyDescent="0.25">
      <c r="A562" t="s">
        <v>4560</v>
      </c>
      <c r="B562" t="s">
        <v>2256</v>
      </c>
      <c r="C562">
        <v>10302</v>
      </c>
      <c r="D562" t="s">
        <v>240</v>
      </c>
      <c r="E562">
        <v>6</v>
      </c>
      <c r="F562" t="s">
        <v>953</v>
      </c>
      <c r="G562" t="s">
        <v>1342</v>
      </c>
      <c r="H562" t="s">
        <v>2876</v>
      </c>
      <c r="I562" t="s">
        <v>2921</v>
      </c>
      <c r="K562" t="s">
        <v>1255</v>
      </c>
      <c r="L562">
        <v>1</v>
      </c>
    </row>
    <row r="563" spans="1:12" x14ac:dyDescent="0.25">
      <c r="A563" t="s">
        <v>4561</v>
      </c>
      <c r="B563" t="s">
        <v>1622</v>
      </c>
      <c r="C563">
        <v>10303</v>
      </c>
      <c r="D563" t="s">
        <v>200</v>
      </c>
      <c r="E563">
        <v>7</v>
      </c>
      <c r="F563" t="s">
        <v>1448</v>
      </c>
      <c r="G563" t="s">
        <v>1724</v>
      </c>
      <c r="H563" t="s">
        <v>2922</v>
      </c>
      <c r="I563" t="s">
        <v>2923</v>
      </c>
      <c r="K563" t="s">
        <v>792</v>
      </c>
      <c r="L563">
        <v>2</v>
      </c>
    </row>
    <row r="564" spans="1:12" x14ac:dyDescent="0.25">
      <c r="A564" t="s">
        <v>4561</v>
      </c>
      <c r="B564" t="s">
        <v>1622</v>
      </c>
      <c r="C564">
        <v>10303</v>
      </c>
      <c r="D564" t="s">
        <v>200</v>
      </c>
      <c r="E564">
        <v>7</v>
      </c>
      <c r="F564" t="s">
        <v>871</v>
      </c>
      <c r="G564" t="s">
        <v>1266</v>
      </c>
      <c r="H564" t="s">
        <v>2924</v>
      </c>
      <c r="I564" t="s">
        <v>2925</v>
      </c>
      <c r="K564" t="s">
        <v>792</v>
      </c>
      <c r="L564">
        <v>2</v>
      </c>
    </row>
    <row r="565" spans="1:12" x14ac:dyDescent="0.25">
      <c r="A565" t="s">
        <v>4561</v>
      </c>
      <c r="B565" t="s">
        <v>1622</v>
      </c>
      <c r="C565">
        <v>10303</v>
      </c>
      <c r="D565" t="s">
        <v>200</v>
      </c>
      <c r="E565">
        <v>7</v>
      </c>
      <c r="F565" t="s">
        <v>2207</v>
      </c>
      <c r="G565" t="s">
        <v>2811</v>
      </c>
      <c r="H565" t="s">
        <v>2926</v>
      </c>
      <c r="I565" t="s">
        <v>2927</v>
      </c>
      <c r="K565" t="s">
        <v>792</v>
      </c>
      <c r="L565">
        <v>2</v>
      </c>
    </row>
    <row r="566" spans="1:12" x14ac:dyDescent="0.25">
      <c r="A566" t="s">
        <v>4561</v>
      </c>
      <c r="B566" t="s">
        <v>1622</v>
      </c>
      <c r="C566">
        <v>10303</v>
      </c>
      <c r="D566" t="s">
        <v>200</v>
      </c>
      <c r="E566">
        <v>7</v>
      </c>
      <c r="F566" t="s">
        <v>2665</v>
      </c>
      <c r="G566" t="s">
        <v>2806</v>
      </c>
      <c r="H566" t="s">
        <v>2928</v>
      </c>
      <c r="I566" t="s">
        <v>2929</v>
      </c>
      <c r="K566" t="s">
        <v>792</v>
      </c>
      <c r="L566">
        <v>2</v>
      </c>
    </row>
    <row r="567" spans="1:12" x14ac:dyDescent="0.25">
      <c r="A567" t="s">
        <v>4561</v>
      </c>
      <c r="B567" t="s">
        <v>2930</v>
      </c>
      <c r="C567">
        <v>10303</v>
      </c>
      <c r="D567" t="s">
        <v>200</v>
      </c>
      <c r="E567">
        <v>7</v>
      </c>
      <c r="F567" t="s">
        <v>872</v>
      </c>
      <c r="G567" t="s">
        <v>1268</v>
      </c>
      <c r="H567" t="s">
        <v>2931</v>
      </c>
      <c r="I567" t="s">
        <v>2796</v>
      </c>
      <c r="K567" t="s">
        <v>792</v>
      </c>
      <c r="L567">
        <v>2</v>
      </c>
    </row>
    <row r="568" spans="1:12" x14ac:dyDescent="0.25">
      <c r="A568" t="s">
        <v>4561</v>
      </c>
      <c r="B568" t="s">
        <v>2930</v>
      </c>
      <c r="C568">
        <v>10303</v>
      </c>
      <c r="D568" t="s">
        <v>200</v>
      </c>
      <c r="E568">
        <v>7</v>
      </c>
      <c r="F568" t="s">
        <v>872</v>
      </c>
      <c r="G568" t="s">
        <v>1268</v>
      </c>
      <c r="H568" t="s">
        <v>2932</v>
      </c>
      <c r="I568" t="s">
        <v>2933</v>
      </c>
      <c r="K568" t="s">
        <v>792</v>
      </c>
      <c r="L568">
        <v>2</v>
      </c>
    </row>
    <row r="569" spans="1:12" x14ac:dyDescent="0.25">
      <c r="A569" t="s">
        <v>4561</v>
      </c>
      <c r="B569" t="s">
        <v>2930</v>
      </c>
      <c r="C569">
        <v>10303</v>
      </c>
      <c r="D569" t="s">
        <v>200</v>
      </c>
      <c r="E569">
        <v>7</v>
      </c>
      <c r="F569" t="s">
        <v>934</v>
      </c>
      <c r="G569" t="s">
        <v>1325</v>
      </c>
      <c r="H569" t="s">
        <v>2934</v>
      </c>
      <c r="I569" t="s">
        <v>2935</v>
      </c>
      <c r="K569" t="s">
        <v>792</v>
      </c>
      <c r="L569">
        <v>2</v>
      </c>
    </row>
    <row r="570" spans="1:12" x14ac:dyDescent="0.25">
      <c r="A570" t="s">
        <v>4561</v>
      </c>
      <c r="B570" t="s">
        <v>2936</v>
      </c>
      <c r="C570">
        <v>10303</v>
      </c>
      <c r="D570" t="s">
        <v>200</v>
      </c>
      <c r="E570">
        <v>7</v>
      </c>
      <c r="F570" t="s">
        <v>2937</v>
      </c>
      <c r="G570" t="s">
        <v>2938</v>
      </c>
      <c r="H570" t="s">
        <v>2939</v>
      </c>
      <c r="I570" t="s">
        <v>2940</v>
      </c>
      <c r="K570" t="s">
        <v>792</v>
      </c>
      <c r="L570">
        <v>2</v>
      </c>
    </row>
    <row r="571" spans="1:12" x14ac:dyDescent="0.25">
      <c r="A571" t="s">
        <v>4561</v>
      </c>
      <c r="B571" t="s">
        <v>2936</v>
      </c>
      <c r="C571">
        <v>10303</v>
      </c>
      <c r="D571" t="s">
        <v>200</v>
      </c>
      <c r="E571">
        <v>7</v>
      </c>
      <c r="F571" t="s">
        <v>2937</v>
      </c>
      <c r="G571" t="s">
        <v>2938</v>
      </c>
      <c r="H571" t="s">
        <v>2941</v>
      </c>
      <c r="I571" t="s">
        <v>895</v>
      </c>
      <c r="K571" t="s">
        <v>792</v>
      </c>
      <c r="L571">
        <v>2</v>
      </c>
    </row>
    <row r="572" spans="1:12" x14ac:dyDescent="0.25">
      <c r="A572" t="s">
        <v>4561</v>
      </c>
      <c r="B572" t="s">
        <v>2936</v>
      </c>
      <c r="C572">
        <v>10303</v>
      </c>
      <c r="D572" t="s">
        <v>200</v>
      </c>
      <c r="E572">
        <v>7</v>
      </c>
      <c r="F572" t="s">
        <v>2937</v>
      </c>
      <c r="G572" t="s">
        <v>2938</v>
      </c>
      <c r="H572" t="s">
        <v>2942</v>
      </c>
      <c r="I572" t="s">
        <v>2943</v>
      </c>
      <c r="K572" t="s">
        <v>792</v>
      </c>
      <c r="L572">
        <v>2</v>
      </c>
    </row>
    <row r="573" spans="1:12" x14ac:dyDescent="0.25">
      <c r="A573" t="s">
        <v>4561</v>
      </c>
      <c r="B573" t="s">
        <v>2944</v>
      </c>
      <c r="C573">
        <v>10303</v>
      </c>
      <c r="D573" t="s">
        <v>200</v>
      </c>
      <c r="E573">
        <v>7</v>
      </c>
      <c r="F573" t="s">
        <v>2519</v>
      </c>
      <c r="G573" t="s">
        <v>1270</v>
      </c>
      <c r="H573" t="s">
        <v>2945</v>
      </c>
      <c r="I573" t="s">
        <v>2946</v>
      </c>
      <c r="K573" t="s">
        <v>792</v>
      </c>
      <c r="L573">
        <v>2</v>
      </c>
    </row>
    <row r="574" spans="1:12" x14ac:dyDescent="0.25">
      <c r="A574" t="s">
        <v>4561</v>
      </c>
      <c r="B574" t="s">
        <v>2944</v>
      </c>
      <c r="C574">
        <v>10303</v>
      </c>
      <c r="D574" t="s">
        <v>200</v>
      </c>
      <c r="E574">
        <v>7</v>
      </c>
      <c r="F574" t="s">
        <v>874</v>
      </c>
      <c r="G574" t="s">
        <v>1402</v>
      </c>
      <c r="H574" t="s">
        <v>2947</v>
      </c>
      <c r="I574" t="s">
        <v>2948</v>
      </c>
      <c r="K574" t="s">
        <v>792</v>
      </c>
      <c r="L574">
        <v>2</v>
      </c>
    </row>
    <row r="575" spans="1:12" x14ac:dyDescent="0.25">
      <c r="A575" t="s">
        <v>4561</v>
      </c>
      <c r="B575" t="s">
        <v>2944</v>
      </c>
      <c r="C575">
        <v>10303</v>
      </c>
      <c r="D575" t="s">
        <v>200</v>
      </c>
      <c r="E575">
        <v>7</v>
      </c>
      <c r="F575" t="s">
        <v>2899</v>
      </c>
      <c r="G575" t="s">
        <v>2900</v>
      </c>
      <c r="H575" t="s">
        <v>2949</v>
      </c>
      <c r="I575" t="s">
        <v>2950</v>
      </c>
      <c r="K575" t="s">
        <v>792</v>
      </c>
      <c r="L575">
        <v>2</v>
      </c>
    </row>
    <row r="576" spans="1:12" x14ac:dyDescent="0.25">
      <c r="A576" t="s">
        <v>4561</v>
      </c>
      <c r="B576" t="s">
        <v>2951</v>
      </c>
      <c r="C576">
        <v>10303</v>
      </c>
      <c r="D576" t="s">
        <v>200</v>
      </c>
      <c r="E576">
        <v>7</v>
      </c>
      <c r="F576" t="s">
        <v>2203</v>
      </c>
      <c r="G576" t="s">
        <v>2859</v>
      </c>
      <c r="H576" t="s">
        <v>2952</v>
      </c>
      <c r="I576" t="s">
        <v>2953</v>
      </c>
      <c r="K576" t="s">
        <v>792</v>
      </c>
      <c r="L576">
        <v>2</v>
      </c>
    </row>
    <row r="577" spans="1:12" x14ac:dyDescent="0.25">
      <c r="A577" t="s">
        <v>4561</v>
      </c>
      <c r="B577" t="s">
        <v>2951</v>
      </c>
      <c r="C577">
        <v>10303</v>
      </c>
      <c r="D577" t="s">
        <v>200</v>
      </c>
      <c r="E577">
        <v>7</v>
      </c>
      <c r="F577" t="s">
        <v>2203</v>
      </c>
      <c r="G577" t="s">
        <v>2859</v>
      </c>
      <c r="H577" t="s">
        <v>2752</v>
      </c>
      <c r="I577" t="s">
        <v>2323</v>
      </c>
      <c r="K577" t="s">
        <v>792</v>
      </c>
      <c r="L577">
        <v>2</v>
      </c>
    </row>
    <row r="578" spans="1:12" x14ac:dyDescent="0.25">
      <c r="A578" t="s">
        <v>4561</v>
      </c>
      <c r="B578" t="s">
        <v>2951</v>
      </c>
      <c r="C578">
        <v>10303</v>
      </c>
      <c r="D578" t="s">
        <v>200</v>
      </c>
      <c r="E578">
        <v>7</v>
      </c>
      <c r="F578" t="s">
        <v>2208</v>
      </c>
      <c r="G578" t="s">
        <v>2809</v>
      </c>
      <c r="H578" t="s">
        <v>2954</v>
      </c>
      <c r="I578" t="s">
        <v>2955</v>
      </c>
      <c r="K578" t="s">
        <v>792</v>
      </c>
      <c r="L578">
        <v>2</v>
      </c>
    </row>
    <row r="579" spans="1:12" x14ac:dyDescent="0.25">
      <c r="A579" t="s">
        <v>4561</v>
      </c>
      <c r="B579" t="s">
        <v>2956</v>
      </c>
      <c r="C579">
        <v>10303</v>
      </c>
      <c r="D579" t="s">
        <v>200</v>
      </c>
      <c r="E579">
        <v>7</v>
      </c>
      <c r="F579" t="s">
        <v>873</v>
      </c>
      <c r="G579" t="s">
        <v>1340</v>
      </c>
      <c r="H579" t="s">
        <v>2957</v>
      </c>
      <c r="I579" t="s">
        <v>2958</v>
      </c>
      <c r="K579" t="s">
        <v>792</v>
      </c>
      <c r="L579">
        <v>2</v>
      </c>
    </row>
    <row r="580" spans="1:12" x14ac:dyDescent="0.25">
      <c r="A580" t="s">
        <v>4561</v>
      </c>
      <c r="B580" t="s">
        <v>2956</v>
      </c>
      <c r="C580">
        <v>10303</v>
      </c>
      <c r="D580" t="s">
        <v>200</v>
      </c>
      <c r="E580">
        <v>7</v>
      </c>
      <c r="F580" t="s">
        <v>873</v>
      </c>
      <c r="G580" t="s">
        <v>1340</v>
      </c>
      <c r="H580" t="s">
        <v>2959</v>
      </c>
      <c r="I580" t="s">
        <v>2960</v>
      </c>
      <c r="K580" t="s">
        <v>792</v>
      </c>
      <c r="L580">
        <v>2</v>
      </c>
    </row>
    <row r="581" spans="1:12" x14ac:dyDescent="0.25">
      <c r="A581" t="s">
        <v>4561</v>
      </c>
      <c r="B581" t="s">
        <v>2961</v>
      </c>
      <c r="C581">
        <v>10303</v>
      </c>
      <c r="D581" t="s">
        <v>200</v>
      </c>
      <c r="E581">
        <v>7</v>
      </c>
      <c r="F581" t="s">
        <v>951</v>
      </c>
      <c r="G581" t="s">
        <v>2256</v>
      </c>
      <c r="H581" t="s">
        <v>2962</v>
      </c>
      <c r="I581" t="s">
        <v>2963</v>
      </c>
      <c r="K581" t="s">
        <v>1255</v>
      </c>
      <c r="L581">
        <v>1</v>
      </c>
    </row>
    <row r="582" spans="1:12" x14ac:dyDescent="0.25">
      <c r="A582" t="s">
        <v>4561</v>
      </c>
      <c r="B582" t="s">
        <v>2961</v>
      </c>
      <c r="C582">
        <v>10303</v>
      </c>
      <c r="D582" t="s">
        <v>200</v>
      </c>
      <c r="E582">
        <v>7</v>
      </c>
      <c r="F582" t="s">
        <v>953</v>
      </c>
      <c r="G582" t="s">
        <v>1342</v>
      </c>
      <c r="H582" t="s">
        <v>2964</v>
      </c>
      <c r="I582" t="s">
        <v>2965</v>
      </c>
      <c r="K582" t="s">
        <v>1255</v>
      </c>
      <c r="L582">
        <v>1</v>
      </c>
    </row>
    <row r="583" spans="1:12" x14ac:dyDescent="0.25">
      <c r="A583" t="s">
        <v>2967</v>
      </c>
      <c r="B583" t="s">
        <v>2966</v>
      </c>
      <c r="C583">
        <v>6103</v>
      </c>
      <c r="D583" t="s">
        <v>2967</v>
      </c>
      <c r="E583">
        <v>5</v>
      </c>
      <c r="F583" t="s">
        <v>1448</v>
      </c>
      <c r="G583" t="s">
        <v>2621</v>
      </c>
      <c r="H583" t="s">
        <v>2968</v>
      </c>
      <c r="I583" t="s">
        <v>2969</v>
      </c>
      <c r="K583" t="s">
        <v>792</v>
      </c>
      <c r="L583">
        <v>2</v>
      </c>
    </row>
    <row r="584" spans="1:12" x14ac:dyDescent="0.25">
      <c r="A584" t="s">
        <v>2967</v>
      </c>
      <c r="B584" t="s">
        <v>2966</v>
      </c>
      <c r="C584">
        <v>6103</v>
      </c>
      <c r="D584" t="s">
        <v>2967</v>
      </c>
      <c r="E584">
        <v>5</v>
      </c>
      <c r="F584" t="s">
        <v>1448</v>
      </c>
      <c r="G584" t="s">
        <v>2621</v>
      </c>
      <c r="H584" t="s">
        <v>2970</v>
      </c>
      <c r="I584" t="s">
        <v>2971</v>
      </c>
      <c r="K584" t="s">
        <v>792</v>
      </c>
      <c r="L584">
        <v>2</v>
      </c>
    </row>
    <row r="585" spans="1:12" x14ac:dyDescent="0.25">
      <c r="A585" t="s">
        <v>2967</v>
      </c>
      <c r="B585" t="s">
        <v>2966</v>
      </c>
      <c r="C585">
        <v>6103</v>
      </c>
      <c r="D585" t="s">
        <v>2967</v>
      </c>
      <c r="E585">
        <v>5</v>
      </c>
      <c r="F585" t="s">
        <v>2665</v>
      </c>
      <c r="G585" t="s">
        <v>2806</v>
      </c>
      <c r="H585" t="s">
        <v>2972</v>
      </c>
      <c r="I585" t="s">
        <v>2973</v>
      </c>
      <c r="K585" t="s">
        <v>792</v>
      </c>
      <c r="L585">
        <v>2</v>
      </c>
    </row>
    <row r="586" spans="1:12" x14ac:dyDescent="0.25">
      <c r="A586" t="s">
        <v>2967</v>
      </c>
      <c r="B586" t="s">
        <v>2974</v>
      </c>
      <c r="C586">
        <v>6103</v>
      </c>
      <c r="D586" t="s">
        <v>2967</v>
      </c>
      <c r="E586">
        <v>5</v>
      </c>
      <c r="F586" t="s">
        <v>2975</v>
      </c>
      <c r="G586" t="s">
        <v>2976</v>
      </c>
      <c r="H586" t="s">
        <v>2977</v>
      </c>
      <c r="I586" t="s">
        <v>2978</v>
      </c>
      <c r="K586" t="s">
        <v>792</v>
      </c>
      <c r="L586">
        <v>2</v>
      </c>
    </row>
    <row r="587" spans="1:12" x14ac:dyDescent="0.25">
      <c r="A587" t="s">
        <v>2967</v>
      </c>
      <c r="B587" t="s">
        <v>2974</v>
      </c>
      <c r="C587">
        <v>6103</v>
      </c>
      <c r="D587" t="s">
        <v>2967</v>
      </c>
      <c r="E587">
        <v>5</v>
      </c>
      <c r="F587" t="s">
        <v>2975</v>
      </c>
      <c r="G587" t="s">
        <v>2976</v>
      </c>
      <c r="H587" t="s">
        <v>2979</v>
      </c>
      <c r="I587" t="s">
        <v>2738</v>
      </c>
      <c r="K587" t="s">
        <v>792</v>
      </c>
      <c r="L587">
        <v>2</v>
      </c>
    </row>
    <row r="588" spans="1:12" x14ac:dyDescent="0.25">
      <c r="A588" t="s">
        <v>2967</v>
      </c>
      <c r="B588" t="s">
        <v>2974</v>
      </c>
      <c r="C588">
        <v>6103</v>
      </c>
      <c r="D588" t="s">
        <v>2967</v>
      </c>
      <c r="E588">
        <v>5</v>
      </c>
      <c r="F588" t="s">
        <v>1454</v>
      </c>
      <c r="G588" t="s">
        <v>2980</v>
      </c>
      <c r="H588" t="s">
        <v>2981</v>
      </c>
      <c r="I588" t="s">
        <v>2982</v>
      </c>
      <c r="K588" t="s">
        <v>792</v>
      </c>
      <c r="L588">
        <v>2</v>
      </c>
    </row>
    <row r="589" spans="1:12" x14ac:dyDescent="0.25">
      <c r="A589" t="s">
        <v>2967</v>
      </c>
      <c r="B589" t="s">
        <v>2983</v>
      </c>
      <c r="C589">
        <v>6103</v>
      </c>
      <c r="D589" t="s">
        <v>2967</v>
      </c>
      <c r="E589">
        <v>5</v>
      </c>
      <c r="F589" t="s">
        <v>1371</v>
      </c>
      <c r="G589" t="s">
        <v>2984</v>
      </c>
      <c r="H589" t="s">
        <v>2985</v>
      </c>
      <c r="I589" t="s">
        <v>2986</v>
      </c>
      <c r="K589" t="s">
        <v>792</v>
      </c>
      <c r="L589">
        <v>2</v>
      </c>
    </row>
    <row r="590" spans="1:12" x14ac:dyDescent="0.25">
      <c r="A590" t="s">
        <v>2967</v>
      </c>
      <c r="B590" t="s">
        <v>2983</v>
      </c>
      <c r="C590">
        <v>6103</v>
      </c>
      <c r="D590" t="s">
        <v>2967</v>
      </c>
      <c r="E590">
        <v>5</v>
      </c>
      <c r="F590" t="s">
        <v>1371</v>
      </c>
      <c r="G590" t="s">
        <v>2984</v>
      </c>
      <c r="H590" t="s">
        <v>2987</v>
      </c>
      <c r="I590" t="s">
        <v>2988</v>
      </c>
      <c r="K590" t="s">
        <v>792</v>
      </c>
      <c r="L590">
        <v>2</v>
      </c>
    </row>
    <row r="591" spans="1:12" x14ac:dyDescent="0.25">
      <c r="A591" t="s">
        <v>2967</v>
      </c>
      <c r="B591" t="s">
        <v>2983</v>
      </c>
      <c r="C591">
        <v>6103</v>
      </c>
      <c r="D591" t="s">
        <v>2967</v>
      </c>
      <c r="E591">
        <v>5</v>
      </c>
      <c r="F591" t="s">
        <v>1371</v>
      </c>
      <c r="G591" t="s">
        <v>2984</v>
      </c>
      <c r="H591" t="s">
        <v>2989</v>
      </c>
      <c r="I591" t="s">
        <v>2990</v>
      </c>
      <c r="K591" t="s">
        <v>792</v>
      </c>
      <c r="L591">
        <v>2</v>
      </c>
    </row>
    <row r="592" spans="1:12" x14ac:dyDescent="0.25">
      <c r="A592" t="s">
        <v>2967</v>
      </c>
      <c r="B592" t="s">
        <v>2991</v>
      </c>
      <c r="C592">
        <v>6103</v>
      </c>
      <c r="D592" t="s">
        <v>2967</v>
      </c>
      <c r="E592">
        <v>5</v>
      </c>
      <c r="F592" t="s">
        <v>2992</v>
      </c>
      <c r="G592" t="s">
        <v>2993</v>
      </c>
      <c r="H592" t="s">
        <v>2994</v>
      </c>
      <c r="I592" t="s">
        <v>2995</v>
      </c>
      <c r="K592" t="s">
        <v>792</v>
      </c>
      <c r="L592">
        <v>2</v>
      </c>
    </row>
    <row r="593" spans="1:12" x14ac:dyDescent="0.25">
      <c r="A593" t="s">
        <v>2967</v>
      </c>
      <c r="B593" t="s">
        <v>2991</v>
      </c>
      <c r="C593">
        <v>6103</v>
      </c>
      <c r="D593" t="s">
        <v>2967</v>
      </c>
      <c r="E593">
        <v>5</v>
      </c>
      <c r="F593" t="s">
        <v>2992</v>
      </c>
      <c r="G593" t="s">
        <v>2993</v>
      </c>
      <c r="H593" t="s">
        <v>2996</v>
      </c>
      <c r="I593" t="s">
        <v>2997</v>
      </c>
      <c r="K593" t="s">
        <v>792</v>
      </c>
      <c r="L593">
        <v>2</v>
      </c>
    </row>
    <row r="594" spans="1:12" x14ac:dyDescent="0.25">
      <c r="A594" t="s">
        <v>2967</v>
      </c>
      <c r="B594" t="s">
        <v>2991</v>
      </c>
      <c r="C594">
        <v>6103</v>
      </c>
      <c r="D594" t="s">
        <v>2967</v>
      </c>
      <c r="E594">
        <v>5</v>
      </c>
      <c r="F594" t="s">
        <v>2992</v>
      </c>
      <c r="G594" t="s">
        <v>2993</v>
      </c>
      <c r="H594" t="s">
        <v>2998</v>
      </c>
      <c r="I594" t="s">
        <v>2999</v>
      </c>
      <c r="K594" t="s">
        <v>792</v>
      </c>
      <c r="L594">
        <v>2</v>
      </c>
    </row>
    <row r="595" spans="1:12" x14ac:dyDescent="0.25">
      <c r="A595" t="s">
        <v>2967</v>
      </c>
      <c r="B595" t="s">
        <v>3000</v>
      </c>
      <c r="C595">
        <v>6103</v>
      </c>
      <c r="D595" t="s">
        <v>2967</v>
      </c>
      <c r="E595">
        <v>5</v>
      </c>
      <c r="F595" t="s">
        <v>3001</v>
      </c>
      <c r="G595" t="s">
        <v>3002</v>
      </c>
      <c r="H595" t="s">
        <v>3003</v>
      </c>
      <c r="I595" t="s">
        <v>3004</v>
      </c>
      <c r="K595" t="s">
        <v>792</v>
      </c>
      <c r="L595">
        <v>2</v>
      </c>
    </row>
    <row r="596" spans="1:12" x14ac:dyDescent="0.25">
      <c r="A596" t="s">
        <v>2967</v>
      </c>
      <c r="B596" t="s">
        <v>3000</v>
      </c>
      <c r="C596">
        <v>6103</v>
      </c>
      <c r="D596" t="s">
        <v>2967</v>
      </c>
      <c r="E596">
        <v>5</v>
      </c>
      <c r="F596" t="s">
        <v>3001</v>
      </c>
      <c r="G596" t="s">
        <v>3002</v>
      </c>
      <c r="H596" t="s">
        <v>3005</v>
      </c>
      <c r="I596" t="s">
        <v>940</v>
      </c>
      <c r="K596" t="s">
        <v>792</v>
      </c>
      <c r="L596">
        <v>2</v>
      </c>
    </row>
    <row r="597" spans="1:12" x14ac:dyDescent="0.25">
      <c r="A597" t="s">
        <v>2967</v>
      </c>
      <c r="B597" t="s">
        <v>3000</v>
      </c>
      <c r="C597">
        <v>6103</v>
      </c>
      <c r="D597" t="s">
        <v>2967</v>
      </c>
      <c r="E597">
        <v>5</v>
      </c>
      <c r="F597" t="s">
        <v>3001</v>
      </c>
      <c r="G597" t="s">
        <v>3002</v>
      </c>
      <c r="H597" t="s">
        <v>3006</v>
      </c>
      <c r="I597" t="s">
        <v>3007</v>
      </c>
      <c r="K597" t="s">
        <v>792</v>
      </c>
      <c r="L597">
        <v>2</v>
      </c>
    </row>
    <row r="598" spans="1:12" x14ac:dyDescent="0.25">
      <c r="A598" t="s">
        <v>2967</v>
      </c>
      <c r="B598" t="s">
        <v>3008</v>
      </c>
      <c r="C598">
        <v>6103</v>
      </c>
      <c r="D598" t="s">
        <v>2967</v>
      </c>
      <c r="E598">
        <v>5</v>
      </c>
      <c r="F598" t="s">
        <v>873</v>
      </c>
      <c r="G598" t="s">
        <v>1340</v>
      </c>
      <c r="H598" t="s">
        <v>3009</v>
      </c>
      <c r="I598" t="s">
        <v>2805</v>
      </c>
      <c r="K598" t="s">
        <v>792</v>
      </c>
      <c r="L598">
        <v>2</v>
      </c>
    </row>
    <row r="599" spans="1:12" x14ac:dyDescent="0.25">
      <c r="A599" t="s">
        <v>2967</v>
      </c>
      <c r="B599" t="s">
        <v>3008</v>
      </c>
      <c r="C599">
        <v>6103</v>
      </c>
      <c r="D599" t="s">
        <v>2967</v>
      </c>
      <c r="E599">
        <v>5</v>
      </c>
      <c r="F599" t="s">
        <v>1476</v>
      </c>
      <c r="G599" t="s">
        <v>1251</v>
      </c>
      <c r="H599" t="s">
        <v>3010</v>
      </c>
      <c r="I599" t="s">
        <v>3011</v>
      </c>
      <c r="K599" t="s">
        <v>792</v>
      </c>
      <c r="L599">
        <v>2</v>
      </c>
    </row>
    <row r="600" spans="1:12" x14ac:dyDescent="0.25">
      <c r="A600" t="s">
        <v>2967</v>
      </c>
      <c r="B600" t="s">
        <v>3008</v>
      </c>
      <c r="C600">
        <v>6103</v>
      </c>
      <c r="D600" t="s">
        <v>2967</v>
      </c>
      <c r="E600">
        <v>5</v>
      </c>
      <c r="F600" t="s">
        <v>1476</v>
      </c>
      <c r="G600" t="s">
        <v>1251</v>
      </c>
      <c r="H600" t="s">
        <v>3012</v>
      </c>
      <c r="I600" t="s">
        <v>3013</v>
      </c>
      <c r="K600" t="s">
        <v>792</v>
      </c>
      <c r="L600">
        <v>2</v>
      </c>
    </row>
    <row r="601" spans="1:12" x14ac:dyDescent="0.25">
      <c r="A601" t="s">
        <v>2967</v>
      </c>
      <c r="B601" t="s">
        <v>3014</v>
      </c>
      <c r="C601">
        <v>6103</v>
      </c>
      <c r="D601" t="s">
        <v>2967</v>
      </c>
      <c r="E601">
        <v>5</v>
      </c>
      <c r="F601" t="s">
        <v>961</v>
      </c>
      <c r="G601" t="s">
        <v>1332</v>
      </c>
      <c r="H601" t="s">
        <v>3015</v>
      </c>
      <c r="I601" t="s">
        <v>3016</v>
      </c>
      <c r="K601" t="s">
        <v>792</v>
      </c>
      <c r="L601">
        <v>2</v>
      </c>
    </row>
    <row r="602" spans="1:12" x14ac:dyDescent="0.25">
      <c r="A602" t="s">
        <v>2967</v>
      </c>
      <c r="B602" t="s">
        <v>3014</v>
      </c>
      <c r="C602">
        <v>6103</v>
      </c>
      <c r="D602" t="s">
        <v>2967</v>
      </c>
      <c r="E602">
        <v>5</v>
      </c>
      <c r="F602" t="s">
        <v>961</v>
      </c>
      <c r="G602" t="s">
        <v>1332</v>
      </c>
      <c r="H602" t="s">
        <v>3017</v>
      </c>
      <c r="I602" t="s">
        <v>3018</v>
      </c>
      <c r="K602" t="s">
        <v>792</v>
      </c>
      <c r="L602">
        <v>2</v>
      </c>
    </row>
    <row r="603" spans="1:12" x14ac:dyDescent="0.25">
      <c r="A603" t="s">
        <v>2967</v>
      </c>
      <c r="B603" t="s">
        <v>3014</v>
      </c>
      <c r="C603">
        <v>6103</v>
      </c>
      <c r="D603" t="s">
        <v>2967</v>
      </c>
      <c r="E603">
        <v>5</v>
      </c>
      <c r="F603" t="s">
        <v>873</v>
      </c>
      <c r="G603" t="s">
        <v>1340</v>
      </c>
      <c r="H603" t="s">
        <v>3019</v>
      </c>
      <c r="I603" t="s">
        <v>3020</v>
      </c>
      <c r="K603" t="s">
        <v>792</v>
      </c>
      <c r="L603">
        <v>2</v>
      </c>
    </row>
    <row r="604" spans="1:12" x14ac:dyDescent="0.25">
      <c r="A604" t="s">
        <v>2967</v>
      </c>
      <c r="B604" t="s">
        <v>3021</v>
      </c>
      <c r="C604">
        <v>6103</v>
      </c>
      <c r="D604" t="s">
        <v>2967</v>
      </c>
      <c r="E604">
        <v>5</v>
      </c>
      <c r="F604" t="s">
        <v>947</v>
      </c>
      <c r="G604" t="s">
        <v>1354</v>
      </c>
      <c r="H604" t="s">
        <v>3022</v>
      </c>
      <c r="I604" t="s">
        <v>3023</v>
      </c>
      <c r="K604" t="s">
        <v>792</v>
      </c>
      <c r="L604">
        <v>2</v>
      </c>
    </row>
    <row r="605" spans="1:12" x14ac:dyDescent="0.25">
      <c r="A605" t="s">
        <v>2967</v>
      </c>
      <c r="B605" t="s">
        <v>3021</v>
      </c>
      <c r="C605">
        <v>6103</v>
      </c>
      <c r="D605" t="s">
        <v>2967</v>
      </c>
      <c r="E605">
        <v>5</v>
      </c>
      <c r="F605" t="s">
        <v>2203</v>
      </c>
      <c r="G605" t="s">
        <v>1260</v>
      </c>
      <c r="H605" t="s">
        <v>3024</v>
      </c>
      <c r="I605" t="s">
        <v>3025</v>
      </c>
      <c r="K605" t="s">
        <v>792</v>
      </c>
      <c r="L605">
        <v>2</v>
      </c>
    </row>
    <row r="606" spans="1:12" x14ac:dyDescent="0.25">
      <c r="A606" t="s">
        <v>2967</v>
      </c>
      <c r="B606" t="s">
        <v>2256</v>
      </c>
      <c r="C606">
        <v>6103</v>
      </c>
      <c r="D606" t="s">
        <v>2967</v>
      </c>
      <c r="E606">
        <v>5</v>
      </c>
      <c r="F606" t="s">
        <v>951</v>
      </c>
      <c r="G606" t="s">
        <v>2256</v>
      </c>
      <c r="H606" t="s">
        <v>3026</v>
      </c>
      <c r="I606" t="s">
        <v>3027</v>
      </c>
      <c r="K606" t="s">
        <v>792</v>
      </c>
      <c r="L606">
        <v>2</v>
      </c>
    </row>
    <row r="607" spans="1:12" x14ac:dyDescent="0.25">
      <c r="A607" t="s">
        <v>2967</v>
      </c>
      <c r="B607" t="s">
        <v>2256</v>
      </c>
      <c r="C607">
        <v>6103</v>
      </c>
      <c r="D607" t="s">
        <v>2967</v>
      </c>
      <c r="E607">
        <v>5</v>
      </c>
      <c r="F607" t="s">
        <v>951</v>
      </c>
      <c r="G607" t="s">
        <v>2256</v>
      </c>
      <c r="H607" t="s">
        <v>3028</v>
      </c>
      <c r="I607" t="s">
        <v>3029</v>
      </c>
      <c r="K607" t="s">
        <v>1255</v>
      </c>
      <c r="L607">
        <v>1</v>
      </c>
    </row>
    <row r="608" spans="1:12" x14ac:dyDescent="0.25">
      <c r="A608" t="s">
        <v>4539</v>
      </c>
      <c r="B608" t="s">
        <v>1622</v>
      </c>
      <c r="C608">
        <v>10201</v>
      </c>
      <c r="D608" t="s">
        <v>752</v>
      </c>
      <c r="E608">
        <v>6</v>
      </c>
      <c r="F608" t="s">
        <v>2665</v>
      </c>
      <c r="G608" t="s">
        <v>2806</v>
      </c>
      <c r="H608" t="s">
        <v>2807</v>
      </c>
      <c r="I608" t="s">
        <v>2668</v>
      </c>
      <c r="K608" t="s">
        <v>792</v>
      </c>
      <c r="L608">
        <v>2</v>
      </c>
    </row>
    <row r="609" spans="1:12" x14ac:dyDescent="0.25">
      <c r="A609" t="s">
        <v>4539</v>
      </c>
      <c r="B609" t="s">
        <v>1622</v>
      </c>
      <c r="C609">
        <v>10201</v>
      </c>
      <c r="D609" t="s">
        <v>752</v>
      </c>
      <c r="E609">
        <v>6</v>
      </c>
      <c r="F609" t="s">
        <v>871</v>
      </c>
      <c r="G609" t="s">
        <v>1266</v>
      </c>
      <c r="H609" t="s">
        <v>3030</v>
      </c>
      <c r="I609" t="s">
        <v>3031</v>
      </c>
      <c r="K609" t="s">
        <v>792</v>
      </c>
      <c r="L609">
        <v>2</v>
      </c>
    </row>
    <row r="610" spans="1:12" x14ac:dyDescent="0.25">
      <c r="A610" t="s">
        <v>4539</v>
      </c>
      <c r="B610" t="s">
        <v>1622</v>
      </c>
      <c r="C610">
        <v>10201</v>
      </c>
      <c r="D610" t="s">
        <v>752</v>
      </c>
      <c r="E610">
        <v>6</v>
      </c>
      <c r="F610" t="s">
        <v>2207</v>
      </c>
      <c r="G610" t="s">
        <v>2811</v>
      </c>
      <c r="H610" t="s">
        <v>3032</v>
      </c>
      <c r="I610" t="s">
        <v>3033</v>
      </c>
      <c r="K610" t="s">
        <v>792</v>
      </c>
      <c r="L610">
        <v>2</v>
      </c>
    </row>
    <row r="611" spans="1:12" x14ac:dyDescent="0.25">
      <c r="A611" t="s">
        <v>4539</v>
      </c>
      <c r="B611" t="s">
        <v>1622</v>
      </c>
      <c r="C611">
        <v>10201</v>
      </c>
      <c r="D611" t="s">
        <v>752</v>
      </c>
      <c r="E611">
        <v>6</v>
      </c>
      <c r="F611" t="s">
        <v>1415</v>
      </c>
      <c r="G611" t="s">
        <v>2670</v>
      </c>
      <c r="H611" t="s">
        <v>3034</v>
      </c>
      <c r="I611" t="s">
        <v>3035</v>
      </c>
      <c r="K611" t="s">
        <v>792</v>
      </c>
      <c r="L611">
        <v>2</v>
      </c>
    </row>
    <row r="612" spans="1:12" x14ac:dyDescent="0.25">
      <c r="A612" t="s">
        <v>4539</v>
      </c>
      <c r="B612" t="s">
        <v>3045</v>
      </c>
      <c r="C612">
        <v>10201</v>
      </c>
      <c r="D612" t="s">
        <v>752</v>
      </c>
      <c r="E612">
        <v>6</v>
      </c>
      <c r="F612" t="s">
        <v>2691</v>
      </c>
      <c r="G612" t="s">
        <v>3046</v>
      </c>
      <c r="H612" t="s">
        <v>3047</v>
      </c>
      <c r="I612" t="s">
        <v>3048</v>
      </c>
      <c r="K612" t="s">
        <v>792</v>
      </c>
      <c r="L612">
        <v>2</v>
      </c>
    </row>
    <row r="613" spans="1:12" x14ac:dyDescent="0.25">
      <c r="A613" t="s">
        <v>4539</v>
      </c>
      <c r="B613" t="s">
        <v>3045</v>
      </c>
      <c r="C613">
        <v>10201</v>
      </c>
      <c r="D613" t="s">
        <v>752</v>
      </c>
      <c r="E613">
        <v>6</v>
      </c>
      <c r="F613" t="s">
        <v>2691</v>
      </c>
      <c r="G613" t="s">
        <v>3046</v>
      </c>
      <c r="H613" t="s">
        <v>3049</v>
      </c>
      <c r="I613" t="s">
        <v>3050</v>
      </c>
      <c r="K613" t="s">
        <v>792</v>
      </c>
      <c r="L613">
        <v>2</v>
      </c>
    </row>
    <row r="614" spans="1:12" x14ac:dyDescent="0.25">
      <c r="A614" t="s">
        <v>4539</v>
      </c>
      <c r="B614" t="s">
        <v>3045</v>
      </c>
      <c r="C614">
        <v>10201</v>
      </c>
      <c r="D614" t="s">
        <v>752</v>
      </c>
      <c r="E614">
        <v>6</v>
      </c>
      <c r="F614" t="s">
        <v>2691</v>
      </c>
      <c r="G614" t="s">
        <v>3046</v>
      </c>
      <c r="H614" t="s">
        <v>3051</v>
      </c>
      <c r="I614" t="s">
        <v>3052</v>
      </c>
      <c r="K614" t="s">
        <v>792</v>
      </c>
      <c r="L614">
        <v>2</v>
      </c>
    </row>
    <row r="615" spans="1:12" x14ac:dyDescent="0.25">
      <c r="A615" t="s">
        <v>4539</v>
      </c>
      <c r="B615" t="s">
        <v>3045</v>
      </c>
      <c r="C615">
        <v>10201</v>
      </c>
      <c r="D615" t="s">
        <v>752</v>
      </c>
      <c r="E615">
        <v>6</v>
      </c>
      <c r="F615" t="s">
        <v>1371</v>
      </c>
      <c r="G615" t="s">
        <v>3039</v>
      </c>
      <c r="H615" t="s">
        <v>3053</v>
      </c>
      <c r="I615" t="s">
        <v>3054</v>
      </c>
      <c r="K615" t="s">
        <v>792</v>
      </c>
      <c r="L615">
        <v>2</v>
      </c>
    </row>
    <row r="616" spans="1:12" x14ac:dyDescent="0.25">
      <c r="A616" t="s">
        <v>4539</v>
      </c>
      <c r="B616" t="s">
        <v>3045</v>
      </c>
      <c r="C616">
        <v>10201</v>
      </c>
      <c r="D616" t="s">
        <v>752</v>
      </c>
      <c r="E616">
        <v>6</v>
      </c>
      <c r="F616" t="s">
        <v>3055</v>
      </c>
      <c r="G616" t="s">
        <v>3056</v>
      </c>
      <c r="H616" t="s">
        <v>3057</v>
      </c>
      <c r="I616" t="s">
        <v>3058</v>
      </c>
      <c r="K616" t="s">
        <v>792</v>
      </c>
      <c r="L616">
        <v>2</v>
      </c>
    </row>
    <row r="617" spans="1:12" x14ac:dyDescent="0.25">
      <c r="A617" t="s">
        <v>4539</v>
      </c>
      <c r="B617" t="s">
        <v>3059</v>
      </c>
      <c r="C617">
        <v>10201</v>
      </c>
      <c r="D617" t="s">
        <v>752</v>
      </c>
      <c r="E617">
        <v>6</v>
      </c>
      <c r="F617" t="s">
        <v>1394</v>
      </c>
      <c r="G617" t="s">
        <v>2633</v>
      </c>
      <c r="H617" t="s">
        <v>3060</v>
      </c>
      <c r="I617" t="s">
        <v>826</v>
      </c>
      <c r="K617" t="s">
        <v>792</v>
      </c>
      <c r="L617">
        <v>2</v>
      </c>
    </row>
    <row r="618" spans="1:12" x14ac:dyDescent="0.25">
      <c r="A618" t="s">
        <v>4539</v>
      </c>
      <c r="B618" t="s">
        <v>3059</v>
      </c>
      <c r="C618">
        <v>10201</v>
      </c>
      <c r="D618" t="s">
        <v>752</v>
      </c>
      <c r="E618">
        <v>6</v>
      </c>
      <c r="F618" t="s">
        <v>1394</v>
      </c>
      <c r="G618" t="s">
        <v>2633</v>
      </c>
      <c r="H618" t="s">
        <v>3061</v>
      </c>
      <c r="I618" t="s">
        <v>3062</v>
      </c>
      <c r="K618" t="s">
        <v>792</v>
      </c>
      <c r="L618">
        <v>2</v>
      </c>
    </row>
    <row r="619" spans="1:12" x14ac:dyDescent="0.25">
      <c r="A619" t="s">
        <v>4539</v>
      </c>
      <c r="B619" t="s">
        <v>3059</v>
      </c>
      <c r="C619">
        <v>10201</v>
      </c>
      <c r="D619" t="s">
        <v>752</v>
      </c>
      <c r="E619">
        <v>6</v>
      </c>
      <c r="F619" t="s">
        <v>816</v>
      </c>
      <c r="G619" t="s">
        <v>3063</v>
      </c>
      <c r="H619" t="s">
        <v>3064</v>
      </c>
      <c r="I619" t="s">
        <v>3065</v>
      </c>
      <c r="K619" t="s">
        <v>792</v>
      </c>
      <c r="L619">
        <v>2</v>
      </c>
    </row>
    <row r="620" spans="1:12" x14ac:dyDescent="0.25">
      <c r="A620" t="s">
        <v>4539</v>
      </c>
      <c r="B620" t="s">
        <v>3059</v>
      </c>
      <c r="C620">
        <v>10201</v>
      </c>
      <c r="D620" t="s">
        <v>752</v>
      </c>
      <c r="E620">
        <v>6</v>
      </c>
      <c r="F620" t="s">
        <v>816</v>
      </c>
      <c r="G620" t="s">
        <v>3063</v>
      </c>
      <c r="H620" t="s">
        <v>3066</v>
      </c>
      <c r="I620" t="s">
        <v>3067</v>
      </c>
      <c r="K620" t="s">
        <v>792</v>
      </c>
      <c r="L620">
        <v>2</v>
      </c>
    </row>
    <row r="621" spans="1:12" x14ac:dyDescent="0.25">
      <c r="A621" t="s">
        <v>4539</v>
      </c>
      <c r="B621" t="s">
        <v>3059</v>
      </c>
      <c r="C621">
        <v>10201</v>
      </c>
      <c r="D621" t="s">
        <v>752</v>
      </c>
      <c r="E621">
        <v>6</v>
      </c>
      <c r="F621" t="s">
        <v>816</v>
      </c>
      <c r="G621" t="s">
        <v>3063</v>
      </c>
      <c r="H621" t="s">
        <v>3068</v>
      </c>
      <c r="I621" t="s">
        <v>3069</v>
      </c>
      <c r="K621" t="s">
        <v>792</v>
      </c>
      <c r="L621">
        <v>2</v>
      </c>
    </row>
    <row r="622" spans="1:12" x14ac:dyDescent="0.25">
      <c r="A622" t="s">
        <v>4539</v>
      </c>
      <c r="B622" t="s">
        <v>3070</v>
      </c>
      <c r="C622">
        <v>10201</v>
      </c>
      <c r="D622" t="s">
        <v>752</v>
      </c>
      <c r="E622">
        <v>6</v>
      </c>
      <c r="F622" t="s">
        <v>3071</v>
      </c>
      <c r="G622" t="s">
        <v>3072</v>
      </c>
      <c r="H622" t="s">
        <v>3073</v>
      </c>
      <c r="I622" t="s">
        <v>3074</v>
      </c>
      <c r="K622" t="s">
        <v>792</v>
      </c>
      <c r="L622">
        <v>2</v>
      </c>
    </row>
    <row r="623" spans="1:12" x14ac:dyDescent="0.25">
      <c r="A623" t="s">
        <v>4539</v>
      </c>
      <c r="B623" t="s">
        <v>3070</v>
      </c>
      <c r="C623">
        <v>10201</v>
      </c>
      <c r="D623" t="s">
        <v>752</v>
      </c>
      <c r="E623">
        <v>6</v>
      </c>
      <c r="F623" t="s">
        <v>3036</v>
      </c>
      <c r="G623" t="s">
        <v>3075</v>
      </c>
      <c r="H623" t="s">
        <v>3076</v>
      </c>
      <c r="I623" t="s">
        <v>3077</v>
      </c>
      <c r="K623" t="s">
        <v>792</v>
      </c>
      <c r="L623">
        <v>2</v>
      </c>
    </row>
    <row r="624" spans="1:12" x14ac:dyDescent="0.25">
      <c r="A624" t="s">
        <v>4539</v>
      </c>
      <c r="B624" t="s">
        <v>3070</v>
      </c>
      <c r="C624">
        <v>10201</v>
      </c>
      <c r="D624" t="s">
        <v>752</v>
      </c>
      <c r="E624">
        <v>6</v>
      </c>
      <c r="F624" t="s">
        <v>961</v>
      </c>
      <c r="G624" t="s">
        <v>1332</v>
      </c>
      <c r="H624" t="s">
        <v>3078</v>
      </c>
      <c r="I624" t="s">
        <v>3079</v>
      </c>
      <c r="K624" t="s">
        <v>792</v>
      </c>
      <c r="L624">
        <v>2</v>
      </c>
    </row>
    <row r="625" spans="1:12" x14ac:dyDescent="0.25">
      <c r="A625" t="s">
        <v>4539</v>
      </c>
      <c r="B625" t="s">
        <v>3080</v>
      </c>
      <c r="C625">
        <v>10201</v>
      </c>
      <c r="D625" t="s">
        <v>752</v>
      </c>
      <c r="E625">
        <v>6</v>
      </c>
      <c r="F625" t="s">
        <v>3081</v>
      </c>
      <c r="G625" t="s">
        <v>3082</v>
      </c>
      <c r="H625" t="s">
        <v>3083</v>
      </c>
      <c r="I625" t="s">
        <v>3084</v>
      </c>
      <c r="K625" t="s">
        <v>792</v>
      </c>
      <c r="L625">
        <v>2</v>
      </c>
    </row>
    <row r="626" spans="1:12" x14ac:dyDescent="0.25">
      <c r="A626" t="s">
        <v>4539</v>
      </c>
      <c r="B626" t="s">
        <v>3080</v>
      </c>
      <c r="C626">
        <v>10201</v>
      </c>
      <c r="D626" t="s">
        <v>752</v>
      </c>
      <c r="E626">
        <v>6</v>
      </c>
      <c r="F626" t="s">
        <v>3081</v>
      </c>
      <c r="G626" t="s">
        <v>3082</v>
      </c>
      <c r="H626" t="s">
        <v>3085</v>
      </c>
      <c r="I626" t="s">
        <v>3086</v>
      </c>
      <c r="K626" t="s">
        <v>792</v>
      </c>
      <c r="L626">
        <v>2</v>
      </c>
    </row>
    <row r="627" spans="1:12" x14ac:dyDescent="0.25">
      <c r="A627" t="s">
        <v>4539</v>
      </c>
      <c r="B627" t="s">
        <v>3080</v>
      </c>
      <c r="C627">
        <v>10201</v>
      </c>
      <c r="D627" t="s">
        <v>752</v>
      </c>
      <c r="E627">
        <v>6</v>
      </c>
      <c r="F627" t="s">
        <v>3087</v>
      </c>
      <c r="G627" t="s">
        <v>3088</v>
      </c>
      <c r="H627" t="s">
        <v>3089</v>
      </c>
      <c r="I627" t="s">
        <v>3090</v>
      </c>
      <c r="K627" t="s">
        <v>792</v>
      </c>
      <c r="L627">
        <v>2</v>
      </c>
    </row>
    <row r="628" spans="1:12" x14ac:dyDescent="0.25">
      <c r="A628" t="s">
        <v>4539</v>
      </c>
      <c r="B628" t="s">
        <v>3091</v>
      </c>
      <c r="C628">
        <v>10201</v>
      </c>
      <c r="D628" t="s">
        <v>752</v>
      </c>
      <c r="E628">
        <v>6</v>
      </c>
      <c r="F628" t="s">
        <v>3092</v>
      </c>
      <c r="G628" t="s">
        <v>3093</v>
      </c>
      <c r="H628" t="s">
        <v>3094</v>
      </c>
      <c r="I628" t="s">
        <v>3095</v>
      </c>
      <c r="K628" t="s">
        <v>792</v>
      </c>
      <c r="L628">
        <v>2</v>
      </c>
    </row>
    <row r="629" spans="1:12" x14ac:dyDescent="0.25">
      <c r="A629" t="s">
        <v>4539</v>
      </c>
      <c r="B629" t="s">
        <v>3091</v>
      </c>
      <c r="C629">
        <v>10201</v>
      </c>
      <c r="D629" t="s">
        <v>752</v>
      </c>
      <c r="E629">
        <v>6</v>
      </c>
      <c r="F629" t="s">
        <v>3096</v>
      </c>
      <c r="G629" t="s">
        <v>3097</v>
      </c>
      <c r="H629" t="s">
        <v>3098</v>
      </c>
      <c r="I629" t="s">
        <v>3099</v>
      </c>
      <c r="K629" t="s">
        <v>792</v>
      </c>
      <c r="L629">
        <v>2</v>
      </c>
    </row>
    <row r="630" spans="1:12" x14ac:dyDescent="0.25">
      <c r="A630" t="s">
        <v>4539</v>
      </c>
      <c r="B630" t="s">
        <v>3091</v>
      </c>
      <c r="C630">
        <v>10201</v>
      </c>
      <c r="D630" t="s">
        <v>752</v>
      </c>
      <c r="E630">
        <v>6</v>
      </c>
      <c r="F630" t="s">
        <v>3096</v>
      </c>
      <c r="G630" t="s">
        <v>3097</v>
      </c>
      <c r="H630" t="s">
        <v>3100</v>
      </c>
      <c r="I630" t="s">
        <v>3101</v>
      </c>
      <c r="K630" t="s">
        <v>792</v>
      </c>
      <c r="L630">
        <v>2</v>
      </c>
    </row>
    <row r="631" spans="1:12" x14ac:dyDescent="0.25">
      <c r="A631" t="s">
        <v>4539</v>
      </c>
      <c r="B631" t="s">
        <v>3091</v>
      </c>
      <c r="C631">
        <v>10201</v>
      </c>
      <c r="D631" t="s">
        <v>752</v>
      </c>
      <c r="E631">
        <v>6</v>
      </c>
      <c r="F631" t="s">
        <v>3102</v>
      </c>
      <c r="G631" t="s">
        <v>3103</v>
      </c>
      <c r="H631" t="s">
        <v>3104</v>
      </c>
      <c r="I631" t="s">
        <v>3105</v>
      </c>
      <c r="K631" t="s">
        <v>792</v>
      </c>
      <c r="L631">
        <v>2</v>
      </c>
    </row>
    <row r="632" spans="1:12" x14ac:dyDescent="0.25">
      <c r="A632" t="s">
        <v>4539</v>
      </c>
      <c r="B632" t="s">
        <v>3106</v>
      </c>
      <c r="C632">
        <v>10201</v>
      </c>
      <c r="D632" t="s">
        <v>752</v>
      </c>
      <c r="E632">
        <v>6</v>
      </c>
      <c r="F632" t="s">
        <v>1394</v>
      </c>
      <c r="G632" t="s">
        <v>2633</v>
      </c>
      <c r="H632" t="s">
        <v>3107</v>
      </c>
      <c r="I632" t="s">
        <v>3108</v>
      </c>
      <c r="K632" t="s">
        <v>792</v>
      </c>
      <c r="L632">
        <v>2</v>
      </c>
    </row>
    <row r="633" spans="1:12" x14ac:dyDescent="0.25">
      <c r="A633" t="s">
        <v>4539</v>
      </c>
      <c r="B633" t="s">
        <v>3106</v>
      </c>
      <c r="C633">
        <v>10201</v>
      </c>
      <c r="D633" t="s">
        <v>752</v>
      </c>
      <c r="E633">
        <v>6</v>
      </c>
      <c r="F633" t="s">
        <v>3109</v>
      </c>
      <c r="G633" t="s">
        <v>3110</v>
      </c>
      <c r="H633" t="s">
        <v>3111</v>
      </c>
      <c r="I633" t="s">
        <v>3112</v>
      </c>
      <c r="K633" t="s">
        <v>792</v>
      </c>
      <c r="L633">
        <v>2</v>
      </c>
    </row>
    <row r="634" spans="1:12" x14ac:dyDescent="0.25">
      <c r="A634" t="s">
        <v>4539</v>
      </c>
      <c r="B634" t="s">
        <v>3106</v>
      </c>
      <c r="C634">
        <v>10201</v>
      </c>
      <c r="D634" t="s">
        <v>752</v>
      </c>
      <c r="E634">
        <v>6</v>
      </c>
      <c r="F634" t="s">
        <v>2208</v>
      </c>
      <c r="G634" t="s">
        <v>2809</v>
      </c>
      <c r="H634" t="s">
        <v>3113</v>
      </c>
      <c r="I634" t="s">
        <v>3114</v>
      </c>
      <c r="K634" t="s">
        <v>792</v>
      </c>
      <c r="L634">
        <v>2</v>
      </c>
    </row>
    <row r="635" spans="1:12" x14ac:dyDescent="0.25">
      <c r="A635" t="s">
        <v>4539</v>
      </c>
      <c r="B635" t="s">
        <v>3115</v>
      </c>
      <c r="C635">
        <v>10201</v>
      </c>
      <c r="D635" t="s">
        <v>752</v>
      </c>
      <c r="E635">
        <v>6</v>
      </c>
      <c r="F635" t="s">
        <v>3116</v>
      </c>
      <c r="G635" t="s">
        <v>3117</v>
      </c>
      <c r="H635" t="s">
        <v>3118</v>
      </c>
      <c r="I635" t="s">
        <v>3119</v>
      </c>
      <c r="K635" t="s">
        <v>792</v>
      </c>
      <c r="L635">
        <v>2</v>
      </c>
    </row>
    <row r="636" spans="1:12" x14ac:dyDescent="0.25">
      <c r="A636" t="s">
        <v>4539</v>
      </c>
      <c r="B636" t="s">
        <v>3115</v>
      </c>
      <c r="C636">
        <v>10201</v>
      </c>
      <c r="D636" t="s">
        <v>752</v>
      </c>
      <c r="E636">
        <v>6</v>
      </c>
      <c r="F636" t="s">
        <v>1457</v>
      </c>
      <c r="G636" t="s">
        <v>3120</v>
      </c>
      <c r="H636" t="s">
        <v>3121</v>
      </c>
      <c r="I636" t="s">
        <v>3122</v>
      </c>
      <c r="K636" t="s">
        <v>792</v>
      </c>
      <c r="L636">
        <v>2</v>
      </c>
    </row>
    <row r="637" spans="1:12" x14ac:dyDescent="0.25">
      <c r="A637" t="s">
        <v>4539</v>
      </c>
      <c r="B637" t="s">
        <v>3115</v>
      </c>
      <c r="C637">
        <v>10201</v>
      </c>
      <c r="D637" t="s">
        <v>752</v>
      </c>
      <c r="E637">
        <v>6</v>
      </c>
      <c r="F637" t="s">
        <v>1457</v>
      </c>
      <c r="G637" t="s">
        <v>3120</v>
      </c>
      <c r="H637" t="s">
        <v>3123</v>
      </c>
      <c r="I637" t="s">
        <v>3124</v>
      </c>
      <c r="K637" t="s">
        <v>792</v>
      </c>
      <c r="L637">
        <v>2</v>
      </c>
    </row>
    <row r="638" spans="1:12" x14ac:dyDescent="0.25">
      <c r="A638" t="s">
        <v>4539</v>
      </c>
      <c r="B638" t="s">
        <v>3115</v>
      </c>
      <c r="C638">
        <v>10201</v>
      </c>
      <c r="D638" t="s">
        <v>752</v>
      </c>
      <c r="E638">
        <v>6</v>
      </c>
      <c r="F638" t="s">
        <v>3125</v>
      </c>
      <c r="G638" t="s">
        <v>3126</v>
      </c>
      <c r="H638" t="s">
        <v>3127</v>
      </c>
      <c r="I638" t="s">
        <v>3128</v>
      </c>
      <c r="K638" t="s">
        <v>792</v>
      </c>
      <c r="L638">
        <v>2</v>
      </c>
    </row>
    <row r="639" spans="1:12" x14ac:dyDescent="0.25">
      <c r="A639" t="s">
        <v>4539</v>
      </c>
      <c r="B639" t="s">
        <v>3129</v>
      </c>
      <c r="C639">
        <v>10201</v>
      </c>
      <c r="D639" t="s">
        <v>752</v>
      </c>
      <c r="E639">
        <v>6</v>
      </c>
      <c r="F639" t="s">
        <v>1392</v>
      </c>
      <c r="G639" t="s">
        <v>2615</v>
      </c>
      <c r="H639" t="s">
        <v>3130</v>
      </c>
      <c r="I639" t="s">
        <v>1391</v>
      </c>
      <c r="K639" t="s">
        <v>792</v>
      </c>
      <c r="L639">
        <v>2</v>
      </c>
    </row>
    <row r="640" spans="1:12" x14ac:dyDescent="0.25">
      <c r="A640" t="s">
        <v>4539</v>
      </c>
      <c r="B640" t="s">
        <v>3129</v>
      </c>
      <c r="C640">
        <v>10201</v>
      </c>
      <c r="D640" t="s">
        <v>752</v>
      </c>
      <c r="E640">
        <v>6</v>
      </c>
      <c r="F640" t="s">
        <v>1392</v>
      </c>
      <c r="G640" t="s">
        <v>2615</v>
      </c>
      <c r="H640" t="s">
        <v>3131</v>
      </c>
      <c r="I640" t="s">
        <v>3132</v>
      </c>
      <c r="K640" t="s">
        <v>792</v>
      </c>
      <c r="L640">
        <v>2</v>
      </c>
    </row>
    <row r="641" spans="1:12" x14ac:dyDescent="0.25">
      <c r="A641" t="s">
        <v>4539</v>
      </c>
      <c r="B641" t="s">
        <v>3129</v>
      </c>
      <c r="C641">
        <v>10201</v>
      </c>
      <c r="D641" t="s">
        <v>752</v>
      </c>
      <c r="E641">
        <v>6</v>
      </c>
      <c r="F641" t="s">
        <v>963</v>
      </c>
      <c r="G641" t="s">
        <v>3038</v>
      </c>
      <c r="H641" t="s">
        <v>3133</v>
      </c>
      <c r="I641" t="s">
        <v>3134</v>
      </c>
      <c r="K641" t="s">
        <v>792</v>
      </c>
      <c r="L641">
        <v>2</v>
      </c>
    </row>
    <row r="642" spans="1:12" x14ac:dyDescent="0.25">
      <c r="A642" t="s">
        <v>4539</v>
      </c>
      <c r="B642" t="s">
        <v>3135</v>
      </c>
      <c r="C642">
        <v>10201</v>
      </c>
      <c r="D642" t="s">
        <v>752</v>
      </c>
      <c r="E642">
        <v>6</v>
      </c>
      <c r="F642" t="s">
        <v>2654</v>
      </c>
      <c r="G642" t="s">
        <v>2480</v>
      </c>
      <c r="H642" t="s">
        <v>3136</v>
      </c>
      <c r="I642" t="s">
        <v>3137</v>
      </c>
      <c r="K642" t="s">
        <v>792</v>
      </c>
      <c r="L642">
        <v>2</v>
      </c>
    </row>
    <row r="643" spans="1:12" x14ac:dyDescent="0.25">
      <c r="A643" t="s">
        <v>4539</v>
      </c>
      <c r="B643" t="s">
        <v>3135</v>
      </c>
      <c r="C643">
        <v>10201</v>
      </c>
      <c r="D643" t="s">
        <v>752</v>
      </c>
      <c r="E643">
        <v>6</v>
      </c>
      <c r="F643" t="s">
        <v>2654</v>
      </c>
      <c r="G643" t="s">
        <v>2480</v>
      </c>
      <c r="H643" t="s">
        <v>3138</v>
      </c>
      <c r="I643" t="s">
        <v>3139</v>
      </c>
      <c r="K643" t="s">
        <v>792</v>
      </c>
      <c r="L643">
        <v>2</v>
      </c>
    </row>
    <row r="644" spans="1:12" x14ac:dyDescent="0.25">
      <c r="A644" t="s">
        <v>4539</v>
      </c>
      <c r="B644" t="s">
        <v>3135</v>
      </c>
      <c r="C644">
        <v>10201</v>
      </c>
      <c r="D644" t="s">
        <v>752</v>
      </c>
      <c r="E644">
        <v>6</v>
      </c>
      <c r="F644" t="s">
        <v>2654</v>
      </c>
      <c r="G644" t="s">
        <v>2480</v>
      </c>
      <c r="H644" t="s">
        <v>3140</v>
      </c>
      <c r="I644" t="s">
        <v>3141</v>
      </c>
      <c r="K644" t="s">
        <v>792</v>
      </c>
      <c r="L644">
        <v>2</v>
      </c>
    </row>
    <row r="645" spans="1:12" x14ac:dyDescent="0.25">
      <c r="A645" t="s">
        <v>4539</v>
      </c>
      <c r="B645" t="s">
        <v>3135</v>
      </c>
      <c r="C645">
        <v>10201</v>
      </c>
      <c r="D645" t="s">
        <v>752</v>
      </c>
      <c r="E645">
        <v>6</v>
      </c>
      <c r="F645" t="s">
        <v>3142</v>
      </c>
      <c r="G645" t="s">
        <v>3143</v>
      </c>
      <c r="H645" t="s">
        <v>3144</v>
      </c>
      <c r="I645" t="s">
        <v>3145</v>
      </c>
      <c r="K645" t="s">
        <v>792</v>
      </c>
      <c r="L645">
        <v>2</v>
      </c>
    </row>
    <row r="646" spans="1:12" x14ac:dyDescent="0.25">
      <c r="A646" t="s">
        <v>4539</v>
      </c>
      <c r="B646" t="s">
        <v>3146</v>
      </c>
      <c r="C646">
        <v>10201</v>
      </c>
      <c r="D646" t="s">
        <v>752</v>
      </c>
      <c r="E646">
        <v>6</v>
      </c>
      <c r="F646" t="s">
        <v>947</v>
      </c>
      <c r="G646" t="s">
        <v>3147</v>
      </c>
      <c r="H646" t="s">
        <v>3148</v>
      </c>
      <c r="I646" t="s">
        <v>2780</v>
      </c>
      <c r="K646" t="s">
        <v>792</v>
      </c>
      <c r="L646">
        <v>2</v>
      </c>
    </row>
    <row r="647" spans="1:12" x14ac:dyDescent="0.25">
      <c r="A647" t="s">
        <v>4539</v>
      </c>
      <c r="B647" t="s">
        <v>3146</v>
      </c>
      <c r="C647">
        <v>10201</v>
      </c>
      <c r="D647" t="s">
        <v>752</v>
      </c>
      <c r="E647">
        <v>6</v>
      </c>
      <c r="F647" t="s">
        <v>947</v>
      </c>
      <c r="G647" t="s">
        <v>3147</v>
      </c>
      <c r="H647" t="s">
        <v>3149</v>
      </c>
      <c r="I647" t="s">
        <v>3150</v>
      </c>
      <c r="K647" t="s">
        <v>792</v>
      </c>
      <c r="L647">
        <v>2</v>
      </c>
    </row>
    <row r="648" spans="1:12" x14ac:dyDescent="0.25">
      <c r="A648" t="s">
        <v>4539</v>
      </c>
      <c r="B648" t="s">
        <v>3146</v>
      </c>
      <c r="C648">
        <v>10201</v>
      </c>
      <c r="D648" t="s">
        <v>752</v>
      </c>
      <c r="E648">
        <v>6</v>
      </c>
      <c r="F648" t="s">
        <v>3151</v>
      </c>
      <c r="G648" t="s">
        <v>3152</v>
      </c>
      <c r="H648" t="s">
        <v>3153</v>
      </c>
      <c r="I648" t="s">
        <v>3154</v>
      </c>
      <c r="K648" t="s">
        <v>792</v>
      </c>
      <c r="L648">
        <v>2</v>
      </c>
    </row>
    <row r="649" spans="1:12" x14ac:dyDescent="0.25">
      <c r="A649" t="s">
        <v>4539</v>
      </c>
      <c r="B649" t="s">
        <v>3155</v>
      </c>
      <c r="C649">
        <v>10201</v>
      </c>
      <c r="D649" t="s">
        <v>752</v>
      </c>
      <c r="E649">
        <v>6</v>
      </c>
      <c r="F649" t="s">
        <v>3156</v>
      </c>
      <c r="G649" t="s">
        <v>3157</v>
      </c>
      <c r="H649" t="s">
        <v>3158</v>
      </c>
      <c r="I649" t="s">
        <v>3159</v>
      </c>
      <c r="K649" t="s">
        <v>792</v>
      </c>
      <c r="L649">
        <v>2</v>
      </c>
    </row>
    <row r="650" spans="1:12" x14ac:dyDescent="0.25">
      <c r="A650" t="s">
        <v>4539</v>
      </c>
      <c r="B650" t="s">
        <v>3155</v>
      </c>
      <c r="C650">
        <v>10201</v>
      </c>
      <c r="D650" t="s">
        <v>752</v>
      </c>
      <c r="E650">
        <v>6</v>
      </c>
      <c r="F650" t="s">
        <v>3156</v>
      </c>
      <c r="G650" t="s">
        <v>3157</v>
      </c>
      <c r="H650" t="s">
        <v>3160</v>
      </c>
      <c r="I650" t="s">
        <v>3161</v>
      </c>
      <c r="K650" t="s">
        <v>792</v>
      </c>
      <c r="L650">
        <v>2</v>
      </c>
    </row>
    <row r="651" spans="1:12" x14ac:dyDescent="0.25">
      <c r="A651" t="s">
        <v>4539</v>
      </c>
      <c r="B651" t="s">
        <v>3155</v>
      </c>
      <c r="C651">
        <v>10201</v>
      </c>
      <c r="D651" t="s">
        <v>752</v>
      </c>
      <c r="E651">
        <v>6</v>
      </c>
      <c r="F651" t="s">
        <v>3162</v>
      </c>
      <c r="G651" t="s">
        <v>2466</v>
      </c>
      <c r="H651" t="s">
        <v>3163</v>
      </c>
      <c r="I651" t="s">
        <v>3164</v>
      </c>
      <c r="K651" t="s">
        <v>792</v>
      </c>
      <c r="L651">
        <v>2</v>
      </c>
    </row>
    <row r="652" spans="1:12" x14ac:dyDescent="0.25">
      <c r="A652" t="s">
        <v>4539</v>
      </c>
      <c r="B652" t="s">
        <v>3165</v>
      </c>
      <c r="C652">
        <v>10201</v>
      </c>
      <c r="D652" t="s">
        <v>752</v>
      </c>
      <c r="E652">
        <v>6</v>
      </c>
      <c r="F652" t="s">
        <v>1415</v>
      </c>
      <c r="G652" t="s">
        <v>2670</v>
      </c>
      <c r="H652" t="s">
        <v>3166</v>
      </c>
      <c r="I652" t="s">
        <v>3167</v>
      </c>
      <c r="K652" t="s">
        <v>792</v>
      </c>
      <c r="L652">
        <v>2</v>
      </c>
    </row>
    <row r="653" spans="1:12" x14ac:dyDescent="0.25">
      <c r="A653" t="s">
        <v>4539</v>
      </c>
      <c r="B653" t="s">
        <v>3165</v>
      </c>
      <c r="C653">
        <v>10201</v>
      </c>
      <c r="D653" t="s">
        <v>752</v>
      </c>
      <c r="E653">
        <v>6</v>
      </c>
      <c r="F653" t="s">
        <v>1415</v>
      </c>
      <c r="G653" t="s">
        <v>2670</v>
      </c>
      <c r="H653" t="s">
        <v>3168</v>
      </c>
      <c r="I653" t="s">
        <v>3169</v>
      </c>
      <c r="K653" t="s">
        <v>792</v>
      </c>
      <c r="L653">
        <v>2</v>
      </c>
    </row>
    <row r="654" spans="1:12" x14ac:dyDescent="0.25">
      <c r="A654" t="s">
        <v>4539</v>
      </c>
      <c r="B654" t="s">
        <v>3165</v>
      </c>
      <c r="C654">
        <v>10201</v>
      </c>
      <c r="D654" t="s">
        <v>752</v>
      </c>
      <c r="E654">
        <v>6</v>
      </c>
      <c r="F654" t="s">
        <v>873</v>
      </c>
      <c r="G654" t="s">
        <v>1340</v>
      </c>
      <c r="H654" t="s">
        <v>3170</v>
      </c>
      <c r="I654" t="s">
        <v>3171</v>
      </c>
      <c r="K654" t="s">
        <v>792</v>
      </c>
      <c r="L654">
        <v>2</v>
      </c>
    </row>
    <row r="655" spans="1:12" x14ac:dyDescent="0.25">
      <c r="A655" t="s">
        <v>4539</v>
      </c>
      <c r="B655" t="s">
        <v>2724</v>
      </c>
      <c r="C655">
        <v>10201</v>
      </c>
      <c r="D655" t="s">
        <v>752</v>
      </c>
      <c r="E655">
        <v>6</v>
      </c>
      <c r="F655" t="s">
        <v>3042</v>
      </c>
      <c r="G655" t="s">
        <v>1355</v>
      </c>
      <c r="H655" t="s">
        <v>3172</v>
      </c>
      <c r="I655" t="s">
        <v>2784</v>
      </c>
      <c r="K655" t="s">
        <v>792</v>
      </c>
      <c r="L655">
        <v>2</v>
      </c>
    </row>
    <row r="656" spans="1:12" x14ac:dyDescent="0.25">
      <c r="A656" t="s">
        <v>4539</v>
      </c>
      <c r="B656" t="s">
        <v>2724</v>
      </c>
      <c r="C656">
        <v>10201</v>
      </c>
      <c r="D656" t="s">
        <v>752</v>
      </c>
      <c r="E656">
        <v>6</v>
      </c>
      <c r="F656" t="s">
        <v>3042</v>
      </c>
      <c r="G656" t="s">
        <v>1355</v>
      </c>
      <c r="H656" t="s">
        <v>3173</v>
      </c>
      <c r="I656" t="s">
        <v>3174</v>
      </c>
      <c r="K656" t="s">
        <v>792</v>
      </c>
      <c r="L656">
        <v>2</v>
      </c>
    </row>
    <row r="657" spans="1:12" x14ac:dyDescent="0.25">
      <c r="A657" t="s">
        <v>4539</v>
      </c>
      <c r="B657" t="s">
        <v>2724</v>
      </c>
      <c r="C657">
        <v>10201</v>
      </c>
      <c r="D657" t="s">
        <v>752</v>
      </c>
      <c r="E657">
        <v>6</v>
      </c>
      <c r="F657" t="s">
        <v>3042</v>
      </c>
      <c r="G657" t="s">
        <v>1355</v>
      </c>
      <c r="H657" t="s">
        <v>3175</v>
      </c>
      <c r="I657" t="s">
        <v>3176</v>
      </c>
      <c r="K657" t="s">
        <v>792</v>
      </c>
      <c r="L657">
        <v>2</v>
      </c>
    </row>
    <row r="658" spans="1:12" x14ac:dyDescent="0.25">
      <c r="A658" t="s">
        <v>4539</v>
      </c>
      <c r="B658" t="s">
        <v>2724</v>
      </c>
      <c r="C658">
        <v>10201</v>
      </c>
      <c r="D658" t="s">
        <v>752</v>
      </c>
      <c r="E658">
        <v>6</v>
      </c>
      <c r="F658" t="s">
        <v>2899</v>
      </c>
      <c r="G658" t="s">
        <v>2900</v>
      </c>
      <c r="H658" t="s">
        <v>3177</v>
      </c>
      <c r="I658" t="s">
        <v>3178</v>
      </c>
      <c r="K658" t="s">
        <v>792</v>
      </c>
      <c r="L658">
        <v>2</v>
      </c>
    </row>
    <row r="659" spans="1:12" x14ac:dyDescent="0.25">
      <c r="A659" t="s">
        <v>4539</v>
      </c>
      <c r="B659" t="s">
        <v>2256</v>
      </c>
      <c r="C659">
        <v>10201</v>
      </c>
      <c r="D659" t="s">
        <v>752</v>
      </c>
      <c r="E659">
        <v>6</v>
      </c>
      <c r="F659" t="s">
        <v>951</v>
      </c>
      <c r="G659" t="s">
        <v>2256</v>
      </c>
      <c r="H659" t="s">
        <v>3179</v>
      </c>
      <c r="I659" t="s">
        <v>3180</v>
      </c>
      <c r="K659" t="s">
        <v>792</v>
      </c>
      <c r="L659">
        <v>2</v>
      </c>
    </row>
    <row r="660" spans="1:12" x14ac:dyDescent="0.25">
      <c r="A660" t="s">
        <v>4539</v>
      </c>
      <c r="B660" t="s">
        <v>2256</v>
      </c>
      <c r="C660">
        <v>10201</v>
      </c>
      <c r="D660" t="s">
        <v>752</v>
      </c>
      <c r="E660">
        <v>6</v>
      </c>
      <c r="F660" t="s">
        <v>951</v>
      </c>
      <c r="G660" t="s">
        <v>2256</v>
      </c>
      <c r="H660" t="s">
        <v>3181</v>
      </c>
      <c r="I660" t="s">
        <v>1396</v>
      </c>
      <c r="K660" t="s">
        <v>1255</v>
      </c>
      <c r="L660">
        <v>1</v>
      </c>
    </row>
    <row r="661" spans="1:12" x14ac:dyDescent="0.25">
      <c r="A661" t="s">
        <v>22</v>
      </c>
      <c r="B661" t="s">
        <v>3182</v>
      </c>
      <c r="C661">
        <v>10200</v>
      </c>
      <c r="D661" t="s">
        <v>22</v>
      </c>
      <c r="E661">
        <v>7</v>
      </c>
      <c r="F661" t="s">
        <v>3183</v>
      </c>
      <c r="G661" t="s">
        <v>3184</v>
      </c>
      <c r="H661" t="s">
        <v>3185</v>
      </c>
      <c r="I661" t="s">
        <v>3186</v>
      </c>
      <c r="K661" t="s">
        <v>792</v>
      </c>
      <c r="L661">
        <v>2</v>
      </c>
    </row>
    <row r="662" spans="1:12" x14ac:dyDescent="0.25">
      <c r="A662" t="s">
        <v>22</v>
      </c>
      <c r="B662" t="s">
        <v>3182</v>
      </c>
      <c r="C662">
        <v>10200</v>
      </c>
      <c r="D662" t="s">
        <v>22</v>
      </c>
      <c r="E662">
        <v>7</v>
      </c>
      <c r="F662" t="s">
        <v>3071</v>
      </c>
      <c r="G662" t="s">
        <v>3187</v>
      </c>
      <c r="H662" t="s">
        <v>3188</v>
      </c>
      <c r="I662" t="s">
        <v>3189</v>
      </c>
      <c r="K662" t="s">
        <v>792</v>
      </c>
      <c r="L662">
        <v>2</v>
      </c>
    </row>
    <row r="663" spans="1:12" x14ac:dyDescent="0.25">
      <c r="A663" t="s">
        <v>22</v>
      </c>
      <c r="B663" t="s">
        <v>3182</v>
      </c>
      <c r="C663">
        <v>10200</v>
      </c>
      <c r="D663" t="s">
        <v>22</v>
      </c>
      <c r="E663">
        <v>7</v>
      </c>
      <c r="F663" t="s">
        <v>2665</v>
      </c>
      <c r="G663" t="s">
        <v>2806</v>
      </c>
      <c r="H663" t="s">
        <v>3190</v>
      </c>
      <c r="I663" t="s">
        <v>3191</v>
      </c>
      <c r="K663" t="s">
        <v>792</v>
      </c>
      <c r="L663">
        <v>2</v>
      </c>
    </row>
    <row r="664" spans="1:12" x14ac:dyDescent="0.25">
      <c r="A664" t="s">
        <v>22</v>
      </c>
      <c r="B664" t="s">
        <v>3192</v>
      </c>
      <c r="C664">
        <v>10200</v>
      </c>
      <c r="D664" t="s">
        <v>22</v>
      </c>
      <c r="E664">
        <v>7</v>
      </c>
      <c r="F664" t="s">
        <v>3193</v>
      </c>
      <c r="G664" t="s">
        <v>3194</v>
      </c>
      <c r="H664" t="s">
        <v>3195</v>
      </c>
      <c r="I664" t="s">
        <v>878</v>
      </c>
      <c r="K664" t="s">
        <v>792</v>
      </c>
      <c r="L664">
        <v>2</v>
      </c>
    </row>
    <row r="665" spans="1:12" x14ac:dyDescent="0.25">
      <c r="A665" t="s">
        <v>22</v>
      </c>
      <c r="B665" t="s">
        <v>3192</v>
      </c>
      <c r="C665">
        <v>10200</v>
      </c>
      <c r="D665" t="s">
        <v>22</v>
      </c>
      <c r="E665">
        <v>7</v>
      </c>
      <c r="F665" t="s">
        <v>3193</v>
      </c>
      <c r="G665" t="s">
        <v>3194</v>
      </c>
      <c r="H665" t="s">
        <v>3196</v>
      </c>
      <c r="I665" t="s">
        <v>3197</v>
      </c>
      <c r="K665" t="s">
        <v>792</v>
      </c>
      <c r="L665">
        <v>2</v>
      </c>
    </row>
    <row r="666" spans="1:12" x14ac:dyDescent="0.25">
      <c r="A666" t="s">
        <v>22</v>
      </c>
      <c r="B666" t="s">
        <v>3192</v>
      </c>
      <c r="C666">
        <v>10200</v>
      </c>
      <c r="D666" t="s">
        <v>22</v>
      </c>
      <c r="E666">
        <v>7</v>
      </c>
      <c r="F666" t="s">
        <v>3193</v>
      </c>
      <c r="G666" t="s">
        <v>3194</v>
      </c>
      <c r="H666" t="s">
        <v>3198</v>
      </c>
      <c r="I666" t="s">
        <v>3199</v>
      </c>
      <c r="K666" t="s">
        <v>792</v>
      </c>
      <c r="L666">
        <v>2</v>
      </c>
    </row>
    <row r="667" spans="1:12" x14ac:dyDescent="0.25">
      <c r="A667" t="s">
        <v>22</v>
      </c>
      <c r="B667" t="s">
        <v>3192</v>
      </c>
      <c r="C667">
        <v>10200</v>
      </c>
      <c r="D667" t="s">
        <v>22</v>
      </c>
      <c r="E667">
        <v>7</v>
      </c>
      <c r="F667" t="s">
        <v>3193</v>
      </c>
      <c r="G667" t="s">
        <v>3194</v>
      </c>
      <c r="H667" t="s">
        <v>3200</v>
      </c>
      <c r="I667" t="s">
        <v>3201</v>
      </c>
      <c r="K667" t="s">
        <v>792</v>
      </c>
      <c r="L667">
        <v>2</v>
      </c>
    </row>
    <row r="668" spans="1:12" x14ac:dyDescent="0.25">
      <c r="A668" t="s">
        <v>22</v>
      </c>
      <c r="B668" t="s">
        <v>3202</v>
      </c>
      <c r="C668">
        <v>10200</v>
      </c>
      <c r="D668" t="s">
        <v>22</v>
      </c>
      <c r="E668">
        <v>7</v>
      </c>
      <c r="F668" t="s">
        <v>3203</v>
      </c>
      <c r="G668" t="s">
        <v>3204</v>
      </c>
      <c r="H668" t="s">
        <v>3205</v>
      </c>
      <c r="I668" t="s">
        <v>3206</v>
      </c>
      <c r="K668" t="s">
        <v>792</v>
      </c>
      <c r="L668">
        <v>2</v>
      </c>
    </row>
    <row r="669" spans="1:12" x14ac:dyDescent="0.25">
      <c r="A669" t="s">
        <v>22</v>
      </c>
      <c r="B669" t="s">
        <v>3202</v>
      </c>
      <c r="C669">
        <v>10200</v>
      </c>
      <c r="D669" t="s">
        <v>22</v>
      </c>
      <c r="E669">
        <v>7</v>
      </c>
      <c r="F669" t="s">
        <v>3203</v>
      </c>
      <c r="G669" t="s">
        <v>3204</v>
      </c>
      <c r="H669" t="s">
        <v>3207</v>
      </c>
      <c r="I669" t="s">
        <v>3208</v>
      </c>
      <c r="K669" t="s">
        <v>792</v>
      </c>
      <c r="L669">
        <v>2</v>
      </c>
    </row>
    <row r="670" spans="1:12" x14ac:dyDescent="0.25">
      <c r="A670" t="s">
        <v>22</v>
      </c>
      <c r="B670" t="s">
        <v>3202</v>
      </c>
      <c r="C670">
        <v>10200</v>
      </c>
      <c r="D670" t="s">
        <v>22</v>
      </c>
      <c r="E670">
        <v>7</v>
      </c>
      <c r="F670" t="s">
        <v>2899</v>
      </c>
      <c r="G670" t="s">
        <v>2900</v>
      </c>
      <c r="H670" t="s">
        <v>3209</v>
      </c>
      <c r="I670" t="s">
        <v>3210</v>
      </c>
      <c r="K670" t="s">
        <v>792</v>
      </c>
      <c r="L670">
        <v>2</v>
      </c>
    </row>
    <row r="671" spans="1:12" x14ac:dyDescent="0.25">
      <c r="A671" t="s">
        <v>22</v>
      </c>
      <c r="B671" t="s">
        <v>3202</v>
      </c>
      <c r="C671">
        <v>10200</v>
      </c>
      <c r="D671" t="s">
        <v>22</v>
      </c>
      <c r="E671">
        <v>7</v>
      </c>
      <c r="F671" t="s">
        <v>2899</v>
      </c>
      <c r="G671" t="s">
        <v>2900</v>
      </c>
      <c r="H671" t="s">
        <v>3211</v>
      </c>
      <c r="I671" t="s">
        <v>3212</v>
      </c>
      <c r="K671" t="s">
        <v>792</v>
      </c>
      <c r="L671">
        <v>2</v>
      </c>
    </row>
    <row r="672" spans="1:12" x14ac:dyDescent="0.25">
      <c r="A672" t="s">
        <v>22</v>
      </c>
      <c r="B672" t="s">
        <v>3213</v>
      </c>
      <c r="C672">
        <v>10200</v>
      </c>
      <c r="D672" t="s">
        <v>22</v>
      </c>
      <c r="E672">
        <v>7</v>
      </c>
      <c r="F672" t="s">
        <v>3214</v>
      </c>
      <c r="G672" t="s">
        <v>3215</v>
      </c>
      <c r="H672" t="s">
        <v>3216</v>
      </c>
      <c r="I672" t="s">
        <v>3217</v>
      </c>
      <c r="K672" t="s">
        <v>792</v>
      </c>
      <c r="L672">
        <v>2</v>
      </c>
    </row>
    <row r="673" spans="1:12" x14ac:dyDescent="0.25">
      <c r="A673" t="s">
        <v>22</v>
      </c>
      <c r="B673" t="s">
        <v>3213</v>
      </c>
      <c r="C673">
        <v>10200</v>
      </c>
      <c r="D673" t="s">
        <v>22</v>
      </c>
      <c r="E673">
        <v>7</v>
      </c>
      <c r="F673" t="s">
        <v>3214</v>
      </c>
      <c r="G673" t="s">
        <v>3215</v>
      </c>
      <c r="H673" t="s">
        <v>3218</v>
      </c>
      <c r="I673" t="s">
        <v>3219</v>
      </c>
      <c r="K673" t="s">
        <v>792</v>
      </c>
      <c r="L673">
        <v>2</v>
      </c>
    </row>
    <row r="674" spans="1:12" x14ac:dyDescent="0.25">
      <c r="A674" t="s">
        <v>22</v>
      </c>
      <c r="B674" t="s">
        <v>3213</v>
      </c>
      <c r="C674">
        <v>10200</v>
      </c>
      <c r="D674" t="s">
        <v>22</v>
      </c>
      <c r="E674">
        <v>7</v>
      </c>
      <c r="F674" t="s">
        <v>3214</v>
      </c>
      <c r="G674" t="s">
        <v>3215</v>
      </c>
      <c r="H674" t="s">
        <v>3220</v>
      </c>
      <c r="I674" t="s">
        <v>3221</v>
      </c>
      <c r="K674" t="s">
        <v>792</v>
      </c>
      <c r="L674">
        <v>2</v>
      </c>
    </row>
    <row r="675" spans="1:12" x14ac:dyDescent="0.25">
      <c r="A675" t="s">
        <v>22</v>
      </c>
      <c r="B675" t="s">
        <v>3222</v>
      </c>
      <c r="C675">
        <v>10200</v>
      </c>
      <c r="D675" t="s">
        <v>22</v>
      </c>
      <c r="E675">
        <v>7</v>
      </c>
      <c r="F675" t="s">
        <v>1476</v>
      </c>
      <c r="G675" t="s">
        <v>3223</v>
      </c>
      <c r="H675" t="s">
        <v>3224</v>
      </c>
      <c r="I675" t="s">
        <v>3225</v>
      </c>
      <c r="K675" t="s">
        <v>792</v>
      </c>
      <c r="L675">
        <v>2</v>
      </c>
    </row>
    <row r="676" spans="1:12" x14ac:dyDescent="0.25">
      <c r="A676" t="s">
        <v>22</v>
      </c>
      <c r="B676" t="s">
        <v>3222</v>
      </c>
      <c r="C676">
        <v>10200</v>
      </c>
      <c r="D676" t="s">
        <v>22</v>
      </c>
      <c r="E676">
        <v>7</v>
      </c>
      <c r="F676" t="s">
        <v>1476</v>
      </c>
      <c r="G676" t="s">
        <v>3223</v>
      </c>
      <c r="H676" t="s">
        <v>3226</v>
      </c>
      <c r="I676" t="s">
        <v>3227</v>
      </c>
      <c r="K676" t="s">
        <v>792</v>
      </c>
      <c r="L676">
        <v>2</v>
      </c>
    </row>
    <row r="677" spans="1:12" x14ac:dyDescent="0.25">
      <c r="A677" t="s">
        <v>22</v>
      </c>
      <c r="B677" t="s">
        <v>3222</v>
      </c>
      <c r="C677">
        <v>10200</v>
      </c>
      <c r="D677" t="s">
        <v>22</v>
      </c>
      <c r="E677">
        <v>7</v>
      </c>
      <c r="F677" t="s">
        <v>2519</v>
      </c>
      <c r="G677" t="s">
        <v>1270</v>
      </c>
      <c r="H677" t="s">
        <v>3228</v>
      </c>
      <c r="I677" t="s">
        <v>3229</v>
      </c>
      <c r="K677" t="s">
        <v>792</v>
      </c>
      <c r="L677">
        <v>2</v>
      </c>
    </row>
    <row r="678" spans="1:12" x14ac:dyDescent="0.25">
      <c r="A678" t="s">
        <v>22</v>
      </c>
      <c r="B678" t="s">
        <v>3230</v>
      </c>
      <c r="C678">
        <v>10200</v>
      </c>
      <c r="D678" t="s">
        <v>22</v>
      </c>
      <c r="E678">
        <v>7</v>
      </c>
      <c r="F678" t="s">
        <v>2975</v>
      </c>
      <c r="G678" t="s">
        <v>3231</v>
      </c>
      <c r="H678" t="s">
        <v>3232</v>
      </c>
      <c r="I678" t="s">
        <v>3233</v>
      </c>
      <c r="K678" t="s">
        <v>792</v>
      </c>
      <c r="L678">
        <v>2</v>
      </c>
    </row>
    <row r="679" spans="1:12" x14ac:dyDescent="0.25">
      <c r="A679" t="s">
        <v>22</v>
      </c>
      <c r="B679" t="s">
        <v>3230</v>
      </c>
      <c r="C679">
        <v>10200</v>
      </c>
      <c r="D679" t="s">
        <v>22</v>
      </c>
      <c r="E679">
        <v>7</v>
      </c>
      <c r="F679" t="s">
        <v>1448</v>
      </c>
      <c r="G679" t="s">
        <v>3234</v>
      </c>
      <c r="H679" t="s">
        <v>3235</v>
      </c>
      <c r="I679" t="s">
        <v>3236</v>
      </c>
      <c r="K679" t="s">
        <v>792</v>
      </c>
      <c r="L679">
        <v>2</v>
      </c>
    </row>
    <row r="680" spans="1:12" x14ac:dyDescent="0.25">
      <c r="A680" t="s">
        <v>22</v>
      </c>
      <c r="B680" t="s">
        <v>3230</v>
      </c>
      <c r="C680">
        <v>10200</v>
      </c>
      <c r="D680" t="s">
        <v>22</v>
      </c>
      <c r="E680">
        <v>7</v>
      </c>
      <c r="F680" t="s">
        <v>1448</v>
      </c>
      <c r="G680" t="s">
        <v>3234</v>
      </c>
      <c r="H680" t="s">
        <v>3237</v>
      </c>
      <c r="I680" t="s">
        <v>3238</v>
      </c>
      <c r="K680" t="s">
        <v>792</v>
      </c>
      <c r="L680">
        <v>2</v>
      </c>
    </row>
    <row r="681" spans="1:12" x14ac:dyDescent="0.25">
      <c r="A681" t="s">
        <v>22</v>
      </c>
      <c r="B681" t="s">
        <v>3239</v>
      </c>
      <c r="C681">
        <v>10200</v>
      </c>
      <c r="D681" t="s">
        <v>22</v>
      </c>
      <c r="E681">
        <v>7</v>
      </c>
      <c r="F681" t="s">
        <v>3240</v>
      </c>
      <c r="G681" t="s">
        <v>3241</v>
      </c>
      <c r="H681" t="s">
        <v>3242</v>
      </c>
      <c r="I681" t="s">
        <v>3243</v>
      </c>
      <c r="K681" t="s">
        <v>792</v>
      </c>
      <c r="L681">
        <v>2</v>
      </c>
    </row>
    <row r="682" spans="1:12" x14ac:dyDescent="0.25">
      <c r="A682" t="s">
        <v>22</v>
      </c>
      <c r="B682" t="s">
        <v>3239</v>
      </c>
      <c r="C682">
        <v>10200</v>
      </c>
      <c r="D682" t="s">
        <v>22</v>
      </c>
      <c r="E682">
        <v>7</v>
      </c>
      <c r="F682" t="s">
        <v>3240</v>
      </c>
      <c r="G682" t="s">
        <v>3241</v>
      </c>
      <c r="H682" t="s">
        <v>3244</v>
      </c>
      <c r="I682" t="s">
        <v>3245</v>
      </c>
      <c r="K682" t="s">
        <v>792</v>
      </c>
      <c r="L682">
        <v>2</v>
      </c>
    </row>
    <row r="683" spans="1:12" x14ac:dyDescent="0.25">
      <c r="A683" t="s">
        <v>22</v>
      </c>
      <c r="B683" t="s">
        <v>3246</v>
      </c>
      <c r="C683">
        <v>10200</v>
      </c>
      <c r="D683" t="s">
        <v>22</v>
      </c>
      <c r="E683">
        <v>7</v>
      </c>
      <c r="F683" t="s">
        <v>2442</v>
      </c>
      <c r="G683" t="s">
        <v>3247</v>
      </c>
      <c r="H683" t="s">
        <v>3248</v>
      </c>
      <c r="I683" t="s">
        <v>3249</v>
      </c>
      <c r="K683" t="s">
        <v>792</v>
      </c>
      <c r="L683">
        <v>2</v>
      </c>
    </row>
    <row r="684" spans="1:12" x14ac:dyDescent="0.25">
      <c r="A684" t="s">
        <v>22</v>
      </c>
      <c r="B684" t="s">
        <v>3246</v>
      </c>
      <c r="C684">
        <v>10200</v>
      </c>
      <c r="D684" t="s">
        <v>22</v>
      </c>
      <c r="E684">
        <v>7</v>
      </c>
      <c r="F684" t="s">
        <v>2442</v>
      </c>
      <c r="G684" t="s">
        <v>3247</v>
      </c>
      <c r="H684" t="s">
        <v>3250</v>
      </c>
      <c r="I684" t="s">
        <v>3251</v>
      </c>
      <c r="K684" t="s">
        <v>792</v>
      </c>
      <c r="L684">
        <v>2</v>
      </c>
    </row>
    <row r="685" spans="1:12" x14ac:dyDescent="0.25">
      <c r="A685" t="s">
        <v>22</v>
      </c>
      <c r="B685" t="s">
        <v>3246</v>
      </c>
      <c r="C685">
        <v>10200</v>
      </c>
      <c r="D685" t="s">
        <v>22</v>
      </c>
      <c r="E685">
        <v>7</v>
      </c>
      <c r="F685" t="s">
        <v>2442</v>
      </c>
      <c r="G685" t="s">
        <v>3247</v>
      </c>
      <c r="H685" t="s">
        <v>3252</v>
      </c>
      <c r="I685" t="s">
        <v>3253</v>
      </c>
      <c r="K685" t="s">
        <v>792</v>
      </c>
      <c r="L685">
        <v>2</v>
      </c>
    </row>
    <row r="686" spans="1:12" x14ac:dyDescent="0.25">
      <c r="A686" t="s">
        <v>22</v>
      </c>
      <c r="B686" t="s">
        <v>3254</v>
      </c>
      <c r="C686">
        <v>10200</v>
      </c>
      <c r="D686" t="s">
        <v>22</v>
      </c>
      <c r="E686">
        <v>7</v>
      </c>
      <c r="F686" t="s">
        <v>3255</v>
      </c>
      <c r="G686" t="s">
        <v>3256</v>
      </c>
      <c r="H686" t="s">
        <v>3257</v>
      </c>
      <c r="I686" t="s">
        <v>3037</v>
      </c>
      <c r="K686" t="s">
        <v>792</v>
      </c>
      <c r="L686">
        <v>2</v>
      </c>
    </row>
    <row r="687" spans="1:12" x14ac:dyDescent="0.25">
      <c r="A687" t="s">
        <v>22</v>
      </c>
      <c r="B687" t="s">
        <v>3254</v>
      </c>
      <c r="C687">
        <v>10200</v>
      </c>
      <c r="D687" t="s">
        <v>22</v>
      </c>
      <c r="E687">
        <v>7</v>
      </c>
      <c r="F687" t="s">
        <v>3255</v>
      </c>
      <c r="G687" t="s">
        <v>3256</v>
      </c>
      <c r="H687" t="s">
        <v>3258</v>
      </c>
      <c r="I687" t="s">
        <v>3259</v>
      </c>
      <c r="K687" t="s">
        <v>792</v>
      </c>
      <c r="L687">
        <v>2</v>
      </c>
    </row>
    <row r="688" spans="1:12" x14ac:dyDescent="0.25">
      <c r="A688" t="s">
        <v>22</v>
      </c>
      <c r="B688" t="s">
        <v>3254</v>
      </c>
      <c r="C688">
        <v>10200</v>
      </c>
      <c r="D688" t="s">
        <v>22</v>
      </c>
      <c r="E688">
        <v>7</v>
      </c>
      <c r="F688" t="s">
        <v>3260</v>
      </c>
      <c r="G688" t="s">
        <v>3261</v>
      </c>
      <c r="H688" t="s">
        <v>3262</v>
      </c>
      <c r="I688" t="s">
        <v>3263</v>
      </c>
      <c r="K688" t="s">
        <v>792</v>
      </c>
      <c r="L688">
        <v>2</v>
      </c>
    </row>
    <row r="689" spans="1:12" x14ac:dyDescent="0.25">
      <c r="A689" t="s">
        <v>22</v>
      </c>
      <c r="B689" t="s">
        <v>3254</v>
      </c>
      <c r="C689">
        <v>10200</v>
      </c>
      <c r="D689" t="s">
        <v>22</v>
      </c>
      <c r="E689">
        <v>7</v>
      </c>
      <c r="F689" t="s">
        <v>3260</v>
      </c>
      <c r="G689" t="s">
        <v>3261</v>
      </c>
      <c r="H689" t="s">
        <v>3264</v>
      </c>
      <c r="I689" t="s">
        <v>3265</v>
      </c>
      <c r="K689" t="s">
        <v>792</v>
      </c>
      <c r="L689">
        <v>2</v>
      </c>
    </row>
    <row r="690" spans="1:12" x14ac:dyDescent="0.25">
      <c r="A690" t="s">
        <v>22</v>
      </c>
      <c r="B690" t="s">
        <v>3266</v>
      </c>
      <c r="C690">
        <v>10200</v>
      </c>
      <c r="D690" t="s">
        <v>22</v>
      </c>
      <c r="E690">
        <v>7</v>
      </c>
      <c r="F690" t="s">
        <v>961</v>
      </c>
      <c r="G690" t="s">
        <v>1332</v>
      </c>
      <c r="H690" t="s">
        <v>3267</v>
      </c>
      <c r="I690" t="s">
        <v>3268</v>
      </c>
      <c r="K690" t="s">
        <v>792</v>
      </c>
      <c r="L690">
        <v>2</v>
      </c>
    </row>
    <row r="691" spans="1:12" x14ac:dyDescent="0.25">
      <c r="A691" t="s">
        <v>22</v>
      </c>
      <c r="B691" t="s">
        <v>3266</v>
      </c>
      <c r="C691">
        <v>10200</v>
      </c>
      <c r="D691" t="s">
        <v>22</v>
      </c>
      <c r="E691">
        <v>7</v>
      </c>
      <c r="F691" t="s">
        <v>961</v>
      </c>
      <c r="G691" t="s">
        <v>1332</v>
      </c>
      <c r="H691" t="s">
        <v>3269</v>
      </c>
      <c r="I691" t="s">
        <v>3270</v>
      </c>
      <c r="K691" t="s">
        <v>792</v>
      </c>
      <c r="L691">
        <v>2</v>
      </c>
    </row>
    <row r="692" spans="1:12" x14ac:dyDescent="0.25">
      <c r="A692" t="s">
        <v>22</v>
      </c>
      <c r="B692" t="s">
        <v>2256</v>
      </c>
      <c r="C692">
        <v>10200</v>
      </c>
      <c r="D692" t="s">
        <v>22</v>
      </c>
      <c r="E692">
        <v>7</v>
      </c>
      <c r="F692" t="s">
        <v>951</v>
      </c>
      <c r="G692" t="s">
        <v>2256</v>
      </c>
      <c r="H692" t="s">
        <v>3271</v>
      </c>
      <c r="I692" t="s">
        <v>3272</v>
      </c>
      <c r="K692" t="s">
        <v>792</v>
      </c>
      <c r="L692">
        <v>2</v>
      </c>
    </row>
    <row r="693" spans="1:12" x14ac:dyDescent="0.25">
      <c r="A693" t="s">
        <v>22</v>
      </c>
      <c r="B693" t="s">
        <v>2256</v>
      </c>
      <c r="C693">
        <v>10200</v>
      </c>
      <c r="D693" t="s">
        <v>22</v>
      </c>
      <c r="E693">
        <v>7</v>
      </c>
      <c r="F693" t="s">
        <v>951</v>
      </c>
      <c r="G693" t="s">
        <v>2256</v>
      </c>
      <c r="H693" t="s">
        <v>3273</v>
      </c>
      <c r="I693" t="s">
        <v>3274</v>
      </c>
      <c r="K693" t="s">
        <v>1255</v>
      </c>
      <c r="L693">
        <v>1</v>
      </c>
    </row>
    <row r="694" spans="1:12" x14ac:dyDescent="0.25">
      <c r="A694" t="s">
        <v>720</v>
      </c>
      <c r="B694" t="s">
        <v>3275</v>
      </c>
      <c r="C694" t="s">
        <v>3276</v>
      </c>
      <c r="D694" t="s">
        <v>720</v>
      </c>
      <c r="E694">
        <v>9</v>
      </c>
      <c r="F694" t="s">
        <v>3277</v>
      </c>
      <c r="G694" t="s">
        <v>4562</v>
      </c>
      <c r="H694" t="s">
        <v>3279</v>
      </c>
      <c r="I694" t="s">
        <v>3280</v>
      </c>
      <c r="J694" t="s">
        <v>3281</v>
      </c>
      <c r="K694" t="s">
        <v>792</v>
      </c>
      <c r="L694">
        <v>2</v>
      </c>
    </row>
    <row r="695" spans="1:12" x14ac:dyDescent="0.25">
      <c r="A695" t="s">
        <v>720</v>
      </c>
      <c r="B695" t="s">
        <v>3275</v>
      </c>
      <c r="C695" t="s">
        <v>3276</v>
      </c>
      <c r="D695" t="s">
        <v>720</v>
      </c>
      <c r="E695">
        <v>9</v>
      </c>
      <c r="F695" t="s">
        <v>3277</v>
      </c>
      <c r="G695" t="s">
        <v>3278</v>
      </c>
      <c r="H695" t="s">
        <v>3279</v>
      </c>
      <c r="I695" t="s">
        <v>3282</v>
      </c>
      <c r="J695" t="s">
        <v>3283</v>
      </c>
      <c r="K695" t="s">
        <v>792</v>
      </c>
      <c r="L695">
        <v>2</v>
      </c>
    </row>
    <row r="696" spans="1:12" x14ac:dyDescent="0.25">
      <c r="A696" t="s">
        <v>720</v>
      </c>
      <c r="B696" t="s">
        <v>3275</v>
      </c>
      <c r="C696" t="s">
        <v>3276</v>
      </c>
      <c r="D696" t="s">
        <v>720</v>
      </c>
      <c r="E696">
        <v>9</v>
      </c>
      <c r="F696" t="s">
        <v>3277</v>
      </c>
      <c r="G696" t="s">
        <v>3278</v>
      </c>
      <c r="H696" t="s">
        <v>3284</v>
      </c>
      <c r="I696" t="s">
        <v>3285</v>
      </c>
      <c r="J696" t="s">
        <v>3286</v>
      </c>
      <c r="K696" t="s">
        <v>792</v>
      </c>
      <c r="L696">
        <v>2</v>
      </c>
    </row>
    <row r="697" spans="1:12" x14ac:dyDescent="0.25">
      <c r="A697" t="s">
        <v>720</v>
      </c>
      <c r="B697" t="s">
        <v>3275</v>
      </c>
      <c r="C697" t="s">
        <v>3276</v>
      </c>
      <c r="D697" t="s">
        <v>720</v>
      </c>
      <c r="E697">
        <v>9</v>
      </c>
      <c r="F697" t="s">
        <v>3277</v>
      </c>
      <c r="G697" t="s">
        <v>3278</v>
      </c>
      <c r="H697" t="s">
        <v>3284</v>
      </c>
      <c r="I697" t="s">
        <v>3287</v>
      </c>
      <c r="J697" t="s">
        <v>3288</v>
      </c>
      <c r="K697" t="s">
        <v>792</v>
      </c>
      <c r="L697">
        <v>2</v>
      </c>
    </row>
    <row r="698" spans="1:12" x14ac:dyDescent="0.25">
      <c r="A698" t="s">
        <v>720</v>
      </c>
      <c r="B698" t="s">
        <v>3275</v>
      </c>
      <c r="C698" t="s">
        <v>3276</v>
      </c>
      <c r="D698" t="s">
        <v>720</v>
      </c>
      <c r="E698">
        <v>9</v>
      </c>
      <c r="F698" t="s">
        <v>3277</v>
      </c>
      <c r="G698" t="s">
        <v>3278</v>
      </c>
      <c r="H698" t="s">
        <v>3289</v>
      </c>
      <c r="I698" t="s">
        <v>3290</v>
      </c>
      <c r="J698" t="s">
        <v>3291</v>
      </c>
      <c r="K698" t="s">
        <v>792</v>
      </c>
      <c r="L698">
        <v>2</v>
      </c>
    </row>
    <row r="699" spans="1:12" x14ac:dyDescent="0.25">
      <c r="A699" t="s">
        <v>720</v>
      </c>
      <c r="B699" t="s">
        <v>3275</v>
      </c>
      <c r="C699" t="s">
        <v>3276</v>
      </c>
      <c r="D699" t="s">
        <v>720</v>
      </c>
      <c r="E699">
        <v>9</v>
      </c>
      <c r="F699" t="s">
        <v>3277</v>
      </c>
      <c r="G699" t="s">
        <v>3278</v>
      </c>
      <c r="H699" t="s">
        <v>3289</v>
      </c>
      <c r="I699" t="s">
        <v>3292</v>
      </c>
      <c r="J699" t="s">
        <v>3293</v>
      </c>
      <c r="K699" t="s">
        <v>792</v>
      </c>
      <c r="L699">
        <v>2</v>
      </c>
    </row>
    <row r="700" spans="1:12" x14ac:dyDescent="0.25">
      <c r="A700" t="s">
        <v>720</v>
      </c>
      <c r="B700" t="s">
        <v>3294</v>
      </c>
      <c r="C700" t="s">
        <v>3276</v>
      </c>
      <c r="D700" t="s">
        <v>720</v>
      </c>
      <c r="E700">
        <v>9</v>
      </c>
      <c r="F700" t="s">
        <v>3295</v>
      </c>
      <c r="G700" t="s">
        <v>3296</v>
      </c>
      <c r="H700" t="s">
        <v>3297</v>
      </c>
      <c r="I700" t="s">
        <v>3298</v>
      </c>
      <c r="K700" t="s">
        <v>792</v>
      </c>
      <c r="L700">
        <v>2</v>
      </c>
    </row>
    <row r="701" spans="1:12" x14ac:dyDescent="0.25">
      <c r="A701" t="s">
        <v>720</v>
      </c>
      <c r="B701" t="s">
        <v>3294</v>
      </c>
      <c r="C701" t="s">
        <v>3276</v>
      </c>
      <c r="D701" t="s">
        <v>720</v>
      </c>
      <c r="E701">
        <v>9</v>
      </c>
      <c r="F701" t="s">
        <v>3295</v>
      </c>
      <c r="G701" t="s">
        <v>3296</v>
      </c>
      <c r="H701" t="s">
        <v>3299</v>
      </c>
      <c r="I701" t="s">
        <v>3300</v>
      </c>
      <c r="K701" t="s">
        <v>792</v>
      </c>
      <c r="L701">
        <v>2</v>
      </c>
    </row>
    <row r="702" spans="1:12" x14ac:dyDescent="0.25">
      <c r="A702" t="s">
        <v>720</v>
      </c>
      <c r="B702" t="s">
        <v>3294</v>
      </c>
      <c r="C702" t="s">
        <v>3276</v>
      </c>
      <c r="D702" t="s">
        <v>720</v>
      </c>
      <c r="E702">
        <v>9</v>
      </c>
      <c r="F702" t="s">
        <v>3295</v>
      </c>
      <c r="G702" t="s">
        <v>3296</v>
      </c>
      <c r="H702" t="s">
        <v>3301</v>
      </c>
      <c r="I702" t="s">
        <v>3302</v>
      </c>
      <c r="K702" t="s">
        <v>792</v>
      </c>
      <c r="L702">
        <v>2</v>
      </c>
    </row>
    <row r="703" spans="1:12" x14ac:dyDescent="0.25">
      <c r="A703" t="s">
        <v>720</v>
      </c>
      <c r="B703" t="s">
        <v>3303</v>
      </c>
      <c r="C703" t="s">
        <v>3276</v>
      </c>
      <c r="D703" t="s">
        <v>720</v>
      </c>
      <c r="E703">
        <v>9</v>
      </c>
      <c r="F703" t="s">
        <v>3304</v>
      </c>
      <c r="G703" t="s">
        <v>3305</v>
      </c>
      <c r="H703" t="s">
        <v>3306</v>
      </c>
      <c r="I703" t="s">
        <v>3307</v>
      </c>
      <c r="K703" t="s">
        <v>792</v>
      </c>
      <c r="L703">
        <v>2</v>
      </c>
    </row>
    <row r="704" spans="1:12" x14ac:dyDescent="0.25">
      <c r="A704" t="s">
        <v>720</v>
      </c>
      <c r="B704" t="s">
        <v>3303</v>
      </c>
      <c r="C704" t="s">
        <v>3276</v>
      </c>
      <c r="D704" t="s">
        <v>720</v>
      </c>
      <c r="E704">
        <v>9</v>
      </c>
      <c r="F704" t="s">
        <v>3304</v>
      </c>
      <c r="G704" t="s">
        <v>3305</v>
      </c>
      <c r="H704" t="s">
        <v>3308</v>
      </c>
      <c r="I704" t="s">
        <v>3309</v>
      </c>
      <c r="K704" t="s">
        <v>792</v>
      </c>
      <c r="L704">
        <v>2</v>
      </c>
    </row>
    <row r="705" spans="1:12" x14ac:dyDescent="0.25">
      <c r="A705" t="s">
        <v>720</v>
      </c>
      <c r="B705" t="s">
        <v>3303</v>
      </c>
      <c r="C705" t="s">
        <v>3276</v>
      </c>
      <c r="D705" t="s">
        <v>720</v>
      </c>
      <c r="E705">
        <v>9</v>
      </c>
      <c r="F705" t="s">
        <v>3304</v>
      </c>
      <c r="G705" t="s">
        <v>3305</v>
      </c>
      <c r="H705" t="s">
        <v>3310</v>
      </c>
      <c r="I705" t="s">
        <v>3311</v>
      </c>
      <c r="K705" t="s">
        <v>792</v>
      </c>
      <c r="L705">
        <v>2</v>
      </c>
    </row>
    <row r="706" spans="1:12" x14ac:dyDescent="0.25">
      <c r="A706" t="s">
        <v>720</v>
      </c>
      <c r="B706" t="s">
        <v>3312</v>
      </c>
      <c r="C706" t="s">
        <v>3276</v>
      </c>
      <c r="D706" t="s">
        <v>720</v>
      </c>
      <c r="E706">
        <v>9</v>
      </c>
      <c r="F706" t="s">
        <v>963</v>
      </c>
      <c r="G706" t="s">
        <v>3313</v>
      </c>
      <c r="H706" t="s">
        <v>3314</v>
      </c>
      <c r="I706" t="s">
        <v>3315</v>
      </c>
      <c r="K706" t="s">
        <v>792</v>
      </c>
      <c r="L706">
        <v>2</v>
      </c>
    </row>
    <row r="707" spans="1:12" x14ac:dyDescent="0.25">
      <c r="A707" t="s">
        <v>720</v>
      </c>
      <c r="B707" t="s">
        <v>3312</v>
      </c>
      <c r="C707" t="s">
        <v>3276</v>
      </c>
      <c r="D707" t="s">
        <v>720</v>
      </c>
      <c r="E707">
        <v>9</v>
      </c>
      <c r="F707" t="s">
        <v>963</v>
      </c>
      <c r="G707" t="s">
        <v>3313</v>
      </c>
      <c r="H707" t="s">
        <v>3316</v>
      </c>
      <c r="I707" t="s">
        <v>3317</v>
      </c>
      <c r="K707" t="s">
        <v>792</v>
      </c>
      <c r="L707">
        <v>2</v>
      </c>
    </row>
    <row r="708" spans="1:12" x14ac:dyDescent="0.25">
      <c r="A708" t="s">
        <v>720</v>
      </c>
      <c r="B708" t="s">
        <v>3312</v>
      </c>
      <c r="C708" t="s">
        <v>3276</v>
      </c>
      <c r="D708" t="s">
        <v>720</v>
      </c>
      <c r="E708">
        <v>9</v>
      </c>
      <c r="F708" t="s">
        <v>963</v>
      </c>
      <c r="G708" t="s">
        <v>3313</v>
      </c>
      <c r="H708" t="s">
        <v>3318</v>
      </c>
      <c r="I708" t="s">
        <v>3319</v>
      </c>
      <c r="K708" t="s">
        <v>792</v>
      </c>
      <c r="L708">
        <v>2</v>
      </c>
    </row>
    <row r="709" spans="1:12" x14ac:dyDescent="0.25">
      <c r="A709" t="s">
        <v>720</v>
      </c>
      <c r="B709" t="s">
        <v>3320</v>
      </c>
      <c r="C709" t="s">
        <v>3276</v>
      </c>
      <c r="D709" t="s">
        <v>720</v>
      </c>
      <c r="E709">
        <v>9</v>
      </c>
      <c r="F709" t="s">
        <v>2665</v>
      </c>
      <c r="G709" t="s">
        <v>3321</v>
      </c>
      <c r="H709" t="s">
        <v>3322</v>
      </c>
      <c r="I709" t="s">
        <v>3323</v>
      </c>
      <c r="K709" t="s">
        <v>792</v>
      </c>
      <c r="L709">
        <v>2</v>
      </c>
    </row>
    <row r="710" spans="1:12" x14ac:dyDescent="0.25">
      <c r="A710" t="s">
        <v>720</v>
      </c>
      <c r="B710" t="s">
        <v>3320</v>
      </c>
      <c r="C710" t="s">
        <v>3276</v>
      </c>
      <c r="D710" t="s">
        <v>720</v>
      </c>
      <c r="E710">
        <v>9</v>
      </c>
      <c r="F710" t="s">
        <v>2665</v>
      </c>
      <c r="G710" t="s">
        <v>3321</v>
      </c>
      <c r="H710" t="s">
        <v>3290</v>
      </c>
      <c r="I710" t="s">
        <v>3324</v>
      </c>
      <c r="K710" t="s">
        <v>792</v>
      </c>
      <c r="L710">
        <v>2</v>
      </c>
    </row>
    <row r="711" spans="1:12" x14ac:dyDescent="0.25">
      <c r="A711" t="s">
        <v>720</v>
      </c>
      <c r="B711" t="s">
        <v>3320</v>
      </c>
      <c r="C711" t="s">
        <v>3276</v>
      </c>
      <c r="D711" t="s">
        <v>720</v>
      </c>
      <c r="E711">
        <v>9</v>
      </c>
      <c r="F711" t="s">
        <v>2975</v>
      </c>
      <c r="G711" t="s">
        <v>3325</v>
      </c>
      <c r="H711" t="s">
        <v>3326</v>
      </c>
      <c r="I711" t="s">
        <v>3327</v>
      </c>
      <c r="K711" t="s">
        <v>792</v>
      </c>
      <c r="L711">
        <v>2</v>
      </c>
    </row>
    <row r="712" spans="1:12" x14ac:dyDescent="0.25">
      <c r="A712" t="s">
        <v>720</v>
      </c>
      <c r="B712" t="s">
        <v>3328</v>
      </c>
      <c r="C712" t="s">
        <v>3276</v>
      </c>
      <c r="D712" t="s">
        <v>720</v>
      </c>
      <c r="E712">
        <v>9</v>
      </c>
      <c r="F712" t="s">
        <v>2937</v>
      </c>
      <c r="G712" t="s">
        <v>3329</v>
      </c>
      <c r="H712" t="s">
        <v>3330</v>
      </c>
      <c r="I712" t="s">
        <v>3331</v>
      </c>
      <c r="K712" t="s">
        <v>792</v>
      </c>
      <c r="L712">
        <v>2</v>
      </c>
    </row>
    <row r="713" spans="1:12" x14ac:dyDescent="0.25">
      <c r="A713" t="s">
        <v>720</v>
      </c>
      <c r="B713" t="s">
        <v>3328</v>
      </c>
      <c r="C713" t="s">
        <v>3276</v>
      </c>
      <c r="D713" t="s">
        <v>720</v>
      </c>
      <c r="E713">
        <v>9</v>
      </c>
      <c r="F713" t="s">
        <v>2937</v>
      </c>
      <c r="G713" t="s">
        <v>3329</v>
      </c>
      <c r="H713" t="s">
        <v>3332</v>
      </c>
      <c r="I713" t="s">
        <v>3333</v>
      </c>
      <c r="K713" t="s">
        <v>792</v>
      </c>
      <c r="L713">
        <v>2</v>
      </c>
    </row>
    <row r="714" spans="1:12" x14ac:dyDescent="0.25">
      <c r="A714" t="s">
        <v>720</v>
      </c>
      <c r="B714" t="s">
        <v>3328</v>
      </c>
      <c r="C714" t="s">
        <v>3276</v>
      </c>
      <c r="D714" t="s">
        <v>720</v>
      </c>
      <c r="E714">
        <v>9</v>
      </c>
      <c r="F714" t="s">
        <v>2937</v>
      </c>
      <c r="G714" t="s">
        <v>3329</v>
      </c>
      <c r="H714" t="s">
        <v>3334</v>
      </c>
      <c r="I714" t="s">
        <v>3335</v>
      </c>
      <c r="K714" t="s">
        <v>792</v>
      </c>
      <c r="L714">
        <v>2</v>
      </c>
    </row>
    <row r="715" spans="1:12" x14ac:dyDescent="0.25">
      <c r="A715" t="s">
        <v>720</v>
      </c>
      <c r="B715" t="s">
        <v>3328</v>
      </c>
      <c r="C715" t="s">
        <v>3276</v>
      </c>
      <c r="D715" t="s">
        <v>720</v>
      </c>
      <c r="E715">
        <v>9</v>
      </c>
      <c r="F715" t="s">
        <v>2937</v>
      </c>
      <c r="G715" t="s">
        <v>3329</v>
      </c>
      <c r="H715" t="s">
        <v>3336</v>
      </c>
      <c r="I715" t="s">
        <v>3337</v>
      </c>
      <c r="K715" t="s">
        <v>792</v>
      </c>
      <c r="L715">
        <v>2</v>
      </c>
    </row>
    <row r="716" spans="1:12" x14ac:dyDescent="0.25">
      <c r="A716" t="s">
        <v>720</v>
      </c>
      <c r="B716" t="s">
        <v>3338</v>
      </c>
      <c r="C716" t="s">
        <v>3276</v>
      </c>
      <c r="D716" t="s">
        <v>720</v>
      </c>
      <c r="E716">
        <v>9</v>
      </c>
      <c r="F716" t="s">
        <v>3339</v>
      </c>
      <c r="G716" t="s">
        <v>3340</v>
      </c>
      <c r="H716" t="s">
        <v>3341</v>
      </c>
      <c r="I716" t="s">
        <v>3342</v>
      </c>
      <c r="K716" t="s">
        <v>792</v>
      </c>
      <c r="L716">
        <v>2</v>
      </c>
    </row>
    <row r="717" spans="1:12" x14ac:dyDescent="0.25">
      <c r="A717" t="s">
        <v>720</v>
      </c>
      <c r="B717" t="s">
        <v>3338</v>
      </c>
      <c r="C717" t="s">
        <v>3276</v>
      </c>
      <c r="D717" t="s">
        <v>720</v>
      </c>
      <c r="E717">
        <v>9</v>
      </c>
      <c r="F717" t="s">
        <v>3343</v>
      </c>
      <c r="G717" t="s">
        <v>3344</v>
      </c>
      <c r="H717" t="s">
        <v>3345</v>
      </c>
      <c r="I717" t="s">
        <v>3346</v>
      </c>
      <c r="K717" t="s">
        <v>792</v>
      </c>
      <c r="L717">
        <v>2</v>
      </c>
    </row>
    <row r="718" spans="1:12" x14ac:dyDescent="0.25">
      <c r="A718" t="s">
        <v>720</v>
      </c>
      <c r="B718" t="s">
        <v>3338</v>
      </c>
      <c r="C718" t="s">
        <v>3276</v>
      </c>
      <c r="D718" t="s">
        <v>720</v>
      </c>
      <c r="E718">
        <v>9</v>
      </c>
      <c r="F718" t="s">
        <v>3343</v>
      </c>
      <c r="G718" t="s">
        <v>3344</v>
      </c>
      <c r="H718" t="s">
        <v>3347</v>
      </c>
      <c r="I718" t="s">
        <v>3348</v>
      </c>
      <c r="K718" t="s">
        <v>792</v>
      </c>
      <c r="L718">
        <v>2</v>
      </c>
    </row>
    <row r="719" spans="1:12" x14ac:dyDescent="0.25">
      <c r="A719" t="s">
        <v>720</v>
      </c>
      <c r="B719" t="s">
        <v>3349</v>
      </c>
      <c r="C719" t="s">
        <v>3350</v>
      </c>
      <c r="D719" t="s">
        <v>3351</v>
      </c>
      <c r="E719">
        <v>9</v>
      </c>
      <c r="F719" t="s">
        <v>872</v>
      </c>
      <c r="G719" t="s">
        <v>3352</v>
      </c>
      <c r="H719" t="s">
        <v>3353</v>
      </c>
      <c r="I719" t="s">
        <v>3354</v>
      </c>
      <c r="K719" t="s">
        <v>792</v>
      </c>
      <c r="L719">
        <v>2</v>
      </c>
    </row>
    <row r="720" spans="1:12" x14ac:dyDescent="0.25">
      <c r="A720" t="s">
        <v>720</v>
      </c>
      <c r="B720" t="s">
        <v>3349</v>
      </c>
      <c r="C720" t="s">
        <v>3350</v>
      </c>
      <c r="D720" t="s">
        <v>3351</v>
      </c>
      <c r="E720">
        <v>9</v>
      </c>
      <c r="F720" t="s">
        <v>872</v>
      </c>
      <c r="G720" t="s">
        <v>3352</v>
      </c>
      <c r="H720" t="s">
        <v>3355</v>
      </c>
      <c r="I720" t="s">
        <v>1416</v>
      </c>
      <c r="K720" t="s">
        <v>792</v>
      </c>
      <c r="L720">
        <v>2</v>
      </c>
    </row>
    <row r="721" spans="1:12" x14ac:dyDescent="0.25">
      <c r="A721" t="s">
        <v>720</v>
      </c>
      <c r="B721" t="s">
        <v>3349</v>
      </c>
      <c r="C721" t="s">
        <v>3350</v>
      </c>
      <c r="D721" t="s">
        <v>3351</v>
      </c>
      <c r="E721">
        <v>9</v>
      </c>
      <c r="F721" t="s">
        <v>3356</v>
      </c>
      <c r="G721" t="s">
        <v>3357</v>
      </c>
      <c r="H721" t="s">
        <v>3358</v>
      </c>
      <c r="I721" t="s">
        <v>3359</v>
      </c>
      <c r="K721" t="s">
        <v>792</v>
      </c>
      <c r="L721">
        <v>2</v>
      </c>
    </row>
    <row r="722" spans="1:12" x14ac:dyDescent="0.25">
      <c r="A722" t="s">
        <v>720</v>
      </c>
      <c r="B722" t="s">
        <v>3360</v>
      </c>
      <c r="C722" t="s">
        <v>3276</v>
      </c>
      <c r="D722" t="s">
        <v>720</v>
      </c>
      <c r="E722">
        <v>9</v>
      </c>
      <c r="F722" t="s">
        <v>2519</v>
      </c>
      <c r="G722" t="s">
        <v>3361</v>
      </c>
      <c r="H722" t="s">
        <v>3362</v>
      </c>
      <c r="I722" t="s">
        <v>3363</v>
      </c>
      <c r="K722" t="s">
        <v>792</v>
      </c>
      <c r="L722">
        <v>2</v>
      </c>
    </row>
    <row r="723" spans="1:12" x14ac:dyDescent="0.25">
      <c r="A723" t="s">
        <v>720</v>
      </c>
      <c r="B723" t="s">
        <v>3360</v>
      </c>
      <c r="C723" t="s">
        <v>3276</v>
      </c>
      <c r="D723" t="s">
        <v>720</v>
      </c>
      <c r="E723">
        <v>9</v>
      </c>
      <c r="F723" t="s">
        <v>2519</v>
      </c>
      <c r="G723" t="s">
        <v>3361</v>
      </c>
      <c r="H723" t="s">
        <v>3364</v>
      </c>
      <c r="I723" t="s">
        <v>1396</v>
      </c>
      <c r="K723" t="s">
        <v>1255</v>
      </c>
      <c r="L723">
        <v>1</v>
      </c>
    </row>
    <row r="724" spans="1:12" x14ac:dyDescent="0.25">
      <c r="A724" t="s">
        <v>4503</v>
      </c>
      <c r="B724" t="s">
        <v>3365</v>
      </c>
      <c r="C724" t="s">
        <v>747</v>
      </c>
      <c r="D724" t="s">
        <v>3366</v>
      </c>
      <c r="E724">
        <v>10</v>
      </c>
      <c r="F724" t="s">
        <v>3356</v>
      </c>
      <c r="G724" t="s">
        <v>3367</v>
      </c>
      <c r="H724" t="s">
        <v>3368</v>
      </c>
      <c r="I724" t="s">
        <v>3369</v>
      </c>
      <c r="K724" t="s">
        <v>792</v>
      </c>
      <c r="L724">
        <v>2</v>
      </c>
    </row>
    <row r="725" spans="1:12" x14ac:dyDescent="0.25">
      <c r="A725" t="s">
        <v>4503</v>
      </c>
      <c r="B725" t="s">
        <v>3365</v>
      </c>
      <c r="C725" t="s">
        <v>747</v>
      </c>
      <c r="D725" t="s">
        <v>3366</v>
      </c>
      <c r="E725">
        <v>10</v>
      </c>
      <c r="F725" t="s">
        <v>3356</v>
      </c>
      <c r="G725" t="s">
        <v>3367</v>
      </c>
      <c r="H725" t="s">
        <v>3370</v>
      </c>
      <c r="I725" t="s">
        <v>3371</v>
      </c>
      <c r="K725" t="s">
        <v>792</v>
      </c>
      <c r="L725">
        <v>2</v>
      </c>
    </row>
    <row r="726" spans="1:12" x14ac:dyDescent="0.25">
      <c r="A726" t="s">
        <v>4503</v>
      </c>
      <c r="B726" t="s">
        <v>3365</v>
      </c>
      <c r="C726" t="s">
        <v>747</v>
      </c>
      <c r="D726" t="s">
        <v>3366</v>
      </c>
      <c r="E726">
        <v>10</v>
      </c>
      <c r="F726" t="s">
        <v>3372</v>
      </c>
      <c r="G726" t="s">
        <v>1325</v>
      </c>
      <c r="H726" t="s">
        <v>3373</v>
      </c>
      <c r="I726" t="s">
        <v>2788</v>
      </c>
      <c r="K726" t="s">
        <v>792</v>
      </c>
      <c r="L726">
        <v>2</v>
      </c>
    </row>
    <row r="727" spans="1:12" x14ac:dyDescent="0.25">
      <c r="A727" t="s">
        <v>4503</v>
      </c>
      <c r="B727" t="s">
        <v>3374</v>
      </c>
      <c r="C727" t="s">
        <v>747</v>
      </c>
      <c r="D727" t="s">
        <v>3366</v>
      </c>
      <c r="E727">
        <v>10</v>
      </c>
      <c r="F727" t="s">
        <v>3375</v>
      </c>
      <c r="G727" t="s">
        <v>3376</v>
      </c>
      <c r="H727" t="s">
        <v>3377</v>
      </c>
      <c r="I727" t="s">
        <v>3378</v>
      </c>
      <c r="K727" t="s">
        <v>792</v>
      </c>
      <c r="L727">
        <v>2</v>
      </c>
    </row>
    <row r="728" spans="1:12" x14ac:dyDescent="0.25">
      <c r="A728" t="s">
        <v>4503</v>
      </c>
      <c r="B728" t="s">
        <v>3374</v>
      </c>
      <c r="C728" t="s">
        <v>747</v>
      </c>
      <c r="D728" t="s">
        <v>3366</v>
      </c>
      <c r="E728">
        <v>10</v>
      </c>
      <c r="F728" t="s">
        <v>3240</v>
      </c>
      <c r="G728" t="s">
        <v>3379</v>
      </c>
      <c r="H728" t="s">
        <v>3380</v>
      </c>
      <c r="I728" t="s">
        <v>3381</v>
      </c>
      <c r="K728" t="s">
        <v>792</v>
      </c>
      <c r="L728">
        <v>2</v>
      </c>
    </row>
    <row r="729" spans="1:12" x14ac:dyDescent="0.25">
      <c r="A729" t="s">
        <v>4503</v>
      </c>
      <c r="B729" t="s">
        <v>3374</v>
      </c>
      <c r="C729" t="s">
        <v>747</v>
      </c>
      <c r="D729" t="s">
        <v>3366</v>
      </c>
      <c r="E729">
        <v>10</v>
      </c>
      <c r="F729" t="s">
        <v>3240</v>
      </c>
      <c r="G729" t="s">
        <v>3379</v>
      </c>
      <c r="H729" t="s">
        <v>3382</v>
      </c>
      <c r="I729" t="s">
        <v>3383</v>
      </c>
      <c r="K729" t="s">
        <v>792</v>
      </c>
      <c r="L729">
        <v>2</v>
      </c>
    </row>
    <row r="730" spans="1:12" x14ac:dyDescent="0.25">
      <c r="A730" t="s">
        <v>4503</v>
      </c>
      <c r="B730" t="s">
        <v>3374</v>
      </c>
      <c r="C730" t="s">
        <v>747</v>
      </c>
      <c r="D730" t="s">
        <v>3366</v>
      </c>
      <c r="E730">
        <v>10</v>
      </c>
      <c r="F730" t="s">
        <v>3240</v>
      </c>
      <c r="G730" t="s">
        <v>3379</v>
      </c>
      <c r="H730" t="s">
        <v>3384</v>
      </c>
      <c r="I730" t="s">
        <v>3385</v>
      </c>
      <c r="K730" t="s">
        <v>792</v>
      </c>
      <c r="L730">
        <v>2</v>
      </c>
    </row>
    <row r="731" spans="1:12" x14ac:dyDescent="0.25">
      <c r="A731" t="s">
        <v>4503</v>
      </c>
      <c r="B731" t="s">
        <v>3374</v>
      </c>
      <c r="C731" t="s">
        <v>747</v>
      </c>
      <c r="D731" t="s">
        <v>3366</v>
      </c>
      <c r="E731">
        <v>10</v>
      </c>
      <c r="F731" t="s">
        <v>3240</v>
      </c>
      <c r="G731" t="s">
        <v>3379</v>
      </c>
      <c r="H731" t="s">
        <v>3386</v>
      </c>
      <c r="I731" t="s">
        <v>3387</v>
      </c>
      <c r="K731" t="s">
        <v>792</v>
      </c>
      <c r="L731">
        <v>2</v>
      </c>
    </row>
    <row r="732" spans="1:12" x14ac:dyDescent="0.25">
      <c r="A732" t="s">
        <v>4503</v>
      </c>
      <c r="B732" t="s">
        <v>3388</v>
      </c>
      <c r="C732" t="s">
        <v>747</v>
      </c>
      <c r="D732" t="s">
        <v>3366</v>
      </c>
      <c r="E732">
        <v>10</v>
      </c>
      <c r="F732" t="s">
        <v>3295</v>
      </c>
      <c r="G732" t="s">
        <v>3389</v>
      </c>
      <c r="H732" t="s">
        <v>3390</v>
      </c>
      <c r="I732" t="s">
        <v>3391</v>
      </c>
      <c r="K732" t="s">
        <v>792</v>
      </c>
      <c r="L732">
        <v>2</v>
      </c>
    </row>
    <row r="733" spans="1:12" x14ac:dyDescent="0.25">
      <c r="A733" t="s">
        <v>4503</v>
      </c>
      <c r="B733" t="s">
        <v>3388</v>
      </c>
      <c r="C733" t="s">
        <v>747</v>
      </c>
      <c r="D733" t="s">
        <v>3366</v>
      </c>
      <c r="E733">
        <v>10</v>
      </c>
      <c r="F733" t="s">
        <v>3295</v>
      </c>
      <c r="G733" t="s">
        <v>3389</v>
      </c>
      <c r="H733" t="s">
        <v>3392</v>
      </c>
      <c r="I733" t="s">
        <v>3393</v>
      </c>
      <c r="K733" t="s">
        <v>792</v>
      </c>
      <c r="L733">
        <v>2</v>
      </c>
    </row>
    <row r="734" spans="1:12" x14ac:dyDescent="0.25">
      <c r="A734" t="s">
        <v>4503</v>
      </c>
      <c r="B734" t="s">
        <v>3388</v>
      </c>
      <c r="C734" t="s">
        <v>747</v>
      </c>
      <c r="D734" t="s">
        <v>3366</v>
      </c>
      <c r="E734">
        <v>10</v>
      </c>
      <c r="F734" t="s">
        <v>955</v>
      </c>
      <c r="G734" t="s">
        <v>2478</v>
      </c>
      <c r="H734" t="s">
        <v>3394</v>
      </c>
      <c r="I734" t="s">
        <v>3395</v>
      </c>
      <c r="K734" t="s">
        <v>792</v>
      </c>
      <c r="L734">
        <v>2</v>
      </c>
    </row>
    <row r="735" spans="1:12" x14ac:dyDescent="0.25">
      <c r="A735" t="s">
        <v>4503</v>
      </c>
      <c r="B735" t="s">
        <v>3396</v>
      </c>
      <c r="C735" t="s">
        <v>747</v>
      </c>
      <c r="D735" t="s">
        <v>3366</v>
      </c>
      <c r="E735">
        <v>10</v>
      </c>
      <c r="F735" t="s">
        <v>871</v>
      </c>
      <c r="G735" t="s">
        <v>2483</v>
      </c>
      <c r="H735" t="s">
        <v>3397</v>
      </c>
      <c r="I735" t="s">
        <v>3398</v>
      </c>
      <c r="K735" t="s">
        <v>792</v>
      </c>
      <c r="L735">
        <v>2</v>
      </c>
    </row>
    <row r="736" spans="1:12" x14ac:dyDescent="0.25">
      <c r="A736" t="s">
        <v>4503</v>
      </c>
      <c r="B736" t="s">
        <v>3396</v>
      </c>
      <c r="C736" t="s">
        <v>747</v>
      </c>
      <c r="D736" t="s">
        <v>3366</v>
      </c>
      <c r="E736">
        <v>10</v>
      </c>
      <c r="F736" t="s">
        <v>871</v>
      </c>
      <c r="G736" t="s">
        <v>2483</v>
      </c>
      <c r="H736" t="s">
        <v>3399</v>
      </c>
      <c r="I736" t="s">
        <v>3400</v>
      </c>
      <c r="K736" t="s">
        <v>792</v>
      </c>
      <c r="L736">
        <v>2</v>
      </c>
    </row>
    <row r="737" spans="1:12" x14ac:dyDescent="0.25">
      <c r="A737" t="s">
        <v>4503</v>
      </c>
      <c r="B737" t="s">
        <v>3396</v>
      </c>
      <c r="C737" t="s">
        <v>747</v>
      </c>
      <c r="D737" t="s">
        <v>3366</v>
      </c>
      <c r="E737">
        <v>10</v>
      </c>
      <c r="F737" t="s">
        <v>3401</v>
      </c>
      <c r="G737" t="s">
        <v>3402</v>
      </c>
      <c r="H737" t="s">
        <v>3403</v>
      </c>
      <c r="I737" t="s">
        <v>3161</v>
      </c>
      <c r="K737" t="s">
        <v>792</v>
      </c>
      <c r="L737">
        <v>2</v>
      </c>
    </row>
    <row r="738" spans="1:12" x14ac:dyDescent="0.25">
      <c r="A738" t="s">
        <v>4503</v>
      </c>
      <c r="B738" t="s">
        <v>3404</v>
      </c>
      <c r="C738" t="s">
        <v>747</v>
      </c>
      <c r="D738" t="s">
        <v>3366</v>
      </c>
      <c r="E738">
        <v>10</v>
      </c>
      <c r="F738" t="s">
        <v>3405</v>
      </c>
      <c r="G738" t="s">
        <v>3406</v>
      </c>
      <c r="H738" t="s">
        <v>3407</v>
      </c>
      <c r="I738" t="s">
        <v>3408</v>
      </c>
      <c r="K738" t="s">
        <v>792</v>
      </c>
      <c r="L738">
        <v>2</v>
      </c>
    </row>
    <row r="739" spans="1:12" x14ac:dyDescent="0.25">
      <c r="A739" t="s">
        <v>4503</v>
      </c>
      <c r="B739" t="s">
        <v>3404</v>
      </c>
      <c r="C739" t="s">
        <v>747</v>
      </c>
      <c r="D739" t="s">
        <v>3366</v>
      </c>
      <c r="E739">
        <v>10</v>
      </c>
      <c r="F739" t="s">
        <v>3405</v>
      </c>
      <c r="G739" t="s">
        <v>3406</v>
      </c>
      <c r="H739" t="s">
        <v>3409</v>
      </c>
      <c r="I739" t="s">
        <v>3410</v>
      </c>
      <c r="K739" t="s">
        <v>792</v>
      </c>
      <c r="L739">
        <v>2</v>
      </c>
    </row>
    <row r="740" spans="1:12" x14ac:dyDescent="0.25">
      <c r="A740" t="s">
        <v>4503</v>
      </c>
      <c r="B740" t="s">
        <v>3404</v>
      </c>
      <c r="C740" t="s">
        <v>747</v>
      </c>
      <c r="D740" t="s">
        <v>3366</v>
      </c>
      <c r="E740">
        <v>10</v>
      </c>
      <c r="F740" t="s">
        <v>2937</v>
      </c>
      <c r="G740" t="s">
        <v>2938</v>
      </c>
      <c r="H740" t="s">
        <v>3411</v>
      </c>
      <c r="I740" t="s">
        <v>3412</v>
      </c>
      <c r="K740" t="s">
        <v>792</v>
      </c>
      <c r="L740">
        <v>2</v>
      </c>
    </row>
    <row r="741" spans="1:12" x14ac:dyDescent="0.25">
      <c r="A741" t="s">
        <v>4503</v>
      </c>
      <c r="B741" t="s">
        <v>3413</v>
      </c>
      <c r="C741" t="s">
        <v>747</v>
      </c>
      <c r="D741" t="s">
        <v>3366</v>
      </c>
      <c r="E741">
        <v>10</v>
      </c>
      <c r="F741" t="s">
        <v>1476</v>
      </c>
      <c r="G741" t="s">
        <v>3414</v>
      </c>
      <c r="H741" t="s">
        <v>3415</v>
      </c>
      <c r="I741" t="s">
        <v>3416</v>
      </c>
      <c r="K741" t="s">
        <v>792</v>
      </c>
      <c r="L741">
        <v>2</v>
      </c>
    </row>
    <row r="742" spans="1:12" x14ac:dyDescent="0.25">
      <c r="A742" t="s">
        <v>4503</v>
      </c>
      <c r="B742" t="s">
        <v>3413</v>
      </c>
      <c r="C742" t="s">
        <v>747</v>
      </c>
      <c r="D742" t="s">
        <v>3366</v>
      </c>
      <c r="E742">
        <v>10</v>
      </c>
      <c r="F742" t="s">
        <v>1476</v>
      </c>
      <c r="G742" t="s">
        <v>3414</v>
      </c>
      <c r="H742" t="s">
        <v>3417</v>
      </c>
      <c r="I742" t="s">
        <v>3418</v>
      </c>
      <c r="K742" t="s">
        <v>792</v>
      </c>
      <c r="L742">
        <v>2</v>
      </c>
    </row>
    <row r="743" spans="1:12" x14ac:dyDescent="0.25">
      <c r="A743" t="s">
        <v>4503</v>
      </c>
      <c r="B743" t="s">
        <v>3413</v>
      </c>
      <c r="C743" t="s">
        <v>747</v>
      </c>
      <c r="D743" t="s">
        <v>3366</v>
      </c>
      <c r="E743">
        <v>10</v>
      </c>
      <c r="F743" t="s">
        <v>3419</v>
      </c>
      <c r="G743" t="s">
        <v>3420</v>
      </c>
      <c r="H743" t="s">
        <v>3421</v>
      </c>
      <c r="I743" t="s">
        <v>3422</v>
      </c>
      <c r="K743" t="s">
        <v>792</v>
      </c>
      <c r="L743">
        <v>2</v>
      </c>
    </row>
    <row r="744" spans="1:12" x14ac:dyDescent="0.25">
      <c r="A744" t="s">
        <v>4503</v>
      </c>
      <c r="B744" t="s">
        <v>3413</v>
      </c>
      <c r="C744" t="s">
        <v>747</v>
      </c>
      <c r="D744" t="s">
        <v>3366</v>
      </c>
      <c r="E744">
        <v>10</v>
      </c>
      <c r="F744" t="s">
        <v>3419</v>
      </c>
      <c r="G744" t="s">
        <v>3420</v>
      </c>
      <c r="H744" t="s">
        <v>3423</v>
      </c>
      <c r="I744" t="s">
        <v>3424</v>
      </c>
      <c r="K744" t="s">
        <v>792</v>
      </c>
      <c r="L744">
        <v>2</v>
      </c>
    </row>
    <row r="745" spans="1:12" x14ac:dyDescent="0.25">
      <c r="A745" t="s">
        <v>4503</v>
      </c>
      <c r="B745" t="s">
        <v>3425</v>
      </c>
      <c r="C745" t="s">
        <v>747</v>
      </c>
      <c r="D745" t="s">
        <v>3366</v>
      </c>
      <c r="E745">
        <v>10</v>
      </c>
      <c r="F745" t="s">
        <v>2208</v>
      </c>
      <c r="G745" t="s">
        <v>2809</v>
      </c>
      <c r="H745" t="s">
        <v>3426</v>
      </c>
      <c r="I745" t="s">
        <v>3427</v>
      </c>
      <c r="K745" t="s">
        <v>792</v>
      </c>
      <c r="L745">
        <v>2</v>
      </c>
    </row>
    <row r="746" spans="1:12" x14ac:dyDescent="0.25">
      <c r="A746" t="s">
        <v>4503</v>
      </c>
      <c r="B746" t="s">
        <v>3425</v>
      </c>
      <c r="C746" t="s">
        <v>747</v>
      </c>
      <c r="D746" t="s">
        <v>3366</v>
      </c>
      <c r="E746">
        <v>10</v>
      </c>
      <c r="F746" t="s">
        <v>1397</v>
      </c>
      <c r="G746" t="s">
        <v>3428</v>
      </c>
      <c r="H746" t="s">
        <v>3429</v>
      </c>
      <c r="I746" t="s">
        <v>2377</v>
      </c>
      <c r="K746" t="s">
        <v>792</v>
      </c>
      <c r="L746">
        <v>2</v>
      </c>
    </row>
    <row r="747" spans="1:12" x14ac:dyDescent="0.25">
      <c r="A747" t="s">
        <v>4503</v>
      </c>
      <c r="B747" t="s">
        <v>3425</v>
      </c>
      <c r="C747" t="s">
        <v>747</v>
      </c>
      <c r="D747" t="s">
        <v>3366</v>
      </c>
      <c r="E747">
        <v>10</v>
      </c>
      <c r="F747" t="s">
        <v>3430</v>
      </c>
      <c r="G747" t="s">
        <v>3431</v>
      </c>
      <c r="H747" t="s">
        <v>3432</v>
      </c>
      <c r="I747" t="s">
        <v>3433</v>
      </c>
      <c r="K747" t="s">
        <v>1255</v>
      </c>
      <c r="L747">
        <v>1</v>
      </c>
    </row>
    <row r="748" spans="1:12" x14ac:dyDescent="0.25">
      <c r="A748" t="s">
        <v>4503</v>
      </c>
      <c r="B748" t="s">
        <v>3434</v>
      </c>
      <c r="C748" t="s">
        <v>747</v>
      </c>
      <c r="D748" t="s">
        <v>3366</v>
      </c>
      <c r="E748">
        <v>10</v>
      </c>
      <c r="F748" t="s">
        <v>3193</v>
      </c>
      <c r="G748" t="s">
        <v>3435</v>
      </c>
      <c r="H748" t="s">
        <v>3436</v>
      </c>
      <c r="I748" t="s">
        <v>3437</v>
      </c>
      <c r="K748" t="s">
        <v>792</v>
      </c>
      <c r="L748">
        <v>2</v>
      </c>
    </row>
    <row r="749" spans="1:12" x14ac:dyDescent="0.25">
      <c r="A749" t="s">
        <v>4503</v>
      </c>
      <c r="B749" t="s">
        <v>3434</v>
      </c>
      <c r="C749" t="s">
        <v>747</v>
      </c>
      <c r="D749" t="s">
        <v>3366</v>
      </c>
      <c r="E749">
        <v>10</v>
      </c>
      <c r="F749" t="s">
        <v>3438</v>
      </c>
      <c r="G749" t="s">
        <v>3439</v>
      </c>
      <c r="H749" t="s">
        <v>3440</v>
      </c>
      <c r="I749" t="s">
        <v>3441</v>
      </c>
      <c r="K749" t="s">
        <v>792</v>
      </c>
      <c r="L749">
        <v>2</v>
      </c>
    </row>
    <row r="750" spans="1:12" x14ac:dyDescent="0.25">
      <c r="A750" t="s">
        <v>4503</v>
      </c>
      <c r="B750" t="s">
        <v>3434</v>
      </c>
      <c r="C750" t="s">
        <v>747</v>
      </c>
      <c r="D750" t="s">
        <v>3366</v>
      </c>
      <c r="E750">
        <v>10</v>
      </c>
      <c r="F750" t="s">
        <v>1448</v>
      </c>
      <c r="G750" t="s">
        <v>3442</v>
      </c>
      <c r="H750" t="s">
        <v>3443</v>
      </c>
      <c r="I750" t="s">
        <v>3444</v>
      </c>
      <c r="K750" t="s">
        <v>792</v>
      </c>
      <c r="L750">
        <v>2</v>
      </c>
    </row>
    <row r="751" spans="1:12" x14ac:dyDescent="0.25">
      <c r="A751" t="s">
        <v>4503</v>
      </c>
      <c r="B751" t="s">
        <v>3445</v>
      </c>
      <c r="C751" t="s">
        <v>747</v>
      </c>
      <c r="D751" t="s">
        <v>3366</v>
      </c>
      <c r="E751">
        <v>10</v>
      </c>
      <c r="F751" t="s">
        <v>3214</v>
      </c>
      <c r="G751" t="s">
        <v>3446</v>
      </c>
      <c r="H751" t="s">
        <v>3447</v>
      </c>
      <c r="I751" t="s">
        <v>3448</v>
      </c>
      <c r="K751" t="s">
        <v>792</v>
      </c>
      <c r="L751">
        <v>2</v>
      </c>
    </row>
    <row r="752" spans="1:12" x14ac:dyDescent="0.25">
      <c r="A752" t="s">
        <v>4503</v>
      </c>
      <c r="B752" t="s">
        <v>3445</v>
      </c>
      <c r="C752" t="s">
        <v>747</v>
      </c>
      <c r="D752" t="s">
        <v>3366</v>
      </c>
      <c r="E752">
        <v>10</v>
      </c>
      <c r="F752" t="s">
        <v>1470</v>
      </c>
      <c r="G752" t="s">
        <v>2426</v>
      </c>
      <c r="H752" t="s">
        <v>3449</v>
      </c>
      <c r="I752" t="s">
        <v>3291</v>
      </c>
      <c r="K752" t="s">
        <v>792</v>
      </c>
      <c r="L752">
        <v>2</v>
      </c>
    </row>
    <row r="753" spans="1:12" x14ac:dyDescent="0.25">
      <c r="A753" t="s">
        <v>4503</v>
      </c>
      <c r="B753" t="s">
        <v>3450</v>
      </c>
      <c r="C753" t="s">
        <v>747</v>
      </c>
      <c r="D753" t="s">
        <v>3366</v>
      </c>
      <c r="E753">
        <v>10</v>
      </c>
      <c r="F753" t="s">
        <v>3451</v>
      </c>
      <c r="G753" t="s">
        <v>3452</v>
      </c>
      <c r="H753" t="s">
        <v>3453</v>
      </c>
      <c r="I753" t="s">
        <v>3454</v>
      </c>
      <c r="K753" t="s">
        <v>792</v>
      </c>
      <c r="L753">
        <v>2</v>
      </c>
    </row>
    <row r="754" spans="1:12" x14ac:dyDescent="0.25">
      <c r="A754" t="s">
        <v>4503</v>
      </c>
      <c r="B754" t="s">
        <v>3450</v>
      </c>
      <c r="C754" t="s">
        <v>747</v>
      </c>
      <c r="D754" t="s">
        <v>3366</v>
      </c>
      <c r="E754">
        <v>10</v>
      </c>
      <c r="F754" t="s">
        <v>2430</v>
      </c>
      <c r="G754" t="s">
        <v>3455</v>
      </c>
      <c r="H754" t="s">
        <v>3456</v>
      </c>
      <c r="I754" t="s">
        <v>3457</v>
      </c>
      <c r="K754" t="s">
        <v>792</v>
      </c>
      <c r="L754">
        <v>2</v>
      </c>
    </row>
    <row r="755" spans="1:12" x14ac:dyDescent="0.25">
      <c r="A755" t="s">
        <v>4503</v>
      </c>
      <c r="B755" t="s">
        <v>3458</v>
      </c>
      <c r="C755" t="s">
        <v>747</v>
      </c>
      <c r="D755" t="s">
        <v>3366</v>
      </c>
      <c r="E755">
        <v>10</v>
      </c>
      <c r="F755" t="s">
        <v>3304</v>
      </c>
      <c r="G755" t="s">
        <v>3459</v>
      </c>
      <c r="H755" t="s">
        <v>3460</v>
      </c>
      <c r="I755" t="s">
        <v>3461</v>
      </c>
      <c r="K755" t="s">
        <v>792</v>
      </c>
      <c r="L755">
        <v>2</v>
      </c>
    </row>
    <row r="756" spans="1:12" x14ac:dyDescent="0.25">
      <c r="A756" t="s">
        <v>4503</v>
      </c>
      <c r="B756" t="s">
        <v>3458</v>
      </c>
      <c r="C756" t="s">
        <v>747</v>
      </c>
      <c r="D756" t="s">
        <v>3366</v>
      </c>
      <c r="E756">
        <v>10</v>
      </c>
      <c r="F756" t="s">
        <v>873</v>
      </c>
      <c r="G756" t="s">
        <v>3462</v>
      </c>
      <c r="H756" t="s">
        <v>3463</v>
      </c>
      <c r="I756" t="s">
        <v>3040</v>
      </c>
      <c r="K756" t="s">
        <v>792</v>
      </c>
      <c r="L756">
        <v>2</v>
      </c>
    </row>
    <row r="757" spans="1:12" x14ac:dyDescent="0.25">
      <c r="A757" t="s">
        <v>4503</v>
      </c>
      <c r="B757" t="s">
        <v>2256</v>
      </c>
      <c r="C757" t="s">
        <v>747</v>
      </c>
      <c r="D757" t="s">
        <v>3366</v>
      </c>
      <c r="E757">
        <v>10</v>
      </c>
      <c r="F757" t="s">
        <v>951</v>
      </c>
      <c r="G757" t="s">
        <v>2256</v>
      </c>
      <c r="H757" t="s">
        <v>3464</v>
      </c>
      <c r="I757" t="s">
        <v>3465</v>
      </c>
      <c r="K757" t="s">
        <v>792</v>
      </c>
      <c r="L757">
        <v>2</v>
      </c>
    </row>
    <row r="758" spans="1:12" x14ac:dyDescent="0.25">
      <c r="A758" t="s">
        <v>4503</v>
      </c>
      <c r="B758" t="s">
        <v>2256</v>
      </c>
      <c r="C758" t="s">
        <v>747</v>
      </c>
      <c r="D758" t="s">
        <v>3366</v>
      </c>
      <c r="E758">
        <v>10</v>
      </c>
      <c r="F758" t="s">
        <v>951</v>
      </c>
      <c r="G758" t="s">
        <v>2256</v>
      </c>
      <c r="H758" t="s">
        <v>3466</v>
      </c>
      <c r="I758" t="s">
        <v>3467</v>
      </c>
      <c r="K758" t="s">
        <v>1255</v>
      </c>
      <c r="L758">
        <v>1</v>
      </c>
    </row>
    <row r="759" spans="1:12" x14ac:dyDescent="0.25">
      <c r="A759" t="s">
        <v>714</v>
      </c>
      <c r="B759" t="s">
        <v>3468</v>
      </c>
      <c r="C759">
        <v>6104</v>
      </c>
      <c r="D759" t="s">
        <v>714</v>
      </c>
      <c r="E759">
        <v>7</v>
      </c>
      <c r="F759" t="s">
        <v>1448</v>
      </c>
      <c r="G759" t="s">
        <v>3442</v>
      </c>
      <c r="H759" t="s">
        <v>3469</v>
      </c>
      <c r="I759" t="s">
        <v>3470</v>
      </c>
      <c r="K759" t="s">
        <v>792</v>
      </c>
      <c r="L759">
        <v>2</v>
      </c>
    </row>
    <row r="760" spans="1:12" x14ac:dyDescent="0.25">
      <c r="A760" t="s">
        <v>714</v>
      </c>
      <c r="B760" t="s">
        <v>3468</v>
      </c>
      <c r="C760">
        <v>6104</v>
      </c>
      <c r="D760" t="s">
        <v>714</v>
      </c>
      <c r="E760">
        <v>7</v>
      </c>
      <c r="F760" t="s">
        <v>1448</v>
      </c>
      <c r="G760" t="s">
        <v>3442</v>
      </c>
      <c r="H760" t="s">
        <v>3471</v>
      </c>
      <c r="I760" t="s">
        <v>3472</v>
      </c>
      <c r="K760" t="s">
        <v>792</v>
      </c>
      <c r="L760">
        <v>2</v>
      </c>
    </row>
    <row r="761" spans="1:12" x14ac:dyDescent="0.25">
      <c r="A761" t="s">
        <v>714</v>
      </c>
      <c r="B761" t="s">
        <v>3468</v>
      </c>
      <c r="C761">
        <v>6104</v>
      </c>
      <c r="D761" t="s">
        <v>714</v>
      </c>
      <c r="E761">
        <v>7</v>
      </c>
      <c r="F761" t="s">
        <v>1448</v>
      </c>
      <c r="G761" t="s">
        <v>3442</v>
      </c>
      <c r="H761" t="s">
        <v>3473</v>
      </c>
      <c r="I761" t="s">
        <v>3474</v>
      </c>
      <c r="K761" t="s">
        <v>792</v>
      </c>
      <c r="L761">
        <v>2</v>
      </c>
    </row>
    <row r="762" spans="1:12" x14ac:dyDescent="0.25">
      <c r="A762" t="s">
        <v>714</v>
      </c>
      <c r="B762" t="s">
        <v>2980</v>
      </c>
      <c r="C762">
        <v>6104</v>
      </c>
      <c r="D762" t="s">
        <v>714</v>
      </c>
      <c r="E762">
        <v>7</v>
      </c>
      <c r="F762" t="s">
        <v>1454</v>
      </c>
      <c r="G762" t="s">
        <v>2980</v>
      </c>
      <c r="H762" t="s">
        <v>3475</v>
      </c>
      <c r="I762" t="s">
        <v>3476</v>
      </c>
      <c r="K762" t="s">
        <v>792</v>
      </c>
      <c r="L762">
        <v>2</v>
      </c>
    </row>
    <row r="763" spans="1:12" x14ac:dyDescent="0.25">
      <c r="A763" t="s">
        <v>714</v>
      </c>
      <c r="B763" t="s">
        <v>2980</v>
      </c>
      <c r="C763">
        <v>6104</v>
      </c>
      <c r="D763" t="s">
        <v>714</v>
      </c>
      <c r="E763">
        <v>7</v>
      </c>
      <c r="F763" t="s">
        <v>1454</v>
      </c>
      <c r="G763" t="s">
        <v>2980</v>
      </c>
      <c r="H763" t="s">
        <v>3477</v>
      </c>
      <c r="I763" t="s">
        <v>3272</v>
      </c>
      <c r="K763" t="s">
        <v>792</v>
      </c>
      <c r="L763">
        <v>2</v>
      </c>
    </row>
    <row r="764" spans="1:12" x14ac:dyDescent="0.25">
      <c r="A764" t="s">
        <v>714</v>
      </c>
      <c r="B764" t="s">
        <v>2991</v>
      </c>
      <c r="C764">
        <v>6104</v>
      </c>
      <c r="D764" t="s">
        <v>714</v>
      </c>
      <c r="E764">
        <v>7</v>
      </c>
      <c r="F764" t="s">
        <v>2992</v>
      </c>
      <c r="G764" t="s">
        <v>2993</v>
      </c>
      <c r="H764" t="s">
        <v>3478</v>
      </c>
      <c r="I764" t="s">
        <v>3479</v>
      </c>
      <c r="K764" t="s">
        <v>792</v>
      </c>
      <c r="L764">
        <v>2</v>
      </c>
    </row>
    <row r="765" spans="1:12" x14ac:dyDescent="0.25">
      <c r="A765" t="s">
        <v>714</v>
      </c>
      <c r="B765" t="s">
        <v>2991</v>
      </c>
      <c r="C765">
        <v>6104</v>
      </c>
      <c r="D765" t="s">
        <v>714</v>
      </c>
      <c r="E765">
        <v>7</v>
      </c>
      <c r="F765" t="s">
        <v>2992</v>
      </c>
      <c r="G765" t="s">
        <v>2993</v>
      </c>
      <c r="H765" t="s">
        <v>3480</v>
      </c>
      <c r="I765" t="s">
        <v>3481</v>
      </c>
      <c r="K765" t="s">
        <v>792</v>
      </c>
      <c r="L765">
        <v>2</v>
      </c>
    </row>
    <row r="766" spans="1:12" x14ac:dyDescent="0.25">
      <c r="A766" t="s">
        <v>714</v>
      </c>
      <c r="B766" t="s">
        <v>2991</v>
      </c>
      <c r="C766">
        <v>6104</v>
      </c>
      <c r="D766" t="s">
        <v>714</v>
      </c>
      <c r="E766">
        <v>7</v>
      </c>
      <c r="F766" t="s">
        <v>2992</v>
      </c>
      <c r="G766" t="s">
        <v>2993</v>
      </c>
      <c r="H766" t="s">
        <v>3482</v>
      </c>
      <c r="I766" t="s">
        <v>847</v>
      </c>
      <c r="K766" t="s">
        <v>792</v>
      </c>
      <c r="L766">
        <v>2</v>
      </c>
    </row>
    <row r="767" spans="1:12" x14ac:dyDescent="0.25">
      <c r="A767" t="s">
        <v>714</v>
      </c>
      <c r="B767" t="s">
        <v>3483</v>
      </c>
      <c r="C767">
        <v>6104</v>
      </c>
      <c r="D767" t="s">
        <v>714</v>
      </c>
      <c r="E767">
        <v>7</v>
      </c>
      <c r="F767" t="s">
        <v>3001</v>
      </c>
      <c r="G767" t="s">
        <v>3002</v>
      </c>
      <c r="H767" t="s">
        <v>3484</v>
      </c>
      <c r="I767" t="s">
        <v>3485</v>
      </c>
      <c r="K767" t="s">
        <v>792</v>
      </c>
      <c r="L767">
        <v>2</v>
      </c>
    </row>
    <row r="768" spans="1:12" x14ac:dyDescent="0.25">
      <c r="A768" t="s">
        <v>714</v>
      </c>
      <c r="B768" t="s">
        <v>3483</v>
      </c>
      <c r="C768">
        <v>6104</v>
      </c>
      <c r="D768" t="s">
        <v>714</v>
      </c>
      <c r="E768">
        <v>7</v>
      </c>
      <c r="F768" t="s">
        <v>3001</v>
      </c>
      <c r="G768" t="s">
        <v>3002</v>
      </c>
      <c r="H768" t="s">
        <v>3486</v>
      </c>
      <c r="I768" t="s">
        <v>3487</v>
      </c>
      <c r="K768" t="s">
        <v>792</v>
      </c>
      <c r="L768">
        <v>2</v>
      </c>
    </row>
    <row r="769" spans="1:12" x14ac:dyDescent="0.25">
      <c r="A769" t="s">
        <v>714</v>
      </c>
      <c r="B769" t="s">
        <v>3483</v>
      </c>
      <c r="C769">
        <v>6104</v>
      </c>
      <c r="D769" t="s">
        <v>714</v>
      </c>
      <c r="E769">
        <v>7</v>
      </c>
      <c r="F769" t="s">
        <v>3001</v>
      </c>
      <c r="G769" t="s">
        <v>3002</v>
      </c>
      <c r="H769" t="s">
        <v>3488</v>
      </c>
      <c r="I769" t="s">
        <v>1451</v>
      </c>
      <c r="K769" t="s">
        <v>792</v>
      </c>
      <c r="L769">
        <v>2</v>
      </c>
    </row>
    <row r="770" spans="1:12" x14ac:dyDescent="0.25">
      <c r="A770" t="s">
        <v>714</v>
      </c>
      <c r="B770" t="s">
        <v>3489</v>
      </c>
      <c r="C770">
        <v>6104</v>
      </c>
      <c r="D770" t="s">
        <v>714</v>
      </c>
      <c r="E770">
        <v>7</v>
      </c>
      <c r="F770" t="s">
        <v>1476</v>
      </c>
      <c r="G770" t="s">
        <v>3490</v>
      </c>
      <c r="H770" t="s">
        <v>3491</v>
      </c>
      <c r="I770" t="s">
        <v>2743</v>
      </c>
      <c r="K770" t="s">
        <v>792</v>
      </c>
      <c r="L770">
        <v>2</v>
      </c>
    </row>
    <row r="771" spans="1:12" x14ac:dyDescent="0.25">
      <c r="A771" t="s">
        <v>714</v>
      </c>
      <c r="B771" t="s">
        <v>3489</v>
      </c>
      <c r="C771">
        <v>6104</v>
      </c>
      <c r="D771" t="s">
        <v>714</v>
      </c>
      <c r="E771">
        <v>7</v>
      </c>
      <c r="F771" t="s">
        <v>874</v>
      </c>
      <c r="G771" t="s">
        <v>1402</v>
      </c>
      <c r="H771" t="s">
        <v>3492</v>
      </c>
      <c r="I771" t="s">
        <v>2563</v>
      </c>
      <c r="K771" t="s">
        <v>792</v>
      </c>
      <c r="L771">
        <v>2</v>
      </c>
    </row>
    <row r="772" spans="1:12" x14ac:dyDescent="0.25">
      <c r="A772" t="s">
        <v>714</v>
      </c>
      <c r="B772" t="s">
        <v>3493</v>
      </c>
      <c r="C772">
        <v>6104</v>
      </c>
      <c r="D772" t="s">
        <v>714</v>
      </c>
      <c r="E772">
        <v>7</v>
      </c>
      <c r="F772" t="s">
        <v>3494</v>
      </c>
      <c r="G772" t="s">
        <v>3495</v>
      </c>
      <c r="H772" t="s">
        <v>3496</v>
      </c>
      <c r="I772" t="s">
        <v>3497</v>
      </c>
      <c r="K772" t="s">
        <v>792</v>
      </c>
      <c r="L772">
        <v>2</v>
      </c>
    </row>
    <row r="773" spans="1:12" x14ac:dyDescent="0.25">
      <c r="A773" t="s">
        <v>714</v>
      </c>
      <c r="B773" t="s">
        <v>3493</v>
      </c>
      <c r="C773">
        <v>6104</v>
      </c>
      <c r="D773" t="s">
        <v>714</v>
      </c>
      <c r="E773">
        <v>7</v>
      </c>
      <c r="F773" t="s">
        <v>3372</v>
      </c>
      <c r="G773" t="s">
        <v>1325</v>
      </c>
      <c r="H773" t="s">
        <v>3498</v>
      </c>
      <c r="I773" t="s">
        <v>885</v>
      </c>
      <c r="K773" t="s">
        <v>792</v>
      </c>
      <c r="L773">
        <v>2</v>
      </c>
    </row>
    <row r="774" spans="1:12" x14ac:dyDescent="0.25">
      <c r="A774" t="s">
        <v>714</v>
      </c>
      <c r="B774" t="s">
        <v>2639</v>
      </c>
      <c r="C774">
        <v>6104</v>
      </c>
      <c r="D774" t="s">
        <v>714</v>
      </c>
      <c r="E774">
        <v>7</v>
      </c>
      <c r="F774" t="s">
        <v>947</v>
      </c>
      <c r="G774" t="s">
        <v>1354</v>
      </c>
      <c r="H774" t="s">
        <v>3499</v>
      </c>
      <c r="I774" t="s">
        <v>3500</v>
      </c>
      <c r="K774" t="s">
        <v>792</v>
      </c>
      <c r="L774">
        <v>2</v>
      </c>
    </row>
    <row r="775" spans="1:12" x14ac:dyDescent="0.25">
      <c r="A775" t="s">
        <v>714</v>
      </c>
      <c r="B775" t="s">
        <v>2639</v>
      </c>
      <c r="C775">
        <v>6104</v>
      </c>
      <c r="D775" t="s">
        <v>714</v>
      </c>
      <c r="E775">
        <v>7</v>
      </c>
      <c r="F775" t="s">
        <v>3162</v>
      </c>
      <c r="G775" t="s">
        <v>2466</v>
      </c>
      <c r="H775" t="s">
        <v>3501</v>
      </c>
      <c r="I775" t="s">
        <v>3502</v>
      </c>
      <c r="K775" t="s">
        <v>792</v>
      </c>
      <c r="L775">
        <v>2</v>
      </c>
    </row>
    <row r="776" spans="1:12" x14ac:dyDescent="0.25">
      <c r="A776" t="s">
        <v>3504</v>
      </c>
      <c r="B776" t="s">
        <v>3503</v>
      </c>
      <c r="C776">
        <v>6100</v>
      </c>
      <c r="D776" t="s">
        <v>3504</v>
      </c>
      <c r="E776">
        <v>9</v>
      </c>
      <c r="F776" t="s">
        <v>1448</v>
      </c>
      <c r="G776" t="s">
        <v>2621</v>
      </c>
      <c r="H776" t="s">
        <v>3505</v>
      </c>
      <c r="I776" t="s">
        <v>3506</v>
      </c>
      <c r="K776" t="s">
        <v>792</v>
      </c>
      <c r="L776">
        <v>2</v>
      </c>
    </row>
    <row r="777" spans="1:12" x14ac:dyDescent="0.25">
      <c r="A777" t="s">
        <v>3504</v>
      </c>
      <c r="B777" t="s">
        <v>3503</v>
      </c>
      <c r="C777">
        <v>6100</v>
      </c>
      <c r="D777" t="s">
        <v>3504</v>
      </c>
      <c r="E777">
        <v>9</v>
      </c>
      <c r="F777" t="s">
        <v>1448</v>
      </c>
      <c r="G777" t="s">
        <v>2621</v>
      </c>
      <c r="H777" t="s">
        <v>3507</v>
      </c>
      <c r="I777" t="s">
        <v>3508</v>
      </c>
      <c r="K777" t="s">
        <v>792</v>
      </c>
      <c r="L777">
        <v>2</v>
      </c>
    </row>
    <row r="778" spans="1:12" x14ac:dyDescent="0.25">
      <c r="A778" t="s">
        <v>3504</v>
      </c>
      <c r="B778" t="s">
        <v>3503</v>
      </c>
      <c r="C778">
        <v>6100</v>
      </c>
      <c r="D778" t="s">
        <v>3504</v>
      </c>
      <c r="E778">
        <v>9</v>
      </c>
      <c r="F778" t="s">
        <v>3304</v>
      </c>
      <c r="G778" t="s">
        <v>3509</v>
      </c>
      <c r="H778" t="s">
        <v>3510</v>
      </c>
      <c r="I778" t="s">
        <v>3511</v>
      </c>
      <c r="K778" t="s">
        <v>792</v>
      </c>
      <c r="L778">
        <v>2</v>
      </c>
    </row>
    <row r="779" spans="1:12" x14ac:dyDescent="0.25">
      <c r="A779" t="s">
        <v>3504</v>
      </c>
      <c r="B779" t="s">
        <v>3512</v>
      </c>
      <c r="C779">
        <v>6100</v>
      </c>
      <c r="D779" t="s">
        <v>3504</v>
      </c>
      <c r="E779">
        <v>9</v>
      </c>
      <c r="F779" t="s">
        <v>3513</v>
      </c>
      <c r="G779" t="s">
        <v>3514</v>
      </c>
      <c r="H779" t="s">
        <v>3515</v>
      </c>
      <c r="I779" t="s">
        <v>3516</v>
      </c>
      <c r="K779" t="s">
        <v>792</v>
      </c>
      <c r="L779">
        <v>2</v>
      </c>
    </row>
    <row r="780" spans="1:12" x14ac:dyDescent="0.25">
      <c r="A780" t="s">
        <v>3504</v>
      </c>
      <c r="B780" t="s">
        <v>3512</v>
      </c>
      <c r="C780">
        <v>6100</v>
      </c>
      <c r="D780" t="s">
        <v>3504</v>
      </c>
      <c r="E780">
        <v>9</v>
      </c>
      <c r="F780" t="s">
        <v>3513</v>
      </c>
      <c r="G780" t="s">
        <v>3514</v>
      </c>
      <c r="H780" t="s">
        <v>3517</v>
      </c>
      <c r="I780" t="s">
        <v>3518</v>
      </c>
      <c r="K780" t="s">
        <v>792</v>
      </c>
      <c r="L780">
        <v>2</v>
      </c>
    </row>
    <row r="781" spans="1:12" x14ac:dyDescent="0.25">
      <c r="A781" t="s">
        <v>3504</v>
      </c>
      <c r="B781" t="s">
        <v>3512</v>
      </c>
      <c r="C781">
        <v>6100</v>
      </c>
      <c r="D781" t="s">
        <v>3504</v>
      </c>
      <c r="E781">
        <v>9</v>
      </c>
      <c r="F781" t="s">
        <v>3513</v>
      </c>
      <c r="G781" t="s">
        <v>3514</v>
      </c>
      <c r="H781" t="s">
        <v>3519</v>
      </c>
      <c r="I781" t="s">
        <v>3520</v>
      </c>
      <c r="K781" t="s">
        <v>792</v>
      </c>
      <c r="L781">
        <v>2</v>
      </c>
    </row>
    <row r="782" spans="1:12" x14ac:dyDescent="0.25">
      <c r="A782" t="s">
        <v>3504</v>
      </c>
      <c r="B782" t="s">
        <v>3521</v>
      </c>
      <c r="C782">
        <v>6100</v>
      </c>
      <c r="D782" t="s">
        <v>3504</v>
      </c>
      <c r="E782">
        <v>9</v>
      </c>
      <c r="F782" t="s">
        <v>1476</v>
      </c>
      <c r="G782" t="s">
        <v>3414</v>
      </c>
      <c r="H782" t="s">
        <v>3522</v>
      </c>
      <c r="I782" t="s">
        <v>3523</v>
      </c>
      <c r="K782" t="s">
        <v>792</v>
      </c>
      <c r="L782">
        <v>2</v>
      </c>
    </row>
    <row r="783" spans="1:12" x14ac:dyDescent="0.25">
      <c r="A783" t="s">
        <v>3504</v>
      </c>
      <c r="B783" t="s">
        <v>3521</v>
      </c>
      <c r="C783">
        <v>6100</v>
      </c>
      <c r="D783" t="s">
        <v>3504</v>
      </c>
      <c r="E783">
        <v>9</v>
      </c>
      <c r="F783" t="s">
        <v>1476</v>
      </c>
      <c r="G783" t="s">
        <v>3414</v>
      </c>
      <c r="H783" t="s">
        <v>3524</v>
      </c>
      <c r="I783" t="s">
        <v>3525</v>
      </c>
      <c r="K783" t="s">
        <v>792</v>
      </c>
      <c r="L783">
        <v>2</v>
      </c>
    </row>
    <row r="784" spans="1:12" x14ac:dyDescent="0.25">
      <c r="A784" t="s">
        <v>3504</v>
      </c>
      <c r="B784" t="s">
        <v>3521</v>
      </c>
      <c r="C784">
        <v>6100</v>
      </c>
      <c r="D784" t="s">
        <v>3504</v>
      </c>
      <c r="E784">
        <v>9</v>
      </c>
      <c r="F784" t="s">
        <v>947</v>
      </c>
      <c r="G784" t="s">
        <v>1354</v>
      </c>
      <c r="H784" t="s">
        <v>3526</v>
      </c>
      <c r="I784" t="s">
        <v>3527</v>
      </c>
      <c r="K784" t="s">
        <v>792</v>
      </c>
      <c r="L784">
        <v>2</v>
      </c>
    </row>
    <row r="785" spans="1:12" x14ac:dyDescent="0.25">
      <c r="A785" t="s">
        <v>3504</v>
      </c>
      <c r="B785" t="s">
        <v>3528</v>
      </c>
      <c r="C785">
        <v>6100</v>
      </c>
      <c r="D785" t="s">
        <v>3504</v>
      </c>
      <c r="E785">
        <v>9</v>
      </c>
      <c r="F785" t="s">
        <v>3529</v>
      </c>
      <c r="G785" t="s">
        <v>3530</v>
      </c>
      <c r="H785" t="s">
        <v>3531</v>
      </c>
      <c r="I785" t="s">
        <v>3532</v>
      </c>
      <c r="K785" t="s">
        <v>792</v>
      </c>
      <c r="L785">
        <v>2</v>
      </c>
    </row>
    <row r="786" spans="1:12" x14ac:dyDescent="0.25">
      <c r="A786" t="s">
        <v>3504</v>
      </c>
      <c r="B786" t="s">
        <v>3528</v>
      </c>
      <c r="C786">
        <v>6100</v>
      </c>
      <c r="D786" t="s">
        <v>3504</v>
      </c>
      <c r="E786">
        <v>9</v>
      </c>
      <c r="F786" t="s">
        <v>3529</v>
      </c>
      <c r="G786" t="s">
        <v>3530</v>
      </c>
      <c r="H786" t="s">
        <v>3533</v>
      </c>
      <c r="I786" t="s">
        <v>3534</v>
      </c>
      <c r="K786" t="s">
        <v>792</v>
      </c>
      <c r="L786">
        <v>2</v>
      </c>
    </row>
    <row r="787" spans="1:12" x14ac:dyDescent="0.25">
      <c r="A787" t="s">
        <v>3504</v>
      </c>
      <c r="B787" t="s">
        <v>3535</v>
      </c>
      <c r="C787">
        <v>6100</v>
      </c>
      <c r="D787" t="s">
        <v>3504</v>
      </c>
      <c r="E787">
        <v>9</v>
      </c>
      <c r="F787" t="s">
        <v>2992</v>
      </c>
      <c r="G787" t="s">
        <v>3536</v>
      </c>
      <c r="H787" t="s">
        <v>3537</v>
      </c>
      <c r="I787" t="s">
        <v>3538</v>
      </c>
      <c r="K787" t="s">
        <v>792</v>
      </c>
      <c r="L787">
        <v>2</v>
      </c>
    </row>
    <row r="788" spans="1:12" x14ac:dyDescent="0.25">
      <c r="A788" t="s">
        <v>3504</v>
      </c>
      <c r="B788" t="s">
        <v>3535</v>
      </c>
      <c r="C788">
        <v>6100</v>
      </c>
      <c r="D788" t="s">
        <v>3504</v>
      </c>
      <c r="E788">
        <v>9</v>
      </c>
      <c r="F788" t="s">
        <v>2992</v>
      </c>
      <c r="G788" t="s">
        <v>3536</v>
      </c>
      <c r="H788" t="s">
        <v>3539</v>
      </c>
      <c r="I788" t="s">
        <v>3540</v>
      </c>
      <c r="K788" t="s">
        <v>792</v>
      </c>
      <c r="L788">
        <v>2</v>
      </c>
    </row>
    <row r="789" spans="1:12" x14ac:dyDescent="0.25">
      <c r="A789" t="s">
        <v>3504</v>
      </c>
      <c r="B789" t="s">
        <v>3541</v>
      </c>
      <c r="C789">
        <v>6100</v>
      </c>
      <c r="D789" t="s">
        <v>3504</v>
      </c>
      <c r="E789">
        <v>9</v>
      </c>
      <c r="F789" t="s">
        <v>3542</v>
      </c>
      <c r="G789" t="s">
        <v>3543</v>
      </c>
      <c r="H789" t="s">
        <v>3544</v>
      </c>
      <c r="I789" t="s">
        <v>3545</v>
      </c>
      <c r="K789" t="s">
        <v>792</v>
      </c>
      <c r="L789">
        <v>2</v>
      </c>
    </row>
    <row r="790" spans="1:12" x14ac:dyDescent="0.25">
      <c r="A790" t="s">
        <v>3504</v>
      </c>
      <c r="B790" t="s">
        <v>3541</v>
      </c>
      <c r="C790">
        <v>6100</v>
      </c>
      <c r="D790" t="s">
        <v>3504</v>
      </c>
      <c r="E790">
        <v>9</v>
      </c>
      <c r="F790" t="s">
        <v>3542</v>
      </c>
      <c r="G790" t="s">
        <v>3543</v>
      </c>
      <c r="H790" t="s">
        <v>3546</v>
      </c>
      <c r="I790" t="s">
        <v>3547</v>
      </c>
      <c r="K790" t="s">
        <v>792</v>
      </c>
      <c r="L790">
        <v>2</v>
      </c>
    </row>
    <row r="791" spans="1:12" x14ac:dyDescent="0.25">
      <c r="A791" t="s">
        <v>3504</v>
      </c>
      <c r="B791" t="s">
        <v>3541</v>
      </c>
      <c r="C791">
        <v>6100</v>
      </c>
      <c r="D791" t="s">
        <v>3504</v>
      </c>
      <c r="E791">
        <v>9</v>
      </c>
      <c r="F791" t="s">
        <v>3542</v>
      </c>
      <c r="G791" t="s">
        <v>3543</v>
      </c>
      <c r="H791" t="s">
        <v>3548</v>
      </c>
      <c r="I791" t="s">
        <v>3549</v>
      </c>
      <c r="K791" t="s">
        <v>792</v>
      </c>
      <c r="L791">
        <v>2</v>
      </c>
    </row>
    <row r="792" spans="1:12" x14ac:dyDescent="0.25">
      <c r="A792" t="s">
        <v>3504</v>
      </c>
      <c r="B792" t="s">
        <v>3550</v>
      </c>
      <c r="C792">
        <v>6100</v>
      </c>
      <c r="D792" t="s">
        <v>3504</v>
      </c>
      <c r="E792">
        <v>9</v>
      </c>
      <c r="F792" t="s">
        <v>2937</v>
      </c>
      <c r="G792" t="s">
        <v>2938</v>
      </c>
      <c r="H792" t="s">
        <v>3551</v>
      </c>
      <c r="I792" t="s">
        <v>3552</v>
      </c>
      <c r="K792" t="s">
        <v>792</v>
      </c>
      <c r="L792">
        <v>2</v>
      </c>
    </row>
    <row r="793" spans="1:12" x14ac:dyDescent="0.25">
      <c r="A793" t="s">
        <v>3504</v>
      </c>
      <c r="B793" t="s">
        <v>3550</v>
      </c>
      <c r="C793">
        <v>6100</v>
      </c>
      <c r="D793" t="s">
        <v>3504</v>
      </c>
      <c r="E793">
        <v>9</v>
      </c>
      <c r="F793" t="s">
        <v>2937</v>
      </c>
      <c r="G793" t="s">
        <v>2938</v>
      </c>
      <c r="H793" t="s">
        <v>3553</v>
      </c>
      <c r="I793" t="s">
        <v>3554</v>
      </c>
      <c r="K793" t="s">
        <v>792</v>
      </c>
      <c r="L793">
        <v>2</v>
      </c>
    </row>
    <row r="794" spans="1:12" x14ac:dyDescent="0.25">
      <c r="A794" t="s">
        <v>3504</v>
      </c>
      <c r="B794" t="s">
        <v>3550</v>
      </c>
      <c r="C794">
        <v>6100</v>
      </c>
      <c r="D794" t="s">
        <v>3504</v>
      </c>
      <c r="E794">
        <v>9</v>
      </c>
      <c r="F794" t="s">
        <v>3162</v>
      </c>
      <c r="G794" t="s">
        <v>2466</v>
      </c>
      <c r="H794" t="s">
        <v>3555</v>
      </c>
      <c r="I794" t="s">
        <v>3164</v>
      </c>
      <c r="K794" t="s">
        <v>792</v>
      </c>
      <c r="L794">
        <v>2</v>
      </c>
    </row>
    <row r="795" spans="1:12" x14ac:dyDescent="0.25">
      <c r="A795" t="s">
        <v>3504</v>
      </c>
      <c r="B795" t="s">
        <v>3556</v>
      </c>
      <c r="C795">
        <v>6100</v>
      </c>
      <c r="D795" t="s">
        <v>3504</v>
      </c>
      <c r="E795">
        <v>9</v>
      </c>
      <c r="F795" t="s">
        <v>953</v>
      </c>
      <c r="G795" t="s">
        <v>3557</v>
      </c>
      <c r="H795" t="s">
        <v>3558</v>
      </c>
      <c r="I795" t="s">
        <v>3559</v>
      </c>
      <c r="K795" t="s">
        <v>792</v>
      </c>
      <c r="L795">
        <v>2</v>
      </c>
    </row>
    <row r="796" spans="1:12" x14ac:dyDescent="0.25">
      <c r="A796" t="s">
        <v>3504</v>
      </c>
      <c r="B796" t="s">
        <v>3556</v>
      </c>
      <c r="C796">
        <v>6100</v>
      </c>
      <c r="D796" t="s">
        <v>3504</v>
      </c>
      <c r="E796">
        <v>9</v>
      </c>
      <c r="F796" t="s">
        <v>953</v>
      </c>
      <c r="G796" t="s">
        <v>3557</v>
      </c>
      <c r="H796" t="s">
        <v>3560</v>
      </c>
      <c r="I796" t="s">
        <v>3561</v>
      </c>
      <c r="K796" t="s">
        <v>792</v>
      </c>
      <c r="L796">
        <v>2</v>
      </c>
    </row>
    <row r="797" spans="1:12" x14ac:dyDescent="0.25">
      <c r="A797" t="s">
        <v>3504</v>
      </c>
      <c r="B797" t="s">
        <v>3556</v>
      </c>
      <c r="C797">
        <v>6100</v>
      </c>
      <c r="D797" t="s">
        <v>3504</v>
      </c>
      <c r="E797">
        <v>9</v>
      </c>
      <c r="F797" t="s">
        <v>3562</v>
      </c>
      <c r="G797" t="s">
        <v>1342</v>
      </c>
      <c r="H797" t="s">
        <v>3563</v>
      </c>
      <c r="I797" t="s">
        <v>3564</v>
      </c>
      <c r="K797" t="s">
        <v>792</v>
      </c>
      <c r="L797">
        <v>2</v>
      </c>
    </row>
    <row r="798" spans="1:12" x14ac:dyDescent="0.25">
      <c r="A798" t="s">
        <v>3504</v>
      </c>
      <c r="B798" t="s">
        <v>2256</v>
      </c>
      <c r="C798">
        <v>6100</v>
      </c>
      <c r="D798" t="s">
        <v>3504</v>
      </c>
      <c r="E798">
        <v>9</v>
      </c>
      <c r="F798" t="s">
        <v>951</v>
      </c>
      <c r="G798" t="s">
        <v>2256</v>
      </c>
      <c r="H798" t="s">
        <v>3565</v>
      </c>
      <c r="I798" t="s">
        <v>3467</v>
      </c>
      <c r="K798" t="s">
        <v>1255</v>
      </c>
      <c r="L798">
        <v>1</v>
      </c>
    </row>
    <row r="799" spans="1:12" x14ac:dyDescent="0.25">
      <c r="A799" t="s">
        <v>4504</v>
      </c>
      <c r="B799" t="s">
        <v>3566</v>
      </c>
      <c r="C799" t="s">
        <v>403</v>
      </c>
      <c r="D799" t="s">
        <v>3567</v>
      </c>
      <c r="E799">
        <v>11</v>
      </c>
      <c r="F799" t="s">
        <v>2937</v>
      </c>
      <c r="G799" t="s">
        <v>2938</v>
      </c>
      <c r="H799" t="s">
        <v>3568</v>
      </c>
      <c r="I799" t="s">
        <v>3569</v>
      </c>
      <c r="K799" t="s">
        <v>792</v>
      </c>
      <c r="L799">
        <v>2</v>
      </c>
    </row>
    <row r="800" spans="1:12" x14ac:dyDescent="0.25">
      <c r="A800" t="s">
        <v>4504</v>
      </c>
      <c r="B800" t="s">
        <v>3566</v>
      </c>
      <c r="C800" t="s">
        <v>403</v>
      </c>
      <c r="D800" t="s">
        <v>3567</v>
      </c>
      <c r="E800">
        <v>11</v>
      </c>
      <c r="F800" t="s">
        <v>2937</v>
      </c>
      <c r="G800" t="s">
        <v>2938</v>
      </c>
      <c r="H800" t="s">
        <v>3570</v>
      </c>
      <c r="I800" t="s">
        <v>3571</v>
      </c>
      <c r="K800" t="s">
        <v>792</v>
      </c>
      <c r="L800">
        <v>2</v>
      </c>
    </row>
    <row r="801" spans="1:12" x14ac:dyDescent="0.25">
      <c r="A801" t="s">
        <v>4504</v>
      </c>
      <c r="B801" t="s">
        <v>3566</v>
      </c>
      <c r="C801" t="s">
        <v>403</v>
      </c>
      <c r="D801" t="s">
        <v>3567</v>
      </c>
      <c r="E801">
        <v>11</v>
      </c>
      <c r="F801" t="s">
        <v>2937</v>
      </c>
      <c r="G801" t="s">
        <v>2938</v>
      </c>
      <c r="H801" t="s">
        <v>3572</v>
      </c>
      <c r="I801" t="s">
        <v>3573</v>
      </c>
      <c r="K801" t="s">
        <v>792</v>
      </c>
      <c r="L801">
        <v>2</v>
      </c>
    </row>
    <row r="802" spans="1:12" x14ac:dyDescent="0.25">
      <c r="A802" t="s">
        <v>4504</v>
      </c>
      <c r="B802" t="s">
        <v>3574</v>
      </c>
      <c r="C802" t="s">
        <v>403</v>
      </c>
      <c r="D802" t="s">
        <v>3567</v>
      </c>
      <c r="E802">
        <v>11</v>
      </c>
      <c r="F802" t="s">
        <v>3295</v>
      </c>
      <c r="G802" t="s">
        <v>3575</v>
      </c>
      <c r="H802" t="s">
        <v>3576</v>
      </c>
      <c r="I802" t="s">
        <v>3577</v>
      </c>
      <c r="K802" t="s">
        <v>792</v>
      </c>
      <c r="L802">
        <v>2</v>
      </c>
    </row>
    <row r="803" spans="1:12" x14ac:dyDescent="0.25">
      <c r="A803" t="s">
        <v>4504</v>
      </c>
      <c r="B803" t="s">
        <v>3574</v>
      </c>
      <c r="C803" t="s">
        <v>403</v>
      </c>
      <c r="D803" t="s">
        <v>3567</v>
      </c>
      <c r="E803">
        <v>11</v>
      </c>
      <c r="F803" t="s">
        <v>3295</v>
      </c>
      <c r="G803" t="s">
        <v>3575</v>
      </c>
      <c r="H803" t="s">
        <v>3578</v>
      </c>
      <c r="I803" t="s">
        <v>3579</v>
      </c>
      <c r="K803" t="s">
        <v>792</v>
      </c>
      <c r="L803">
        <v>2</v>
      </c>
    </row>
    <row r="804" spans="1:12" x14ac:dyDescent="0.25">
      <c r="A804" t="s">
        <v>4504</v>
      </c>
      <c r="B804" t="s">
        <v>3574</v>
      </c>
      <c r="C804" t="s">
        <v>403</v>
      </c>
      <c r="D804" t="s">
        <v>3567</v>
      </c>
      <c r="E804">
        <v>11</v>
      </c>
      <c r="F804" t="s">
        <v>3580</v>
      </c>
      <c r="G804" t="s">
        <v>1348</v>
      </c>
      <c r="H804" t="s">
        <v>3581</v>
      </c>
      <c r="I804" t="s">
        <v>3582</v>
      </c>
      <c r="K804" t="s">
        <v>792</v>
      </c>
      <c r="L804">
        <v>2</v>
      </c>
    </row>
    <row r="805" spans="1:12" x14ac:dyDescent="0.25">
      <c r="A805" t="s">
        <v>4504</v>
      </c>
      <c r="B805" t="s">
        <v>3583</v>
      </c>
      <c r="C805" t="s">
        <v>403</v>
      </c>
      <c r="D805" t="s">
        <v>3567</v>
      </c>
      <c r="E805">
        <v>11</v>
      </c>
      <c r="F805" t="s">
        <v>3304</v>
      </c>
      <c r="G805" t="s">
        <v>3509</v>
      </c>
      <c r="H805" t="s">
        <v>3584</v>
      </c>
      <c r="I805" t="s">
        <v>3268</v>
      </c>
      <c r="K805" t="s">
        <v>792</v>
      </c>
      <c r="L805">
        <v>2</v>
      </c>
    </row>
    <row r="806" spans="1:12" x14ac:dyDescent="0.25">
      <c r="A806" t="s">
        <v>4504</v>
      </c>
      <c r="B806" t="s">
        <v>3583</v>
      </c>
      <c r="C806" t="s">
        <v>403</v>
      </c>
      <c r="D806" t="s">
        <v>3567</v>
      </c>
      <c r="E806">
        <v>11</v>
      </c>
      <c r="F806" t="s">
        <v>1371</v>
      </c>
      <c r="G806" t="s">
        <v>3039</v>
      </c>
      <c r="H806" t="s">
        <v>3585</v>
      </c>
      <c r="I806" t="s">
        <v>2943</v>
      </c>
      <c r="K806" t="s">
        <v>792</v>
      </c>
      <c r="L806">
        <v>2</v>
      </c>
    </row>
    <row r="807" spans="1:12" x14ac:dyDescent="0.25">
      <c r="A807" t="s">
        <v>4504</v>
      </c>
      <c r="B807" t="s">
        <v>3583</v>
      </c>
      <c r="C807" t="s">
        <v>403</v>
      </c>
      <c r="D807" t="s">
        <v>3567</v>
      </c>
      <c r="E807">
        <v>11</v>
      </c>
      <c r="F807" t="s">
        <v>1371</v>
      </c>
      <c r="G807" t="s">
        <v>3039</v>
      </c>
      <c r="H807" t="s">
        <v>3586</v>
      </c>
      <c r="I807" t="s">
        <v>3587</v>
      </c>
      <c r="K807" t="s">
        <v>792</v>
      </c>
      <c r="L807">
        <v>2</v>
      </c>
    </row>
    <row r="808" spans="1:12" x14ac:dyDescent="0.25">
      <c r="A808" t="s">
        <v>4504</v>
      </c>
      <c r="B808" t="s">
        <v>3588</v>
      </c>
      <c r="C808" t="s">
        <v>403</v>
      </c>
      <c r="D808" t="s">
        <v>3567</v>
      </c>
      <c r="E808">
        <v>11</v>
      </c>
      <c r="F808" t="s">
        <v>1470</v>
      </c>
      <c r="G808" t="s">
        <v>3589</v>
      </c>
      <c r="H808" t="s">
        <v>3590</v>
      </c>
      <c r="I808" t="s">
        <v>3591</v>
      </c>
      <c r="K808" t="s">
        <v>792</v>
      </c>
      <c r="L808">
        <v>2</v>
      </c>
    </row>
    <row r="809" spans="1:12" x14ac:dyDescent="0.25">
      <c r="A809" t="s">
        <v>4504</v>
      </c>
      <c r="B809" t="s">
        <v>3588</v>
      </c>
      <c r="C809" t="s">
        <v>403</v>
      </c>
      <c r="D809" t="s">
        <v>3567</v>
      </c>
      <c r="E809">
        <v>11</v>
      </c>
      <c r="F809" t="s">
        <v>3592</v>
      </c>
      <c r="G809" t="s">
        <v>3593</v>
      </c>
      <c r="H809" t="s">
        <v>3594</v>
      </c>
      <c r="I809" t="s">
        <v>3595</v>
      </c>
      <c r="K809" t="s">
        <v>792</v>
      </c>
      <c r="L809">
        <v>2</v>
      </c>
    </row>
    <row r="810" spans="1:12" x14ac:dyDescent="0.25">
      <c r="A810" t="s">
        <v>4504</v>
      </c>
      <c r="B810" t="s">
        <v>3588</v>
      </c>
      <c r="C810" t="s">
        <v>403</v>
      </c>
      <c r="D810" t="s">
        <v>3567</v>
      </c>
      <c r="E810">
        <v>11</v>
      </c>
      <c r="F810" t="s">
        <v>3592</v>
      </c>
      <c r="G810" t="s">
        <v>3593</v>
      </c>
      <c r="H810" t="s">
        <v>3596</v>
      </c>
      <c r="I810" t="s">
        <v>3597</v>
      </c>
      <c r="K810" t="s">
        <v>792</v>
      </c>
      <c r="L810">
        <v>2</v>
      </c>
    </row>
    <row r="811" spans="1:12" x14ac:dyDescent="0.25">
      <c r="A811" t="s">
        <v>4504</v>
      </c>
      <c r="B811" t="s">
        <v>3598</v>
      </c>
      <c r="C811" t="s">
        <v>403</v>
      </c>
      <c r="D811" t="s">
        <v>3567</v>
      </c>
      <c r="E811">
        <v>11</v>
      </c>
      <c r="F811" t="s">
        <v>873</v>
      </c>
      <c r="G811" t="s">
        <v>1340</v>
      </c>
      <c r="H811" t="s">
        <v>3599</v>
      </c>
      <c r="I811" t="s">
        <v>3040</v>
      </c>
      <c r="K811" t="s">
        <v>792</v>
      </c>
      <c r="L811">
        <v>2</v>
      </c>
    </row>
    <row r="812" spans="1:12" x14ac:dyDescent="0.25">
      <c r="A812" t="s">
        <v>4504</v>
      </c>
      <c r="B812" t="s">
        <v>3598</v>
      </c>
      <c r="C812" t="s">
        <v>403</v>
      </c>
      <c r="D812" t="s">
        <v>3567</v>
      </c>
      <c r="E812">
        <v>11</v>
      </c>
      <c r="F812" t="s">
        <v>873</v>
      </c>
      <c r="G812" t="s">
        <v>1340</v>
      </c>
      <c r="H812" t="s">
        <v>3600</v>
      </c>
      <c r="I812" t="s">
        <v>3601</v>
      </c>
      <c r="K812" t="s">
        <v>792</v>
      </c>
      <c r="L812">
        <v>2</v>
      </c>
    </row>
    <row r="813" spans="1:12" x14ac:dyDescent="0.25">
      <c r="A813" t="s">
        <v>4504</v>
      </c>
      <c r="B813" t="s">
        <v>3598</v>
      </c>
      <c r="C813" t="s">
        <v>403</v>
      </c>
      <c r="D813" t="s">
        <v>3567</v>
      </c>
      <c r="E813">
        <v>11</v>
      </c>
      <c r="F813" t="s">
        <v>3240</v>
      </c>
      <c r="G813" t="s">
        <v>3241</v>
      </c>
      <c r="H813" t="s">
        <v>3602</v>
      </c>
      <c r="I813" t="s">
        <v>3603</v>
      </c>
      <c r="K813" t="s">
        <v>792</v>
      </c>
      <c r="L813">
        <v>2</v>
      </c>
    </row>
    <row r="814" spans="1:12" x14ac:dyDescent="0.25">
      <c r="A814" t="s">
        <v>737</v>
      </c>
      <c r="B814" t="s">
        <v>3604</v>
      </c>
      <c r="C814">
        <v>2100</v>
      </c>
      <c r="D814" t="s">
        <v>737</v>
      </c>
      <c r="E814">
        <v>10</v>
      </c>
      <c r="F814" t="s">
        <v>3605</v>
      </c>
      <c r="G814" t="s">
        <v>3606</v>
      </c>
      <c r="H814" t="s">
        <v>3607</v>
      </c>
      <c r="I814" t="s">
        <v>3608</v>
      </c>
      <c r="K814" t="s">
        <v>792</v>
      </c>
      <c r="L814">
        <v>2</v>
      </c>
    </row>
    <row r="815" spans="1:12" x14ac:dyDescent="0.25">
      <c r="A815" t="s">
        <v>737</v>
      </c>
      <c r="B815" t="s">
        <v>3604</v>
      </c>
      <c r="C815">
        <v>2100</v>
      </c>
      <c r="D815" t="s">
        <v>737</v>
      </c>
      <c r="E815">
        <v>10</v>
      </c>
      <c r="F815" t="s">
        <v>3605</v>
      </c>
      <c r="G815" t="s">
        <v>3606</v>
      </c>
      <c r="H815" t="s">
        <v>3609</v>
      </c>
      <c r="I815" t="s">
        <v>3610</v>
      </c>
      <c r="K815" t="s">
        <v>792</v>
      </c>
      <c r="L815">
        <v>2</v>
      </c>
    </row>
    <row r="816" spans="1:12" x14ac:dyDescent="0.25">
      <c r="A816" t="s">
        <v>737</v>
      </c>
      <c r="B816" t="s">
        <v>3611</v>
      </c>
      <c r="C816">
        <v>2100</v>
      </c>
      <c r="D816" t="s">
        <v>737</v>
      </c>
      <c r="E816">
        <v>10</v>
      </c>
      <c r="F816" t="s">
        <v>3612</v>
      </c>
      <c r="G816" t="s">
        <v>3613</v>
      </c>
      <c r="H816" t="s">
        <v>3614</v>
      </c>
      <c r="I816" t="s">
        <v>3615</v>
      </c>
      <c r="K816" t="s">
        <v>792</v>
      </c>
      <c r="L816">
        <v>2</v>
      </c>
    </row>
    <row r="817" spans="1:12" x14ac:dyDescent="0.25">
      <c r="A817" t="s">
        <v>737</v>
      </c>
      <c r="B817" t="s">
        <v>3611</v>
      </c>
      <c r="C817">
        <v>2100</v>
      </c>
      <c r="D817" t="s">
        <v>737</v>
      </c>
      <c r="E817">
        <v>10</v>
      </c>
      <c r="F817" t="s">
        <v>3612</v>
      </c>
      <c r="G817" t="s">
        <v>3613</v>
      </c>
      <c r="H817" t="s">
        <v>3616</v>
      </c>
      <c r="I817" t="s">
        <v>3617</v>
      </c>
      <c r="K817" t="s">
        <v>792</v>
      </c>
      <c r="L817">
        <v>2</v>
      </c>
    </row>
    <row r="818" spans="1:12" x14ac:dyDescent="0.25">
      <c r="A818" t="s">
        <v>737</v>
      </c>
      <c r="B818" t="s">
        <v>3611</v>
      </c>
      <c r="C818">
        <v>2100</v>
      </c>
      <c r="D818" t="s">
        <v>737</v>
      </c>
      <c r="E818">
        <v>10</v>
      </c>
      <c r="F818" t="s">
        <v>3612</v>
      </c>
      <c r="G818" t="s">
        <v>3613</v>
      </c>
      <c r="H818" t="s">
        <v>3618</v>
      </c>
      <c r="I818" t="s">
        <v>3619</v>
      </c>
      <c r="K818" t="s">
        <v>792</v>
      </c>
      <c r="L818">
        <v>2</v>
      </c>
    </row>
    <row r="819" spans="1:12" x14ac:dyDescent="0.25">
      <c r="A819" t="s">
        <v>737</v>
      </c>
      <c r="B819" t="s">
        <v>3620</v>
      </c>
      <c r="C819">
        <v>2100</v>
      </c>
      <c r="D819" t="s">
        <v>737</v>
      </c>
      <c r="E819">
        <v>10</v>
      </c>
      <c r="F819" t="s">
        <v>3621</v>
      </c>
      <c r="G819" t="s">
        <v>3622</v>
      </c>
      <c r="H819" t="s">
        <v>3623</v>
      </c>
      <c r="I819" t="s">
        <v>3624</v>
      </c>
      <c r="K819" t="s">
        <v>792</v>
      </c>
      <c r="L819">
        <v>2</v>
      </c>
    </row>
    <row r="820" spans="1:12" x14ac:dyDescent="0.25">
      <c r="A820" t="s">
        <v>737</v>
      </c>
      <c r="B820" t="s">
        <v>3620</v>
      </c>
      <c r="C820">
        <v>2100</v>
      </c>
      <c r="D820" t="s">
        <v>737</v>
      </c>
      <c r="E820">
        <v>10</v>
      </c>
      <c r="F820" t="s">
        <v>2691</v>
      </c>
      <c r="G820" t="s">
        <v>3046</v>
      </c>
      <c r="H820" t="s">
        <v>3625</v>
      </c>
      <c r="I820" t="s">
        <v>3626</v>
      </c>
      <c r="K820" t="s">
        <v>792</v>
      </c>
      <c r="L820">
        <v>2</v>
      </c>
    </row>
    <row r="821" spans="1:12" x14ac:dyDescent="0.25">
      <c r="A821" t="s">
        <v>737</v>
      </c>
      <c r="B821" t="s">
        <v>3627</v>
      </c>
      <c r="C821">
        <v>2100</v>
      </c>
      <c r="D821" t="s">
        <v>737</v>
      </c>
      <c r="E821">
        <v>10</v>
      </c>
      <c r="F821" t="s">
        <v>3580</v>
      </c>
      <c r="G821" t="s">
        <v>3628</v>
      </c>
      <c r="H821" t="s">
        <v>3629</v>
      </c>
      <c r="I821" t="s">
        <v>3630</v>
      </c>
      <c r="K821" t="s">
        <v>792</v>
      </c>
      <c r="L821">
        <v>2</v>
      </c>
    </row>
    <row r="822" spans="1:12" x14ac:dyDescent="0.25">
      <c r="A822" t="s">
        <v>737</v>
      </c>
      <c r="B822" t="s">
        <v>3627</v>
      </c>
      <c r="C822">
        <v>2100</v>
      </c>
      <c r="D822" t="s">
        <v>737</v>
      </c>
      <c r="E822">
        <v>10</v>
      </c>
      <c r="F822" t="s">
        <v>1448</v>
      </c>
      <c r="G822" t="s">
        <v>3631</v>
      </c>
      <c r="H822" t="s">
        <v>3632</v>
      </c>
      <c r="I822" t="s">
        <v>1447</v>
      </c>
      <c r="K822" t="s">
        <v>792</v>
      </c>
      <c r="L822">
        <v>2</v>
      </c>
    </row>
    <row r="823" spans="1:12" x14ac:dyDescent="0.25">
      <c r="A823" t="s">
        <v>737</v>
      </c>
      <c r="B823" t="s">
        <v>3627</v>
      </c>
      <c r="C823">
        <v>2100</v>
      </c>
      <c r="D823" t="s">
        <v>737</v>
      </c>
      <c r="E823">
        <v>10</v>
      </c>
      <c r="F823" t="s">
        <v>1448</v>
      </c>
      <c r="G823" t="s">
        <v>3631</v>
      </c>
      <c r="H823" t="s">
        <v>3633</v>
      </c>
      <c r="I823" t="s">
        <v>3634</v>
      </c>
      <c r="K823" t="s">
        <v>792</v>
      </c>
      <c r="L823">
        <v>2</v>
      </c>
    </row>
    <row r="824" spans="1:12" x14ac:dyDescent="0.25">
      <c r="A824" t="s">
        <v>737</v>
      </c>
      <c r="B824" t="s">
        <v>3635</v>
      </c>
      <c r="C824">
        <v>2100</v>
      </c>
      <c r="D824" t="s">
        <v>737</v>
      </c>
      <c r="E824">
        <v>10</v>
      </c>
      <c r="F824" t="s">
        <v>873</v>
      </c>
      <c r="G824" t="s">
        <v>1340</v>
      </c>
      <c r="H824" t="s">
        <v>3636</v>
      </c>
      <c r="I824" t="s">
        <v>3637</v>
      </c>
      <c r="K824" t="s">
        <v>792</v>
      </c>
      <c r="L824">
        <v>2</v>
      </c>
    </row>
    <row r="825" spans="1:12" x14ac:dyDescent="0.25">
      <c r="A825" t="s">
        <v>737</v>
      </c>
      <c r="B825" t="s">
        <v>3635</v>
      </c>
      <c r="C825">
        <v>2100</v>
      </c>
      <c r="D825" t="s">
        <v>737</v>
      </c>
      <c r="E825">
        <v>10</v>
      </c>
      <c r="F825" t="s">
        <v>3240</v>
      </c>
      <c r="G825" t="s">
        <v>3241</v>
      </c>
      <c r="H825" t="s">
        <v>3602</v>
      </c>
      <c r="I825" t="s">
        <v>3638</v>
      </c>
      <c r="K825" t="s">
        <v>792</v>
      </c>
      <c r="L825">
        <v>2</v>
      </c>
    </row>
    <row r="826" spans="1:12" x14ac:dyDescent="0.25">
      <c r="A826" t="s">
        <v>4505</v>
      </c>
      <c r="B826" t="s">
        <v>3639</v>
      </c>
      <c r="C826">
        <v>1101</v>
      </c>
      <c r="D826" t="s">
        <v>3640</v>
      </c>
      <c r="E826">
        <v>10</v>
      </c>
      <c r="F826" t="s">
        <v>963</v>
      </c>
      <c r="G826" t="s">
        <v>3641</v>
      </c>
      <c r="H826" t="s">
        <v>3642</v>
      </c>
      <c r="I826" t="s">
        <v>3643</v>
      </c>
      <c r="K826" t="s">
        <v>792</v>
      </c>
      <c r="L826">
        <v>2</v>
      </c>
    </row>
    <row r="827" spans="1:12" x14ac:dyDescent="0.25">
      <c r="A827" t="s">
        <v>4505</v>
      </c>
      <c r="B827" t="s">
        <v>3639</v>
      </c>
      <c r="C827">
        <v>1101</v>
      </c>
      <c r="D827" t="s">
        <v>3640</v>
      </c>
      <c r="E827">
        <v>10</v>
      </c>
      <c r="F827" t="s">
        <v>963</v>
      </c>
      <c r="G827" t="s">
        <v>3641</v>
      </c>
      <c r="H827" t="s">
        <v>3644</v>
      </c>
      <c r="I827" t="s">
        <v>3645</v>
      </c>
      <c r="K827" t="s">
        <v>792</v>
      </c>
      <c r="L827">
        <v>2</v>
      </c>
    </row>
    <row r="828" spans="1:12" x14ac:dyDescent="0.25">
      <c r="A828" t="s">
        <v>4505</v>
      </c>
      <c r="B828" t="s">
        <v>3639</v>
      </c>
      <c r="C828">
        <v>1101</v>
      </c>
      <c r="D828" t="s">
        <v>3640</v>
      </c>
      <c r="E828">
        <v>10</v>
      </c>
      <c r="F828" t="s">
        <v>963</v>
      </c>
      <c r="G828" t="s">
        <v>3641</v>
      </c>
      <c r="H828" t="s">
        <v>3646</v>
      </c>
      <c r="I828" t="s">
        <v>897</v>
      </c>
      <c r="K828" t="s">
        <v>792</v>
      </c>
      <c r="L828">
        <v>2</v>
      </c>
    </row>
    <row r="829" spans="1:12" x14ac:dyDescent="0.25">
      <c r="A829" t="s">
        <v>4505</v>
      </c>
      <c r="B829" t="s">
        <v>3647</v>
      </c>
      <c r="C829">
        <v>1101</v>
      </c>
      <c r="D829" t="s">
        <v>3640</v>
      </c>
      <c r="E829">
        <v>10</v>
      </c>
      <c r="F829" t="s">
        <v>2451</v>
      </c>
      <c r="G829" t="s">
        <v>3648</v>
      </c>
      <c r="H829" t="s">
        <v>3649</v>
      </c>
      <c r="I829" t="s">
        <v>3650</v>
      </c>
      <c r="K829" t="s">
        <v>792</v>
      </c>
      <c r="L829">
        <v>2</v>
      </c>
    </row>
    <row r="830" spans="1:12" x14ac:dyDescent="0.25">
      <c r="A830" t="s">
        <v>4505</v>
      </c>
      <c r="B830" t="s">
        <v>3647</v>
      </c>
      <c r="C830">
        <v>1101</v>
      </c>
      <c r="D830" t="s">
        <v>3640</v>
      </c>
      <c r="E830">
        <v>10</v>
      </c>
      <c r="F830" t="s">
        <v>3651</v>
      </c>
      <c r="G830" t="s">
        <v>3652</v>
      </c>
      <c r="H830" t="s">
        <v>3653</v>
      </c>
      <c r="I830" t="s">
        <v>3654</v>
      </c>
      <c r="K830" t="s">
        <v>792</v>
      </c>
      <c r="L830">
        <v>2</v>
      </c>
    </row>
    <row r="831" spans="1:12" x14ac:dyDescent="0.25">
      <c r="A831" t="s">
        <v>4505</v>
      </c>
      <c r="B831" t="s">
        <v>3647</v>
      </c>
      <c r="C831">
        <v>1101</v>
      </c>
      <c r="D831" t="s">
        <v>3640</v>
      </c>
      <c r="E831">
        <v>10</v>
      </c>
      <c r="F831" t="s">
        <v>3655</v>
      </c>
      <c r="G831" t="s">
        <v>3656</v>
      </c>
      <c r="H831" t="s">
        <v>3586</v>
      </c>
      <c r="I831" t="s">
        <v>3547</v>
      </c>
      <c r="K831" t="s">
        <v>792</v>
      </c>
      <c r="L831">
        <v>2</v>
      </c>
    </row>
    <row r="832" spans="1:12" x14ac:dyDescent="0.25">
      <c r="A832" t="s">
        <v>4505</v>
      </c>
      <c r="B832" t="s">
        <v>3657</v>
      </c>
      <c r="C832">
        <v>1101</v>
      </c>
      <c r="D832" t="s">
        <v>3640</v>
      </c>
      <c r="E832">
        <v>10</v>
      </c>
      <c r="F832" t="s">
        <v>3372</v>
      </c>
      <c r="G832" t="s">
        <v>3658</v>
      </c>
      <c r="H832" t="s">
        <v>3659</v>
      </c>
      <c r="I832" t="s">
        <v>3660</v>
      </c>
      <c r="K832" t="s">
        <v>792</v>
      </c>
      <c r="L832">
        <v>2</v>
      </c>
    </row>
    <row r="833" spans="1:12" x14ac:dyDescent="0.25">
      <c r="A833" t="s">
        <v>4505</v>
      </c>
      <c r="B833" t="s">
        <v>3657</v>
      </c>
      <c r="C833">
        <v>1101</v>
      </c>
      <c r="D833" t="s">
        <v>3640</v>
      </c>
      <c r="E833">
        <v>10</v>
      </c>
      <c r="F833" t="s">
        <v>1441</v>
      </c>
      <c r="G833" t="s">
        <v>1264</v>
      </c>
      <c r="H833" t="s">
        <v>3661</v>
      </c>
      <c r="I833" t="s">
        <v>3662</v>
      </c>
      <c r="K833" t="s">
        <v>792</v>
      </c>
      <c r="L833">
        <v>2</v>
      </c>
    </row>
    <row r="834" spans="1:12" x14ac:dyDescent="0.25">
      <c r="A834" t="s">
        <v>4505</v>
      </c>
      <c r="B834" t="s">
        <v>3663</v>
      </c>
      <c r="C834">
        <v>1101</v>
      </c>
      <c r="D834" t="s">
        <v>3640</v>
      </c>
      <c r="E834">
        <v>10</v>
      </c>
      <c r="F834" t="s">
        <v>3401</v>
      </c>
      <c r="G834" t="s">
        <v>3664</v>
      </c>
      <c r="H834" t="s">
        <v>3665</v>
      </c>
      <c r="I834" t="s">
        <v>3666</v>
      </c>
      <c r="K834" t="s">
        <v>792</v>
      </c>
      <c r="L834">
        <v>2</v>
      </c>
    </row>
    <row r="835" spans="1:12" x14ac:dyDescent="0.25">
      <c r="A835" t="s">
        <v>4505</v>
      </c>
      <c r="B835" t="s">
        <v>3663</v>
      </c>
      <c r="C835">
        <v>1101</v>
      </c>
      <c r="D835" t="s">
        <v>3640</v>
      </c>
      <c r="E835">
        <v>10</v>
      </c>
      <c r="F835" t="s">
        <v>3401</v>
      </c>
      <c r="G835" t="s">
        <v>3664</v>
      </c>
      <c r="H835" t="s">
        <v>3667</v>
      </c>
      <c r="I835" t="s">
        <v>3668</v>
      </c>
      <c r="K835" t="s">
        <v>792</v>
      </c>
      <c r="L835">
        <v>2</v>
      </c>
    </row>
    <row r="836" spans="1:12" x14ac:dyDescent="0.25">
      <c r="A836" t="s">
        <v>4505</v>
      </c>
      <c r="B836" t="s">
        <v>3669</v>
      </c>
      <c r="C836">
        <v>1101</v>
      </c>
      <c r="D836" t="s">
        <v>3640</v>
      </c>
      <c r="E836">
        <v>10</v>
      </c>
      <c r="F836" t="s">
        <v>3670</v>
      </c>
      <c r="G836" t="s">
        <v>3671</v>
      </c>
      <c r="H836" t="s">
        <v>3672</v>
      </c>
      <c r="I836" t="s">
        <v>3538</v>
      </c>
      <c r="K836" t="s">
        <v>792</v>
      </c>
      <c r="L836">
        <v>2</v>
      </c>
    </row>
    <row r="837" spans="1:12" x14ac:dyDescent="0.25">
      <c r="A837" t="s">
        <v>4505</v>
      </c>
      <c r="B837" t="s">
        <v>3669</v>
      </c>
      <c r="C837">
        <v>1101</v>
      </c>
      <c r="D837" t="s">
        <v>3640</v>
      </c>
      <c r="E837">
        <v>10</v>
      </c>
      <c r="F837" t="s">
        <v>3673</v>
      </c>
      <c r="G837" t="s">
        <v>3674</v>
      </c>
      <c r="H837" t="s">
        <v>3675</v>
      </c>
      <c r="I837" t="s">
        <v>3676</v>
      </c>
      <c r="K837" t="s">
        <v>792</v>
      </c>
      <c r="L837">
        <v>2</v>
      </c>
    </row>
    <row r="838" spans="1:12" x14ac:dyDescent="0.25">
      <c r="A838" t="s">
        <v>4505</v>
      </c>
      <c r="B838" t="s">
        <v>3677</v>
      </c>
      <c r="C838">
        <v>1101</v>
      </c>
      <c r="D838" t="s">
        <v>3640</v>
      </c>
      <c r="E838">
        <v>10</v>
      </c>
      <c r="F838" t="s">
        <v>2436</v>
      </c>
      <c r="G838" t="s">
        <v>3678</v>
      </c>
      <c r="H838" t="s">
        <v>3679</v>
      </c>
      <c r="I838" t="s">
        <v>3680</v>
      </c>
      <c r="K838" t="s">
        <v>792</v>
      </c>
      <c r="L838">
        <v>2</v>
      </c>
    </row>
    <row r="839" spans="1:12" x14ac:dyDescent="0.25">
      <c r="A839" t="s">
        <v>4505</v>
      </c>
      <c r="B839" t="s">
        <v>3677</v>
      </c>
      <c r="C839">
        <v>1101</v>
      </c>
      <c r="D839" t="s">
        <v>3640</v>
      </c>
      <c r="E839">
        <v>10</v>
      </c>
      <c r="F839" t="s">
        <v>2436</v>
      </c>
      <c r="G839" t="s">
        <v>3678</v>
      </c>
      <c r="H839" t="s">
        <v>3681</v>
      </c>
      <c r="I839" t="s">
        <v>3682</v>
      </c>
      <c r="K839" t="s">
        <v>792</v>
      </c>
      <c r="L839">
        <v>2</v>
      </c>
    </row>
    <row r="840" spans="1:12" x14ac:dyDescent="0.25">
      <c r="A840" t="s">
        <v>77</v>
      </c>
      <c r="B840" t="s">
        <v>3683</v>
      </c>
      <c r="C840">
        <v>10105</v>
      </c>
      <c r="D840" t="s">
        <v>77</v>
      </c>
      <c r="E840">
        <v>8</v>
      </c>
      <c r="F840" t="s">
        <v>3356</v>
      </c>
      <c r="G840" t="s">
        <v>3376</v>
      </c>
      <c r="H840" t="s">
        <v>3684</v>
      </c>
      <c r="I840" t="s">
        <v>3685</v>
      </c>
      <c r="K840" t="s">
        <v>792</v>
      </c>
      <c r="L840">
        <v>2</v>
      </c>
    </row>
    <row r="841" spans="1:12" x14ac:dyDescent="0.25">
      <c r="A841" t="s">
        <v>77</v>
      </c>
      <c r="B841" t="s">
        <v>3683</v>
      </c>
      <c r="C841">
        <v>10105</v>
      </c>
      <c r="D841" t="s">
        <v>77</v>
      </c>
      <c r="E841">
        <v>8</v>
      </c>
      <c r="F841" t="s">
        <v>3356</v>
      </c>
      <c r="G841" t="s">
        <v>3376</v>
      </c>
      <c r="H841" t="s">
        <v>3686</v>
      </c>
      <c r="I841" t="s">
        <v>3687</v>
      </c>
      <c r="K841" t="s">
        <v>792</v>
      </c>
      <c r="L841">
        <v>2</v>
      </c>
    </row>
    <row r="842" spans="1:12" x14ac:dyDescent="0.25">
      <c r="A842" t="s">
        <v>77</v>
      </c>
      <c r="B842" t="s">
        <v>3683</v>
      </c>
      <c r="C842">
        <v>10105</v>
      </c>
      <c r="D842" t="s">
        <v>77</v>
      </c>
      <c r="E842">
        <v>8</v>
      </c>
      <c r="F842" t="s">
        <v>3372</v>
      </c>
      <c r="G842" t="s">
        <v>1325</v>
      </c>
      <c r="H842" t="s">
        <v>3688</v>
      </c>
      <c r="I842" t="s">
        <v>3689</v>
      </c>
      <c r="K842" t="s">
        <v>792</v>
      </c>
      <c r="L842">
        <v>2</v>
      </c>
    </row>
    <row r="843" spans="1:12" x14ac:dyDescent="0.25">
      <c r="A843" t="s">
        <v>77</v>
      </c>
      <c r="B843" t="s">
        <v>3690</v>
      </c>
      <c r="C843">
        <v>10105</v>
      </c>
      <c r="D843" t="s">
        <v>77</v>
      </c>
      <c r="E843">
        <v>8</v>
      </c>
      <c r="F843" t="s">
        <v>963</v>
      </c>
      <c r="G843" t="s">
        <v>3038</v>
      </c>
      <c r="H843" t="s">
        <v>3691</v>
      </c>
      <c r="I843" t="s">
        <v>3692</v>
      </c>
      <c r="K843" t="s">
        <v>792</v>
      </c>
      <c r="L843">
        <v>2</v>
      </c>
    </row>
    <row r="844" spans="1:12" x14ac:dyDescent="0.25">
      <c r="A844" t="s">
        <v>77</v>
      </c>
      <c r="B844" t="s">
        <v>3690</v>
      </c>
      <c r="C844">
        <v>10105</v>
      </c>
      <c r="D844" t="s">
        <v>77</v>
      </c>
      <c r="E844">
        <v>8</v>
      </c>
      <c r="F844" t="s">
        <v>963</v>
      </c>
      <c r="G844" t="s">
        <v>3038</v>
      </c>
      <c r="H844" t="s">
        <v>3693</v>
      </c>
      <c r="I844" t="s">
        <v>3694</v>
      </c>
      <c r="K844" t="s">
        <v>792</v>
      </c>
      <c r="L844">
        <v>2</v>
      </c>
    </row>
    <row r="845" spans="1:12" x14ac:dyDescent="0.25">
      <c r="A845" t="s">
        <v>77</v>
      </c>
      <c r="B845" t="s">
        <v>3690</v>
      </c>
      <c r="C845">
        <v>10105</v>
      </c>
      <c r="D845" t="s">
        <v>77</v>
      </c>
      <c r="E845">
        <v>8</v>
      </c>
      <c r="F845" t="s">
        <v>963</v>
      </c>
      <c r="G845" t="s">
        <v>3038</v>
      </c>
      <c r="H845" t="s">
        <v>3695</v>
      </c>
      <c r="I845" t="s">
        <v>3161</v>
      </c>
      <c r="K845" t="s">
        <v>792</v>
      </c>
      <c r="L845">
        <v>2</v>
      </c>
    </row>
    <row r="846" spans="1:12" x14ac:dyDescent="0.25">
      <c r="A846" t="s">
        <v>77</v>
      </c>
      <c r="B846" t="s">
        <v>3690</v>
      </c>
      <c r="C846">
        <v>10105</v>
      </c>
      <c r="D846" t="s">
        <v>77</v>
      </c>
      <c r="E846">
        <v>8</v>
      </c>
      <c r="F846" t="s">
        <v>963</v>
      </c>
      <c r="G846" t="s">
        <v>3038</v>
      </c>
      <c r="H846" t="s">
        <v>3696</v>
      </c>
      <c r="I846" t="s">
        <v>3315</v>
      </c>
      <c r="K846" t="s">
        <v>792</v>
      </c>
      <c r="L846">
        <v>2</v>
      </c>
    </row>
    <row r="847" spans="1:12" x14ac:dyDescent="0.25">
      <c r="A847" t="s">
        <v>77</v>
      </c>
      <c r="B847" t="s">
        <v>3697</v>
      </c>
      <c r="C847">
        <v>10105</v>
      </c>
      <c r="D847" t="s">
        <v>77</v>
      </c>
      <c r="E847">
        <v>8</v>
      </c>
      <c r="F847" t="s">
        <v>3698</v>
      </c>
      <c r="G847" t="s">
        <v>3699</v>
      </c>
      <c r="H847" t="s">
        <v>3700</v>
      </c>
      <c r="I847" t="s">
        <v>3701</v>
      </c>
      <c r="K847" t="s">
        <v>792</v>
      </c>
      <c r="L847">
        <v>2</v>
      </c>
    </row>
    <row r="848" spans="1:12" x14ac:dyDescent="0.25">
      <c r="A848" t="s">
        <v>77</v>
      </c>
      <c r="B848" t="s">
        <v>3697</v>
      </c>
      <c r="C848">
        <v>10105</v>
      </c>
      <c r="D848" t="s">
        <v>77</v>
      </c>
      <c r="E848">
        <v>8</v>
      </c>
      <c r="F848" t="s">
        <v>3698</v>
      </c>
      <c r="G848" t="s">
        <v>3699</v>
      </c>
      <c r="H848" t="s">
        <v>3702</v>
      </c>
      <c r="I848" t="s">
        <v>3703</v>
      </c>
      <c r="K848" t="s">
        <v>792</v>
      </c>
      <c r="L848">
        <v>2</v>
      </c>
    </row>
    <row r="849" spans="1:12" x14ac:dyDescent="0.25">
      <c r="A849" t="s">
        <v>77</v>
      </c>
      <c r="B849" t="s">
        <v>3697</v>
      </c>
      <c r="C849">
        <v>10105</v>
      </c>
      <c r="D849" t="s">
        <v>77</v>
      </c>
      <c r="E849">
        <v>8</v>
      </c>
      <c r="F849" t="s">
        <v>3698</v>
      </c>
      <c r="G849" t="s">
        <v>3699</v>
      </c>
      <c r="H849" t="s">
        <v>3704</v>
      </c>
      <c r="I849" t="s">
        <v>3705</v>
      </c>
      <c r="K849" t="s">
        <v>792</v>
      </c>
      <c r="L849">
        <v>2</v>
      </c>
    </row>
    <row r="850" spans="1:12" x14ac:dyDescent="0.25">
      <c r="A850" t="s">
        <v>77</v>
      </c>
      <c r="B850" t="s">
        <v>3706</v>
      </c>
      <c r="C850">
        <v>10105</v>
      </c>
      <c r="D850" t="s">
        <v>77</v>
      </c>
      <c r="E850">
        <v>8</v>
      </c>
      <c r="F850" t="s">
        <v>3707</v>
      </c>
      <c r="G850" t="s">
        <v>3708</v>
      </c>
      <c r="H850" t="s">
        <v>3709</v>
      </c>
      <c r="I850" t="s">
        <v>3710</v>
      </c>
      <c r="K850" t="s">
        <v>792</v>
      </c>
      <c r="L850">
        <v>2</v>
      </c>
    </row>
    <row r="851" spans="1:12" x14ac:dyDescent="0.25">
      <c r="A851" t="s">
        <v>77</v>
      </c>
      <c r="B851" t="s">
        <v>3706</v>
      </c>
      <c r="C851">
        <v>10105</v>
      </c>
      <c r="D851" t="s">
        <v>77</v>
      </c>
      <c r="E851">
        <v>8</v>
      </c>
      <c r="F851" t="s">
        <v>3707</v>
      </c>
      <c r="G851" t="s">
        <v>3708</v>
      </c>
      <c r="H851" t="s">
        <v>3711</v>
      </c>
      <c r="I851" t="s">
        <v>3410</v>
      </c>
      <c r="K851" t="s">
        <v>792</v>
      </c>
      <c r="L851">
        <v>2</v>
      </c>
    </row>
    <row r="852" spans="1:12" x14ac:dyDescent="0.25">
      <c r="A852" t="s">
        <v>77</v>
      </c>
      <c r="B852" t="s">
        <v>3706</v>
      </c>
      <c r="C852">
        <v>10105</v>
      </c>
      <c r="D852" t="s">
        <v>77</v>
      </c>
      <c r="E852">
        <v>8</v>
      </c>
      <c r="F852" t="s">
        <v>3707</v>
      </c>
      <c r="G852" t="s">
        <v>3708</v>
      </c>
      <c r="H852" t="s">
        <v>3712</v>
      </c>
      <c r="I852" t="s">
        <v>3713</v>
      </c>
      <c r="K852" t="s">
        <v>792</v>
      </c>
      <c r="L852">
        <v>2</v>
      </c>
    </row>
    <row r="853" spans="1:12" x14ac:dyDescent="0.25">
      <c r="A853" t="s">
        <v>77</v>
      </c>
      <c r="B853" t="s">
        <v>3714</v>
      </c>
      <c r="C853">
        <v>10105</v>
      </c>
      <c r="D853" t="s">
        <v>77</v>
      </c>
      <c r="E853">
        <v>8</v>
      </c>
      <c r="F853" t="s">
        <v>3715</v>
      </c>
      <c r="G853" t="s">
        <v>3716</v>
      </c>
      <c r="H853" t="s">
        <v>3717</v>
      </c>
      <c r="I853" t="s">
        <v>3718</v>
      </c>
      <c r="K853" t="s">
        <v>792</v>
      </c>
      <c r="L853">
        <v>2</v>
      </c>
    </row>
    <row r="854" spans="1:12" x14ac:dyDescent="0.25">
      <c r="A854" t="s">
        <v>77</v>
      </c>
      <c r="B854" t="s">
        <v>3714</v>
      </c>
      <c r="C854">
        <v>10105</v>
      </c>
      <c r="D854" t="s">
        <v>77</v>
      </c>
      <c r="E854">
        <v>8</v>
      </c>
      <c r="F854" t="s">
        <v>3719</v>
      </c>
      <c r="G854" t="s">
        <v>3720</v>
      </c>
      <c r="H854" t="s">
        <v>3721</v>
      </c>
      <c r="I854" t="s">
        <v>3722</v>
      </c>
      <c r="K854" t="s">
        <v>792</v>
      </c>
      <c r="L854">
        <v>2</v>
      </c>
    </row>
    <row r="855" spans="1:12" x14ac:dyDescent="0.25">
      <c r="A855" t="s">
        <v>77</v>
      </c>
      <c r="B855" t="s">
        <v>3714</v>
      </c>
      <c r="C855">
        <v>10105</v>
      </c>
      <c r="D855" t="s">
        <v>77</v>
      </c>
      <c r="E855">
        <v>8</v>
      </c>
      <c r="F855" t="s">
        <v>2899</v>
      </c>
      <c r="G855" t="s">
        <v>2900</v>
      </c>
      <c r="H855" t="s">
        <v>3723</v>
      </c>
      <c r="I855" t="s">
        <v>3724</v>
      </c>
      <c r="K855" t="s">
        <v>792</v>
      </c>
      <c r="L855">
        <v>2</v>
      </c>
    </row>
    <row r="856" spans="1:12" x14ac:dyDescent="0.25">
      <c r="A856" t="s">
        <v>77</v>
      </c>
      <c r="B856" t="s">
        <v>3725</v>
      </c>
      <c r="C856">
        <v>10105</v>
      </c>
      <c r="D856" t="s">
        <v>77</v>
      </c>
      <c r="E856">
        <v>8</v>
      </c>
      <c r="F856" t="s">
        <v>3240</v>
      </c>
      <c r="G856" t="s">
        <v>3379</v>
      </c>
      <c r="H856" t="s">
        <v>3726</v>
      </c>
      <c r="I856" t="s">
        <v>3727</v>
      </c>
      <c r="K856" t="s">
        <v>792</v>
      </c>
      <c r="L856">
        <v>2</v>
      </c>
    </row>
    <row r="857" spans="1:12" x14ac:dyDescent="0.25">
      <c r="A857" t="s">
        <v>77</v>
      </c>
      <c r="B857" t="s">
        <v>3725</v>
      </c>
      <c r="C857">
        <v>10105</v>
      </c>
      <c r="D857" t="s">
        <v>77</v>
      </c>
      <c r="E857">
        <v>8</v>
      </c>
      <c r="F857" t="s">
        <v>3240</v>
      </c>
      <c r="G857" t="s">
        <v>3379</v>
      </c>
      <c r="H857" t="s">
        <v>3728</v>
      </c>
      <c r="I857" t="s">
        <v>3729</v>
      </c>
      <c r="K857" t="s">
        <v>792</v>
      </c>
      <c r="L857">
        <v>2</v>
      </c>
    </row>
    <row r="858" spans="1:12" x14ac:dyDescent="0.25">
      <c r="A858" t="s">
        <v>77</v>
      </c>
      <c r="B858" t="s">
        <v>3725</v>
      </c>
      <c r="C858">
        <v>10105</v>
      </c>
      <c r="D858" t="s">
        <v>77</v>
      </c>
      <c r="E858">
        <v>8</v>
      </c>
      <c r="F858" t="s">
        <v>1448</v>
      </c>
      <c r="G858" t="s">
        <v>3631</v>
      </c>
      <c r="H858" t="s">
        <v>3730</v>
      </c>
      <c r="I858" t="s">
        <v>3236</v>
      </c>
      <c r="K858" t="s">
        <v>792</v>
      </c>
      <c r="L858">
        <v>2</v>
      </c>
    </row>
    <row r="859" spans="1:12" x14ac:dyDescent="0.25">
      <c r="A859" t="s">
        <v>77</v>
      </c>
      <c r="B859" t="s">
        <v>3731</v>
      </c>
      <c r="C859">
        <v>10105</v>
      </c>
      <c r="D859" t="s">
        <v>77</v>
      </c>
      <c r="E859">
        <v>8</v>
      </c>
      <c r="F859" t="s">
        <v>1415</v>
      </c>
      <c r="G859" t="s">
        <v>2670</v>
      </c>
      <c r="H859" t="s">
        <v>3732</v>
      </c>
      <c r="I859" t="s">
        <v>3035</v>
      </c>
      <c r="K859" t="s">
        <v>792</v>
      </c>
      <c r="L859">
        <v>2</v>
      </c>
    </row>
    <row r="860" spans="1:12" x14ac:dyDescent="0.25">
      <c r="A860" t="s">
        <v>77</v>
      </c>
      <c r="B860" t="s">
        <v>3731</v>
      </c>
      <c r="C860">
        <v>10105</v>
      </c>
      <c r="D860" t="s">
        <v>77</v>
      </c>
      <c r="E860">
        <v>8</v>
      </c>
      <c r="F860" t="s">
        <v>3605</v>
      </c>
      <c r="G860" t="s">
        <v>3606</v>
      </c>
      <c r="H860" t="s">
        <v>3733</v>
      </c>
      <c r="I860" t="s">
        <v>3734</v>
      </c>
      <c r="K860" t="s">
        <v>792</v>
      </c>
      <c r="L860">
        <v>2</v>
      </c>
    </row>
    <row r="861" spans="1:12" x14ac:dyDescent="0.25">
      <c r="A861" t="s">
        <v>77</v>
      </c>
      <c r="B861" t="s">
        <v>3731</v>
      </c>
      <c r="C861">
        <v>10105</v>
      </c>
      <c r="D861" t="s">
        <v>77</v>
      </c>
      <c r="E861">
        <v>8</v>
      </c>
      <c r="F861" t="s">
        <v>873</v>
      </c>
      <c r="G861" t="s">
        <v>1340</v>
      </c>
      <c r="H861" t="s">
        <v>3735</v>
      </c>
      <c r="I861" t="s">
        <v>3736</v>
      </c>
      <c r="K861" t="s">
        <v>792</v>
      </c>
      <c r="L861">
        <v>2</v>
      </c>
    </row>
    <row r="862" spans="1:12" x14ac:dyDescent="0.25">
      <c r="A862" t="s">
        <v>77</v>
      </c>
      <c r="B862" t="s">
        <v>3737</v>
      </c>
      <c r="C862">
        <v>10105</v>
      </c>
      <c r="D862" t="s">
        <v>77</v>
      </c>
      <c r="E862">
        <v>8</v>
      </c>
      <c r="F862" t="s">
        <v>2975</v>
      </c>
      <c r="G862" t="s">
        <v>2976</v>
      </c>
      <c r="H862" t="s">
        <v>1302</v>
      </c>
      <c r="I862" t="s">
        <v>2738</v>
      </c>
      <c r="K862" t="s">
        <v>792</v>
      </c>
      <c r="L862">
        <v>2</v>
      </c>
    </row>
    <row r="863" spans="1:12" x14ac:dyDescent="0.25">
      <c r="A863" t="s">
        <v>77</v>
      </c>
      <c r="B863" t="s">
        <v>3737</v>
      </c>
      <c r="C863">
        <v>10105</v>
      </c>
      <c r="D863" t="s">
        <v>77</v>
      </c>
      <c r="E863">
        <v>8</v>
      </c>
      <c r="F863" t="s">
        <v>1470</v>
      </c>
      <c r="G863" t="s">
        <v>2426</v>
      </c>
      <c r="H863" t="s">
        <v>3738</v>
      </c>
      <c r="I863" t="s">
        <v>3291</v>
      </c>
      <c r="K863" t="s">
        <v>792</v>
      </c>
      <c r="L863">
        <v>2</v>
      </c>
    </row>
    <row r="864" spans="1:12" x14ac:dyDescent="0.25">
      <c r="A864" t="s">
        <v>77</v>
      </c>
      <c r="B864" t="s">
        <v>3413</v>
      </c>
      <c r="C864">
        <v>10105</v>
      </c>
      <c r="D864" t="s">
        <v>77</v>
      </c>
      <c r="E864">
        <v>8</v>
      </c>
      <c r="F864" t="s">
        <v>1476</v>
      </c>
      <c r="G864" t="s">
        <v>3223</v>
      </c>
      <c r="H864" t="s">
        <v>3739</v>
      </c>
      <c r="I864" t="s">
        <v>3740</v>
      </c>
      <c r="K864" t="s">
        <v>792</v>
      </c>
      <c r="L864">
        <v>2</v>
      </c>
    </row>
    <row r="865" spans="1:12" x14ac:dyDescent="0.25">
      <c r="A865" t="s">
        <v>77</v>
      </c>
      <c r="B865" t="s">
        <v>3413</v>
      </c>
      <c r="C865">
        <v>10105</v>
      </c>
      <c r="D865" t="s">
        <v>77</v>
      </c>
      <c r="E865">
        <v>8</v>
      </c>
      <c r="F865" t="s">
        <v>3419</v>
      </c>
      <c r="G865" t="s">
        <v>3420</v>
      </c>
      <c r="H865" t="s">
        <v>3741</v>
      </c>
      <c r="I865" t="s">
        <v>3742</v>
      </c>
      <c r="K865" t="s">
        <v>792</v>
      </c>
      <c r="L865">
        <v>2</v>
      </c>
    </row>
    <row r="866" spans="1:12" x14ac:dyDescent="0.25">
      <c r="A866" t="s">
        <v>77</v>
      </c>
      <c r="B866" t="s">
        <v>3743</v>
      </c>
      <c r="C866">
        <v>10105</v>
      </c>
      <c r="D866" t="s">
        <v>77</v>
      </c>
      <c r="E866">
        <v>8</v>
      </c>
      <c r="F866" t="s">
        <v>3304</v>
      </c>
      <c r="G866" t="s">
        <v>3744</v>
      </c>
      <c r="H866" t="s">
        <v>3745</v>
      </c>
      <c r="I866" t="s">
        <v>3746</v>
      </c>
      <c r="K866" t="s">
        <v>792</v>
      </c>
      <c r="L866">
        <v>2</v>
      </c>
    </row>
    <row r="867" spans="1:12" x14ac:dyDescent="0.25">
      <c r="A867" t="s">
        <v>77</v>
      </c>
      <c r="B867" t="s">
        <v>3743</v>
      </c>
      <c r="C867">
        <v>10105</v>
      </c>
      <c r="D867" t="s">
        <v>77</v>
      </c>
      <c r="E867">
        <v>8</v>
      </c>
      <c r="F867" t="s">
        <v>3162</v>
      </c>
      <c r="G867" t="s">
        <v>2466</v>
      </c>
      <c r="H867" t="s">
        <v>3747</v>
      </c>
      <c r="I867" t="s">
        <v>3164</v>
      </c>
      <c r="K867" t="s">
        <v>792</v>
      </c>
      <c r="L867">
        <v>2</v>
      </c>
    </row>
    <row r="868" spans="1:12" x14ac:dyDescent="0.25">
      <c r="A868" t="s">
        <v>77</v>
      </c>
      <c r="B868" t="s">
        <v>2256</v>
      </c>
      <c r="C868">
        <v>10105</v>
      </c>
      <c r="D868" t="s">
        <v>77</v>
      </c>
      <c r="E868">
        <v>8</v>
      </c>
      <c r="F868" t="s">
        <v>951</v>
      </c>
      <c r="G868" t="s">
        <v>2256</v>
      </c>
      <c r="H868" t="s">
        <v>3748</v>
      </c>
      <c r="I868" t="s">
        <v>2963</v>
      </c>
      <c r="K868" t="s">
        <v>792</v>
      </c>
      <c r="L868">
        <v>2</v>
      </c>
    </row>
    <row r="869" spans="1:12" x14ac:dyDescent="0.25">
      <c r="A869" t="s">
        <v>77</v>
      </c>
      <c r="B869" t="s">
        <v>2256</v>
      </c>
      <c r="C869">
        <v>10105</v>
      </c>
      <c r="D869" t="s">
        <v>77</v>
      </c>
      <c r="E869">
        <v>8</v>
      </c>
      <c r="F869" t="s">
        <v>951</v>
      </c>
      <c r="G869" t="s">
        <v>2256</v>
      </c>
      <c r="H869" t="s">
        <v>3749</v>
      </c>
      <c r="I869" t="s">
        <v>1396</v>
      </c>
      <c r="K869" t="s">
        <v>1255</v>
      </c>
      <c r="L869">
        <v>1</v>
      </c>
    </row>
    <row r="870" spans="1:12" x14ac:dyDescent="0.25">
      <c r="A870" t="s">
        <v>4503</v>
      </c>
      <c r="B870" t="s">
        <v>3750</v>
      </c>
      <c r="C870">
        <v>2101</v>
      </c>
      <c r="D870" t="s">
        <v>3366</v>
      </c>
      <c r="E870">
        <v>10</v>
      </c>
      <c r="F870" t="s">
        <v>3356</v>
      </c>
      <c r="G870" t="s">
        <v>3751</v>
      </c>
      <c r="H870" t="s">
        <v>3752</v>
      </c>
      <c r="I870" t="s">
        <v>3369</v>
      </c>
      <c r="K870" t="s">
        <v>792</v>
      </c>
      <c r="L870">
        <v>2</v>
      </c>
    </row>
    <row r="871" spans="1:12" x14ac:dyDescent="0.25">
      <c r="A871" t="s">
        <v>4503</v>
      </c>
      <c r="B871" t="s">
        <v>3750</v>
      </c>
      <c r="C871">
        <v>2101</v>
      </c>
      <c r="D871" t="s">
        <v>3366</v>
      </c>
      <c r="E871">
        <v>10</v>
      </c>
      <c r="F871" t="s">
        <v>3356</v>
      </c>
      <c r="G871" t="s">
        <v>3751</v>
      </c>
      <c r="H871" t="s">
        <v>3753</v>
      </c>
      <c r="I871" t="s">
        <v>3754</v>
      </c>
      <c r="K871" t="s">
        <v>792</v>
      </c>
      <c r="L871">
        <v>2</v>
      </c>
    </row>
    <row r="872" spans="1:12" x14ac:dyDescent="0.25">
      <c r="A872" t="s">
        <v>4503</v>
      </c>
      <c r="B872" t="s">
        <v>3750</v>
      </c>
      <c r="C872">
        <v>2101</v>
      </c>
      <c r="D872" t="s">
        <v>3366</v>
      </c>
      <c r="E872">
        <v>10</v>
      </c>
      <c r="F872" t="s">
        <v>3356</v>
      </c>
      <c r="G872" t="s">
        <v>3751</v>
      </c>
      <c r="H872" t="s">
        <v>3755</v>
      </c>
      <c r="I872" t="s">
        <v>3756</v>
      </c>
      <c r="K872" t="s">
        <v>792</v>
      </c>
      <c r="L872">
        <v>2</v>
      </c>
    </row>
    <row r="873" spans="1:12" x14ac:dyDescent="0.25">
      <c r="A873" t="s">
        <v>4503</v>
      </c>
      <c r="B873" t="s">
        <v>3757</v>
      </c>
      <c r="C873">
        <v>2101</v>
      </c>
      <c r="D873" t="s">
        <v>3366</v>
      </c>
      <c r="E873">
        <v>10</v>
      </c>
      <c r="F873" t="s">
        <v>963</v>
      </c>
      <c r="G873" t="s">
        <v>3038</v>
      </c>
      <c r="H873" t="s">
        <v>3397</v>
      </c>
      <c r="I873" t="s">
        <v>3758</v>
      </c>
      <c r="K873" t="s">
        <v>792</v>
      </c>
      <c r="L873">
        <v>2</v>
      </c>
    </row>
    <row r="874" spans="1:12" x14ac:dyDescent="0.25">
      <c r="A874" t="s">
        <v>4503</v>
      </c>
      <c r="B874" t="s">
        <v>3757</v>
      </c>
      <c r="C874">
        <v>2101</v>
      </c>
      <c r="D874" t="s">
        <v>3366</v>
      </c>
      <c r="E874">
        <v>10</v>
      </c>
      <c r="F874" t="s">
        <v>963</v>
      </c>
      <c r="G874" t="s">
        <v>3038</v>
      </c>
      <c r="H874" t="s">
        <v>3759</v>
      </c>
      <c r="I874" t="s">
        <v>3760</v>
      </c>
      <c r="K874" t="s">
        <v>792</v>
      </c>
      <c r="L874">
        <v>2</v>
      </c>
    </row>
    <row r="875" spans="1:12" x14ac:dyDescent="0.25">
      <c r="A875" t="s">
        <v>4503</v>
      </c>
      <c r="B875" t="s">
        <v>3757</v>
      </c>
      <c r="C875">
        <v>2101</v>
      </c>
      <c r="D875" t="s">
        <v>3366</v>
      </c>
      <c r="E875">
        <v>10</v>
      </c>
      <c r="F875" t="s">
        <v>963</v>
      </c>
      <c r="G875" t="s">
        <v>3038</v>
      </c>
      <c r="H875" t="s">
        <v>3761</v>
      </c>
      <c r="I875" t="s">
        <v>3762</v>
      </c>
      <c r="K875" t="s">
        <v>792</v>
      </c>
      <c r="L875">
        <v>2</v>
      </c>
    </row>
    <row r="876" spans="1:12" x14ac:dyDescent="0.25">
      <c r="A876" t="s">
        <v>4503</v>
      </c>
      <c r="B876" t="s">
        <v>3763</v>
      </c>
      <c r="C876">
        <v>2101</v>
      </c>
      <c r="D876" t="s">
        <v>3366</v>
      </c>
      <c r="E876">
        <v>10</v>
      </c>
      <c r="F876" t="s">
        <v>3240</v>
      </c>
      <c r="G876" t="s">
        <v>3379</v>
      </c>
      <c r="H876" t="s">
        <v>3764</v>
      </c>
      <c r="I876" t="s">
        <v>3387</v>
      </c>
      <c r="K876" t="s">
        <v>792</v>
      </c>
      <c r="L876">
        <v>2</v>
      </c>
    </row>
    <row r="877" spans="1:12" x14ac:dyDescent="0.25">
      <c r="A877" t="s">
        <v>4503</v>
      </c>
      <c r="B877" t="s">
        <v>3763</v>
      </c>
      <c r="C877">
        <v>2101</v>
      </c>
      <c r="D877" t="s">
        <v>3366</v>
      </c>
      <c r="E877">
        <v>10</v>
      </c>
      <c r="F877" t="s">
        <v>3240</v>
      </c>
      <c r="G877" t="s">
        <v>3379</v>
      </c>
      <c r="H877" t="s">
        <v>3765</v>
      </c>
      <c r="I877" t="s">
        <v>3766</v>
      </c>
      <c r="K877" t="s">
        <v>792</v>
      </c>
      <c r="L877">
        <v>2</v>
      </c>
    </row>
    <row r="878" spans="1:12" x14ac:dyDescent="0.25">
      <c r="A878" t="s">
        <v>4503</v>
      </c>
      <c r="B878" t="s">
        <v>3763</v>
      </c>
      <c r="C878">
        <v>2101</v>
      </c>
      <c r="D878" t="s">
        <v>3366</v>
      </c>
      <c r="E878">
        <v>10</v>
      </c>
      <c r="F878" t="s">
        <v>3240</v>
      </c>
      <c r="G878" t="s">
        <v>3379</v>
      </c>
      <c r="H878" t="s">
        <v>3767</v>
      </c>
      <c r="I878" t="s">
        <v>3768</v>
      </c>
      <c r="K878" t="s">
        <v>792</v>
      </c>
      <c r="L878">
        <v>2</v>
      </c>
    </row>
    <row r="879" spans="1:12" x14ac:dyDescent="0.25">
      <c r="A879" t="s">
        <v>4503</v>
      </c>
      <c r="B879" t="s">
        <v>3763</v>
      </c>
      <c r="C879">
        <v>2101</v>
      </c>
      <c r="D879" t="s">
        <v>3366</v>
      </c>
      <c r="E879">
        <v>10</v>
      </c>
      <c r="F879" t="s">
        <v>3240</v>
      </c>
      <c r="G879" t="s">
        <v>3379</v>
      </c>
      <c r="H879" t="s">
        <v>3769</v>
      </c>
      <c r="I879" t="s">
        <v>3770</v>
      </c>
      <c r="K879" t="s">
        <v>792</v>
      </c>
      <c r="L879">
        <v>2</v>
      </c>
    </row>
    <row r="880" spans="1:12" x14ac:dyDescent="0.25">
      <c r="A880" t="s">
        <v>4503</v>
      </c>
      <c r="B880" t="s">
        <v>3771</v>
      </c>
      <c r="C880">
        <v>2101</v>
      </c>
      <c r="D880" t="s">
        <v>3366</v>
      </c>
      <c r="E880">
        <v>10</v>
      </c>
      <c r="F880" t="s">
        <v>3405</v>
      </c>
      <c r="G880" t="s">
        <v>3772</v>
      </c>
      <c r="H880" t="s">
        <v>3773</v>
      </c>
      <c r="I880" t="s">
        <v>2953</v>
      </c>
      <c r="K880" t="s">
        <v>792</v>
      </c>
      <c r="L880">
        <v>2</v>
      </c>
    </row>
    <row r="881" spans="1:12" x14ac:dyDescent="0.25">
      <c r="A881" t="s">
        <v>4503</v>
      </c>
      <c r="B881" t="s">
        <v>3771</v>
      </c>
      <c r="C881">
        <v>2101</v>
      </c>
      <c r="D881" t="s">
        <v>3366</v>
      </c>
      <c r="E881">
        <v>10</v>
      </c>
      <c r="F881" t="s">
        <v>3405</v>
      </c>
      <c r="G881" t="s">
        <v>3772</v>
      </c>
      <c r="H881" t="s">
        <v>3774</v>
      </c>
      <c r="I881" t="s">
        <v>3775</v>
      </c>
      <c r="K881" t="s">
        <v>792</v>
      </c>
      <c r="L881">
        <v>2</v>
      </c>
    </row>
    <row r="882" spans="1:12" x14ac:dyDescent="0.25">
      <c r="A882" t="s">
        <v>4503</v>
      </c>
      <c r="B882" t="s">
        <v>3771</v>
      </c>
      <c r="C882">
        <v>2101</v>
      </c>
      <c r="D882" t="s">
        <v>3366</v>
      </c>
      <c r="E882">
        <v>10</v>
      </c>
      <c r="F882" t="s">
        <v>3405</v>
      </c>
      <c r="G882" t="s">
        <v>3772</v>
      </c>
      <c r="H882" t="s">
        <v>3776</v>
      </c>
      <c r="I882" t="s">
        <v>3777</v>
      </c>
      <c r="K882" t="s">
        <v>792</v>
      </c>
      <c r="L882">
        <v>2</v>
      </c>
    </row>
    <row r="883" spans="1:12" x14ac:dyDescent="0.25">
      <c r="A883" t="s">
        <v>4503</v>
      </c>
      <c r="B883" t="s">
        <v>3413</v>
      </c>
      <c r="C883">
        <v>2101</v>
      </c>
      <c r="D883" t="s">
        <v>3366</v>
      </c>
      <c r="E883">
        <v>10</v>
      </c>
      <c r="F883" t="s">
        <v>1476</v>
      </c>
      <c r="G883" t="s">
        <v>3223</v>
      </c>
      <c r="H883" t="s">
        <v>3778</v>
      </c>
      <c r="I883" t="s">
        <v>3779</v>
      </c>
      <c r="K883" t="s">
        <v>792</v>
      </c>
      <c r="L883">
        <v>2</v>
      </c>
    </row>
    <row r="884" spans="1:12" x14ac:dyDescent="0.25">
      <c r="A884" t="s">
        <v>4503</v>
      </c>
      <c r="B884" t="s">
        <v>3413</v>
      </c>
      <c r="C884">
        <v>2101</v>
      </c>
      <c r="D884" t="s">
        <v>3366</v>
      </c>
      <c r="E884">
        <v>10</v>
      </c>
      <c r="F884" t="s">
        <v>1476</v>
      </c>
      <c r="G884" t="s">
        <v>3223</v>
      </c>
      <c r="H884" t="s">
        <v>3780</v>
      </c>
      <c r="I884" t="s">
        <v>3781</v>
      </c>
      <c r="K884" t="s">
        <v>792</v>
      </c>
      <c r="L884">
        <v>2</v>
      </c>
    </row>
    <row r="885" spans="1:12" x14ac:dyDescent="0.25">
      <c r="A885" t="s">
        <v>4503</v>
      </c>
      <c r="B885" t="s">
        <v>3413</v>
      </c>
      <c r="C885">
        <v>2101</v>
      </c>
      <c r="D885" t="s">
        <v>3366</v>
      </c>
      <c r="E885">
        <v>10</v>
      </c>
      <c r="F885" t="s">
        <v>3419</v>
      </c>
      <c r="G885" t="s">
        <v>3420</v>
      </c>
      <c r="H885" t="s">
        <v>3421</v>
      </c>
      <c r="I885" t="s">
        <v>3742</v>
      </c>
      <c r="K885" t="s">
        <v>792</v>
      </c>
      <c r="L885">
        <v>2</v>
      </c>
    </row>
    <row r="886" spans="1:12" x14ac:dyDescent="0.25">
      <c r="A886" t="s">
        <v>4503</v>
      </c>
      <c r="B886" t="s">
        <v>3413</v>
      </c>
      <c r="C886">
        <v>2101</v>
      </c>
      <c r="D886" t="s">
        <v>3366</v>
      </c>
      <c r="E886">
        <v>10</v>
      </c>
      <c r="F886" t="s">
        <v>3419</v>
      </c>
      <c r="G886" t="s">
        <v>3420</v>
      </c>
      <c r="H886" t="s">
        <v>3423</v>
      </c>
      <c r="I886" t="s">
        <v>3782</v>
      </c>
      <c r="K886" t="s">
        <v>792</v>
      </c>
      <c r="L886">
        <v>2</v>
      </c>
    </row>
    <row r="887" spans="1:12" x14ac:dyDescent="0.25">
      <c r="A887" t="s">
        <v>4503</v>
      </c>
      <c r="B887" t="s">
        <v>3425</v>
      </c>
      <c r="C887">
        <v>2101</v>
      </c>
      <c r="D887" t="s">
        <v>3366</v>
      </c>
      <c r="E887">
        <v>10</v>
      </c>
      <c r="F887" t="s">
        <v>2208</v>
      </c>
      <c r="G887" t="s">
        <v>2809</v>
      </c>
      <c r="H887" t="s">
        <v>3426</v>
      </c>
      <c r="I887" t="s">
        <v>2955</v>
      </c>
      <c r="K887" t="s">
        <v>792</v>
      </c>
      <c r="L887">
        <v>2</v>
      </c>
    </row>
    <row r="888" spans="1:12" x14ac:dyDescent="0.25">
      <c r="A888" t="s">
        <v>4503</v>
      </c>
      <c r="B888" t="s">
        <v>3425</v>
      </c>
      <c r="C888">
        <v>2101</v>
      </c>
      <c r="D888" t="s">
        <v>3366</v>
      </c>
      <c r="E888">
        <v>10</v>
      </c>
      <c r="F888" t="s">
        <v>2208</v>
      </c>
      <c r="G888" t="s">
        <v>2809</v>
      </c>
      <c r="H888" t="s">
        <v>3783</v>
      </c>
      <c r="I888" t="s">
        <v>3784</v>
      </c>
      <c r="K888" t="s">
        <v>792</v>
      </c>
      <c r="L888">
        <v>2</v>
      </c>
    </row>
    <row r="889" spans="1:12" x14ac:dyDescent="0.25">
      <c r="A889" t="s">
        <v>4503</v>
      </c>
      <c r="B889" t="s">
        <v>3785</v>
      </c>
      <c r="C889">
        <v>2101</v>
      </c>
      <c r="D889" t="s">
        <v>3366</v>
      </c>
      <c r="E889">
        <v>10</v>
      </c>
      <c r="F889" t="s">
        <v>3719</v>
      </c>
      <c r="G889" t="s">
        <v>3786</v>
      </c>
      <c r="H889" t="s">
        <v>3787</v>
      </c>
      <c r="I889" t="s">
        <v>3788</v>
      </c>
      <c r="K889" t="s">
        <v>792</v>
      </c>
      <c r="L889">
        <v>2</v>
      </c>
    </row>
    <row r="890" spans="1:12" x14ac:dyDescent="0.25">
      <c r="A890" t="s">
        <v>4503</v>
      </c>
      <c r="B890" t="s">
        <v>3785</v>
      </c>
      <c r="C890">
        <v>2101</v>
      </c>
      <c r="D890" t="s">
        <v>3366</v>
      </c>
      <c r="E890">
        <v>10</v>
      </c>
      <c r="F890" t="s">
        <v>1448</v>
      </c>
      <c r="G890" t="s">
        <v>2621</v>
      </c>
      <c r="H890" t="s">
        <v>3789</v>
      </c>
      <c r="I890" t="s">
        <v>2923</v>
      </c>
      <c r="K890" t="s">
        <v>792</v>
      </c>
      <c r="L890">
        <v>2</v>
      </c>
    </row>
    <row r="891" spans="1:12" x14ac:dyDescent="0.25">
      <c r="A891" t="s">
        <v>4503</v>
      </c>
      <c r="B891" t="s">
        <v>3785</v>
      </c>
      <c r="C891">
        <v>2101</v>
      </c>
      <c r="D891" t="s">
        <v>3366</v>
      </c>
      <c r="E891">
        <v>10</v>
      </c>
      <c r="F891" t="s">
        <v>3719</v>
      </c>
      <c r="G891" t="s">
        <v>3786</v>
      </c>
      <c r="H891" t="s">
        <v>3790</v>
      </c>
      <c r="I891" t="s">
        <v>3791</v>
      </c>
      <c r="K891" t="s">
        <v>792</v>
      </c>
      <c r="L891">
        <v>2</v>
      </c>
    </row>
    <row r="892" spans="1:12" x14ac:dyDescent="0.25">
      <c r="A892" t="s">
        <v>4503</v>
      </c>
      <c r="B892" t="s">
        <v>3792</v>
      </c>
      <c r="C892">
        <v>2101</v>
      </c>
      <c r="D892" t="s">
        <v>3366</v>
      </c>
      <c r="E892">
        <v>10</v>
      </c>
      <c r="F892" t="s">
        <v>3304</v>
      </c>
      <c r="G892" t="s">
        <v>3509</v>
      </c>
      <c r="H892" t="s">
        <v>3793</v>
      </c>
      <c r="I892" t="s">
        <v>3794</v>
      </c>
      <c r="K892" t="s">
        <v>792</v>
      </c>
      <c r="L892">
        <v>2</v>
      </c>
    </row>
    <row r="893" spans="1:12" x14ac:dyDescent="0.25">
      <c r="A893" t="s">
        <v>4503</v>
      </c>
      <c r="B893" t="s">
        <v>3792</v>
      </c>
      <c r="C893">
        <v>2101</v>
      </c>
      <c r="D893" t="s">
        <v>3366</v>
      </c>
      <c r="E893">
        <v>10</v>
      </c>
      <c r="F893" t="s">
        <v>3304</v>
      </c>
      <c r="G893" t="s">
        <v>3509</v>
      </c>
      <c r="H893" t="s">
        <v>3795</v>
      </c>
      <c r="I893" t="s">
        <v>3796</v>
      </c>
      <c r="K893" t="s">
        <v>792</v>
      </c>
      <c r="L893">
        <v>2</v>
      </c>
    </row>
    <row r="894" spans="1:12" x14ac:dyDescent="0.25">
      <c r="A894" t="s">
        <v>4503</v>
      </c>
      <c r="B894" t="s">
        <v>3797</v>
      </c>
      <c r="C894">
        <v>2101</v>
      </c>
      <c r="D894" t="s">
        <v>3366</v>
      </c>
      <c r="E894">
        <v>10</v>
      </c>
      <c r="F894" t="s">
        <v>955</v>
      </c>
      <c r="G894" t="s">
        <v>2478</v>
      </c>
      <c r="H894" t="s">
        <v>3394</v>
      </c>
      <c r="I894" t="s">
        <v>3395</v>
      </c>
      <c r="K894" t="s">
        <v>792</v>
      </c>
      <c r="L894">
        <v>2</v>
      </c>
    </row>
    <row r="895" spans="1:12" x14ac:dyDescent="0.25">
      <c r="A895" t="s">
        <v>4503</v>
      </c>
      <c r="B895" t="s">
        <v>3797</v>
      </c>
      <c r="C895">
        <v>2101</v>
      </c>
      <c r="D895" t="s">
        <v>3366</v>
      </c>
      <c r="E895">
        <v>10</v>
      </c>
      <c r="F895" t="s">
        <v>3295</v>
      </c>
      <c r="G895" t="s">
        <v>3389</v>
      </c>
      <c r="H895" t="s">
        <v>3392</v>
      </c>
      <c r="I895" t="s">
        <v>3798</v>
      </c>
      <c r="K895" t="s">
        <v>792</v>
      </c>
      <c r="L895">
        <v>2</v>
      </c>
    </row>
    <row r="896" spans="1:12" x14ac:dyDescent="0.25">
      <c r="A896" t="s">
        <v>4503</v>
      </c>
      <c r="B896" t="s">
        <v>3799</v>
      </c>
      <c r="C896">
        <v>2101</v>
      </c>
      <c r="D896" t="s">
        <v>3366</v>
      </c>
      <c r="E896">
        <v>10</v>
      </c>
      <c r="F896" t="s">
        <v>1470</v>
      </c>
      <c r="G896" t="s">
        <v>2426</v>
      </c>
      <c r="H896" t="s">
        <v>3800</v>
      </c>
      <c r="I896" t="s">
        <v>3291</v>
      </c>
      <c r="K896" t="s">
        <v>792</v>
      </c>
      <c r="L896">
        <v>2</v>
      </c>
    </row>
    <row r="897" spans="1:12" x14ac:dyDescent="0.25">
      <c r="A897" t="s">
        <v>4503</v>
      </c>
      <c r="B897" t="s">
        <v>3799</v>
      </c>
      <c r="C897">
        <v>2101</v>
      </c>
      <c r="D897" t="s">
        <v>3366</v>
      </c>
      <c r="E897">
        <v>10</v>
      </c>
      <c r="F897" t="s">
        <v>1371</v>
      </c>
      <c r="G897" t="s">
        <v>3039</v>
      </c>
      <c r="H897" t="s">
        <v>3801</v>
      </c>
      <c r="I897" t="s">
        <v>3054</v>
      </c>
      <c r="K897" t="s">
        <v>792</v>
      </c>
      <c r="L897">
        <v>2</v>
      </c>
    </row>
    <row r="898" spans="1:12" x14ac:dyDescent="0.25">
      <c r="A898" t="s">
        <v>4503</v>
      </c>
      <c r="B898" t="s">
        <v>3598</v>
      </c>
      <c r="C898">
        <v>2101</v>
      </c>
      <c r="D898" t="s">
        <v>3366</v>
      </c>
      <c r="E898">
        <v>10</v>
      </c>
      <c r="F898" t="s">
        <v>873</v>
      </c>
      <c r="G898" t="s">
        <v>1340</v>
      </c>
      <c r="H898" t="s">
        <v>3802</v>
      </c>
      <c r="I898" t="s">
        <v>3803</v>
      </c>
      <c r="K898" t="s">
        <v>792</v>
      </c>
      <c r="L898">
        <v>2</v>
      </c>
    </row>
    <row r="899" spans="1:12" x14ac:dyDescent="0.25">
      <c r="A899" t="s">
        <v>4503</v>
      </c>
      <c r="B899" t="s">
        <v>3598</v>
      </c>
      <c r="C899">
        <v>2101</v>
      </c>
      <c r="D899" t="s">
        <v>3366</v>
      </c>
      <c r="E899">
        <v>10</v>
      </c>
      <c r="F899" t="s">
        <v>873</v>
      </c>
      <c r="G899" t="s">
        <v>1340</v>
      </c>
      <c r="H899" t="s">
        <v>3804</v>
      </c>
      <c r="I899" t="s">
        <v>3040</v>
      </c>
      <c r="K899" t="s">
        <v>792</v>
      </c>
      <c r="L899">
        <v>2</v>
      </c>
    </row>
    <row r="900" spans="1:12" x14ac:dyDescent="0.25">
      <c r="A900" t="s">
        <v>4503</v>
      </c>
      <c r="B900" t="s">
        <v>3805</v>
      </c>
      <c r="C900">
        <v>2101</v>
      </c>
      <c r="D900" t="s">
        <v>3366</v>
      </c>
      <c r="E900">
        <v>10</v>
      </c>
      <c r="F900" t="s">
        <v>951</v>
      </c>
      <c r="G900" t="s">
        <v>2256</v>
      </c>
      <c r="H900" t="s">
        <v>3806</v>
      </c>
      <c r="I900" t="s">
        <v>3807</v>
      </c>
      <c r="K900" t="s">
        <v>792</v>
      </c>
      <c r="L900">
        <v>2</v>
      </c>
    </row>
    <row r="901" spans="1:12" x14ac:dyDescent="0.25">
      <c r="A901" t="s">
        <v>4503</v>
      </c>
      <c r="B901" t="s">
        <v>3805</v>
      </c>
      <c r="C901">
        <v>2101</v>
      </c>
      <c r="D901" t="s">
        <v>3366</v>
      </c>
      <c r="E901">
        <v>10</v>
      </c>
      <c r="F901" t="s">
        <v>953</v>
      </c>
      <c r="G901" t="s">
        <v>1342</v>
      </c>
      <c r="H901" t="s">
        <v>3808</v>
      </c>
      <c r="I901" t="s">
        <v>3809</v>
      </c>
      <c r="K901" t="s">
        <v>792</v>
      </c>
      <c r="L901">
        <v>2</v>
      </c>
    </row>
    <row r="902" spans="1:12" x14ac:dyDescent="0.25">
      <c r="A902" t="s">
        <v>3811</v>
      </c>
      <c r="B902" t="s">
        <v>3805</v>
      </c>
      <c r="C902" t="s">
        <v>3810</v>
      </c>
      <c r="D902" t="s">
        <v>3811</v>
      </c>
      <c r="E902">
        <v>3</v>
      </c>
      <c r="F902" t="s">
        <v>3812</v>
      </c>
      <c r="G902" t="s">
        <v>3813</v>
      </c>
      <c r="H902" t="s">
        <v>3814</v>
      </c>
      <c r="I902" t="s">
        <v>3815</v>
      </c>
      <c r="K902" t="s">
        <v>792</v>
      </c>
      <c r="L902">
        <v>2</v>
      </c>
    </row>
    <row r="903" spans="1:12" x14ac:dyDescent="0.25">
      <c r="A903" t="s">
        <v>3811</v>
      </c>
      <c r="B903" t="s">
        <v>3805</v>
      </c>
      <c r="C903" t="s">
        <v>3810</v>
      </c>
      <c r="D903" t="s">
        <v>3811</v>
      </c>
      <c r="E903">
        <v>3</v>
      </c>
      <c r="F903" t="s">
        <v>2207</v>
      </c>
      <c r="G903" t="s">
        <v>1247</v>
      </c>
      <c r="H903" t="s">
        <v>3816</v>
      </c>
      <c r="I903" t="s">
        <v>3817</v>
      </c>
      <c r="K903" t="s">
        <v>792</v>
      </c>
      <c r="L903">
        <v>2</v>
      </c>
    </row>
    <row r="904" spans="1:12" x14ac:dyDescent="0.25">
      <c r="A904" t="s">
        <v>3811</v>
      </c>
      <c r="B904" t="s">
        <v>3805</v>
      </c>
      <c r="C904" t="s">
        <v>3810</v>
      </c>
      <c r="D904" t="s">
        <v>3811</v>
      </c>
      <c r="E904">
        <v>3</v>
      </c>
      <c r="F904" t="s">
        <v>3087</v>
      </c>
      <c r="G904" t="s">
        <v>3818</v>
      </c>
      <c r="H904" t="s">
        <v>3819</v>
      </c>
      <c r="I904" t="s">
        <v>3820</v>
      </c>
      <c r="K904" t="s">
        <v>792</v>
      </c>
      <c r="L904">
        <v>2</v>
      </c>
    </row>
    <row r="905" spans="1:12" x14ac:dyDescent="0.25">
      <c r="A905" t="s">
        <v>3811</v>
      </c>
      <c r="B905" t="s">
        <v>3805</v>
      </c>
      <c r="C905" t="s">
        <v>3810</v>
      </c>
      <c r="D905" t="s">
        <v>3811</v>
      </c>
      <c r="E905">
        <v>3</v>
      </c>
      <c r="F905" t="s">
        <v>3821</v>
      </c>
      <c r="G905" t="s">
        <v>3822</v>
      </c>
      <c r="H905" t="s">
        <v>3823</v>
      </c>
      <c r="I905" t="s">
        <v>3824</v>
      </c>
      <c r="K905" t="s">
        <v>792</v>
      </c>
      <c r="L905">
        <v>2</v>
      </c>
    </row>
    <row r="906" spans="1:12" x14ac:dyDescent="0.25">
      <c r="A906" t="s">
        <v>3811</v>
      </c>
      <c r="B906" t="s">
        <v>3805</v>
      </c>
      <c r="C906" t="s">
        <v>3810</v>
      </c>
      <c r="D906" t="s">
        <v>3811</v>
      </c>
      <c r="E906">
        <v>3</v>
      </c>
      <c r="F906" t="s">
        <v>3825</v>
      </c>
      <c r="G906" t="s">
        <v>3826</v>
      </c>
      <c r="H906" t="s">
        <v>3827</v>
      </c>
      <c r="I906" t="s">
        <v>3828</v>
      </c>
      <c r="K906" t="s">
        <v>792</v>
      </c>
      <c r="L906">
        <v>2</v>
      </c>
    </row>
    <row r="907" spans="1:12" x14ac:dyDescent="0.25">
      <c r="A907" t="s">
        <v>3811</v>
      </c>
      <c r="B907" t="s">
        <v>3805</v>
      </c>
      <c r="C907" t="s">
        <v>3810</v>
      </c>
      <c r="D907" t="s">
        <v>3811</v>
      </c>
      <c r="E907">
        <v>3</v>
      </c>
      <c r="F907" t="s">
        <v>961</v>
      </c>
      <c r="G907" t="s">
        <v>1332</v>
      </c>
      <c r="H907" t="s">
        <v>3829</v>
      </c>
      <c r="I907" t="s">
        <v>3830</v>
      </c>
      <c r="K907" t="s">
        <v>792</v>
      </c>
      <c r="L907">
        <v>2</v>
      </c>
    </row>
    <row r="908" spans="1:12" x14ac:dyDescent="0.25">
      <c r="A908" t="s">
        <v>3811</v>
      </c>
      <c r="B908" t="s">
        <v>3805</v>
      </c>
      <c r="C908" t="s">
        <v>3810</v>
      </c>
      <c r="D908" t="s">
        <v>3811</v>
      </c>
      <c r="E908">
        <v>3</v>
      </c>
      <c r="F908" t="s">
        <v>873</v>
      </c>
      <c r="G908" t="s">
        <v>1340</v>
      </c>
      <c r="H908" t="s">
        <v>3831</v>
      </c>
      <c r="I908" t="s">
        <v>2227</v>
      </c>
      <c r="K908" t="s">
        <v>792</v>
      </c>
      <c r="L908">
        <v>2</v>
      </c>
    </row>
    <row r="909" spans="1:12" x14ac:dyDescent="0.25">
      <c r="A909" t="s">
        <v>4531</v>
      </c>
      <c r="B909" t="s">
        <v>3805</v>
      </c>
      <c r="C909">
        <v>40101</v>
      </c>
      <c r="D909" t="s">
        <v>15</v>
      </c>
      <c r="E909">
        <v>4</v>
      </c>
      <c r="F909" t="s">
        <v>3698</v>
      </c>
      <c r="G909" t="s">
        <v>3832</v>
      </c>
      <c r="H909" t="s">
        <v>3833</v>
      </c>
      <c r="I909" t="s">
        <v>3044</v>
      </c>
      <c r="K909" t="s">
        <v>792</v>
      </c>
      <c r="L909">
        <v>2</v>
      </c>
    </row>
    <row r="910" spans="1:12" x14ac:dyDescent="0.25">
      <c r="A910" t="s">
        <v>4531</v>
      </c>
      <c r="B910" t="s">
        <v>3805</v>
      </c>
      <c r="C910">
        <v>40101</v>
      </c>
      <c r="D910" t="s">
        <v>15</v>
      </c>
      <c r="E910">
        <v>4</v>
      </c>
      <c r="F910" t="s">
        <v>2207</v>
      </c>
      <c r="G910" t="s">
        <v>3834</v>
      </c>
      <c r="H910" t="s">
        <v>3835</v>
      </c>
      <c r="I910" t="s">
        <v>3836</v>
      </c>
      <c r="K910" t="s">
        <v>792</v>
      </c>
      <c r="L910">
        <v>2</v>
      </c>
    </row>
    <row r="911" spans="1:12" x14ac:dyDescent="0.25">
      <c r="A911" t="s">
        <v>4531</v>
      </c>
      <c r="B911" t="s">
        <v>3805</v>
      </c>
      <c r="C911">
        <v>40101</v>
      </c>
      <c r="D911" t="s">
        <v>15</v>
      </c>
      <c r="E911">
        <v>4</v>
      </c>
      <c r="F911" t="s">
        <v>3837</v>
      </c>
      <c r="G911" t="s">
        <v>3838</v>
      </c>
      <c r="H911" t="s">
        <v>3839</v>
      </c>
      <c r="I911" t="s">
        <v>3840</v>
      </c>
      <c r="K911" t="s">
        <v>792</v>
      </c>
      <c r="L911">
        <v>2</v>
      </c>
    </row>
    <row r="912" spans="1:12" x14ac:dyDescent="0.25">
      <c r="A912" t="s">
        <v>4531</v>
      </c>
      <c r="B912" t="s">
        <v>3805</v>
      </c>
      <c r="C912">
        <v>40101</v>
      </c>
      <c r="D912" t="s">
        <v>15</v>
      </c>
      <c r="E912">
        <v>4</v>
      </c>
      <c r="F912" t="s">
        <v>873</v>
      </c>
      <c r="G912" t="s">
        <v>1340</v>
      </c>
      <c r="H912" t="s">
        <v>3841</v>
      </c>
      <c r="I912" t="s">
        <v>3842</v>
      </c>
      <c r="K912" t="s">
        <v>792</v>
      </c>
      <c r="L912">
        <v>2</v>
      </c>
    </row>
    <row r="913" spans="1:12" x14ac:dyDescent="0.25">
      <c r="A913" t="s">
        <v>4531</v>
      </c>
      <c r="B913" t="s">
        <v>3805</v>
      </c>
      <c r="C913">
        <v>40101</v>
      </c>
      <c r="D913" t="s">
        <v>15</v>
      </c>
      <c r="E913">
        <v>4</v>
      </c>
      <c r="F913" t="s">
        <v>3843</v>
      </c>
      <c r="G913" t="s">
        <v>3844</v>
      </c>
      <c r="H913" t="s">
        <v>3845</v>
      </c>
      <c r="I913" t="s">
        <v>3846</v>
      </c>
      <c r="K913" t="s">
        <v>1255</v>
      </c>
      <c r="L913">
        <v>1</v>
      </c>
    </row>
    <row r="914" spans="1:12" x14ac:dyDescent="0.25">
      <c r="A914" t="s">
        <v>4531</v>
      </c>
      <c r="B914" t="s">
        <v>3805</v>
      </c>
      <c r="C914">
        <v>40102</v>
      </c>
      <c r="D914" t="s">
        <v>9</v>
      </c>
      <c r="E914">
        <v>5</v>
      </c>
      <c r="F914" t="s">
        <v>3698</v>
      </c>
      <c r="G914" t="s">
        <v>3832</v>
      </c>
      <c r="H914" t="s">
        <v>3833</v>
      </c>
      <c r="I914" t="s">
        <v>3044</v>
      </c>
      <c r="K914" t="s">
        <v>792</v>
      </c>
      <c r="L914">
        <v>2</v>
      </c>
    </row>
    <row r="915" spans="1:12" x14ac:dyDescent="0.25">
      <c r="A915" t="s">
        <v>4531</v>
      </c>
      <c r="B915" t="s">
        <v>3805</v>
      </c>
      <c r="C915">
        <v>40102</v>
      </c>
      <c r="D915" t="s">
        <v>9</v>
      </c>
      <c r="E915">
        <v>5</v>
      </c>
      <c r="F915" t="s">
        <v>2207</v>
      </c>
      <c r="G915" t="s">
        <v>3834</v>
      </c>
      <c r="H915" t="s">
        <v>3835</v>
      </c>
      <c r="I915" t="s">
        <v>3836</v>
      </c>
      <c r="K915" t="s">
        <v>792</v>
      </c>
      <c r="L915">
        <v>2</v>
      </c>
    </row>
    <row r="916" spans="1:12" x14ac:dyDescent="0.25">
      <c r="A916" t="s">
        <v>4531</v>
      </c>
      <c r="B916" t="s">
        <v>3805</v>
      </c>
      <c r="C916">
        <v>40102</v>
      </c>
      <c r="D916" t="s">
        <v>9</v>
      </c>
      <c r="E916">
        <v>5</v>
      </c>
      <c r="F916" t="s">
        <v>1371</v>
      </c>
      <c r="G916" t="s">
        <v>3847</v>
      </c>
      <c r="H916" t="s">
        <v>3848</v>
      </c>
      <c r="I916" t="s">
        <v>3849</v>
      </c>
      <c r="K916" t="s">
        <v>792</v>
      </c>
      <c r="L916">
        <v>2</v>
      </c>
    </row>
    <row r="917" spans="1:12" x14ac:dyDescent="0.25">
      <c r="A917" t="s">
        <v>4531</v>
      </c>
      <c r="B917" t="s">
        <v>3805</v>
      </c>
      <c r="C917">
        <v>40102</v>
      </c>
      <c r="D917" t="s">
        <v>9</v>
      </c>
      <c r="E917">
        <v>5</v>
      </c>
      <c r="F917" t="s">
        <v>873</v>
      </c>
      <c r="G917" t="s">
        <v>1340</v>
      </c>
      <c r="H917" t="s">
        <v>3850</v>
      </c>
      <c r="I917" t="s">
        <v>3851</v>
      </c>
      <c r="K917" t="s">
        <v>792</v>
      </c>
      <c r="L917">
        <v>2</v>
      </c>
    </row>
    <row r="918" spans="1:12" x14ac:dyDescent="0.25">
      <c r="A918" t="s">
        <v>4531</v>
      </c>
      <c r="B918" t="s">
        <v>3805</v>
      </c>
      <c r="C918">
        <v>40102</v>
      </c>
      <c r="D918" t="s">
        <v>9</v>
      </c>
      <c r="E918">
        <v>5</v>
      </c>
      <c r="F918" t="s">
        <v>3843</v>
      </c>
      <c r="G918" t="s">
        <v>3844</v>
      </c>
      <c r="H918" t="s">
        <v>3852</v>
      </c>
      <c r="I918" t="s">
        <v>3853</v>
      </c>
      <c r="K918" t="s">
        <v>792</v>
      </c>
      <c r="L918">
        <v>2</v>
      </c>
    </row>
    <row r="919" spans="1:12" x14ac:dyDescent="0.25">
      <c r="A919" t="s">
        <v>4531</v>
      </c>
      <c r="B919" t="s">
        <v>3805</v>
      </c>
      <c r="C919">
        <v>40103</v>
      </c>
      <c r="D919" t="s">
        <v>445</v>
      </c>
      <c r="E919">
        <v>6</v>
      </c>
      <c r="F919" t="s">
        <v>3698</v>
      </c>
      <c r="G919" t="s">
        <v>3854</v>
      </c>
      <c r="H919" t="s">
        <v>3855</v>
      </c>
      <c r="I919" t="s">
        <v>3701</v>
      </c>
      <c r="K919" t="s">
        <v>792</v>
      </c>
      <c r="L919">
        <v>2</v>
      </c>
    </row>
    <row r="920" spans="1:12" x14ac:dyDescent="0.25">
      <c r="A920" t="s">
        <v>4531</v>
      </c>
      <c r="B920" t="s">
        <v>3805</v>
      </c>
      <c r="C920">
        <v>40103</v>
      </c>
      <c r="D920" t="s">
        <v>445</v>
      </c>
      <c r="E920">
        <v>6</v>
      </c>
      <c r="F920" t="s">
        <v>2207</v>
      </c>
      <c r="G920" t="s">
        <v>3834</v>
      </c>
      <c r="H920" t="s">
        <v>3856</v>
      </c>
      <c r="I920" t="s">
        <v>3857</v>
      </c>
      <c r="K920" t="s">
        <v>792</v>
      </c>
      <c r="L920">
        <v>2</v>
      </c>
    </row>
    <row r="921" spans="1:12" x14ac:dyDescent="0.25">
      <c r="A921" t="s">
        <v>4531</v>
      </c>
      <c r="B921" t="s">
        <v>3805</v>
      </c>
      <c r="C921">
        <v>40103</v>
      </c>
      <c r="D921" t="s">
        <v>445</v>
      </c>
      <c r="E921">
        <v>6</v>
      </c>
      <c r="F921" t="s">
        <v>1371</v>
      </c>
      <c r="G921" t="s">
        <v>3847</v>
      </c>
      <c r="H921" t="s">
        <v>3858</v>
      </c>
      <c r="I921" t="s">
        <v>3859</v>
      </c>
      <c r="K921" t="s">
        <v>792</v>
      </c>
      <c r="L921">
        <v>2</v>
      </c>
    </row>
    <row r="922" spans="1:12" x14ac:dyDescent="0.25">
      <c r="A922" t="s">
        <v>4531</v>
      </c>
      <c r="B922" t="s">
        <v>3805</v>
      </c>
      <c r="C922">
        <v>40103</v>
      </c>
      <c r="D922" t="s">
        <v>445</v>
      </c>
      <c r="E922">
        <v>6</v>
      </c>
      <c r="F922" t="s">
        <v>3605</v>
      </c>
      <c r="G922" t="s">
        <v>3606</v>
      </c>
      <c r="H922" t="s">
        <v>3860</v>
      </c>
      <c r="I922" t="s">
        <v>3861</v>
      </c>
      <c r="K922" t="s">
        <v>792</v>
      </c>
      <c r="L922">
        <v>2</v>
      </c>
    </row>
    <row r="923" spans="1:12" x14ac:dyDescent="0.25">
      <c r="A923" t="s">
        <v>4531</v>
      </c>
      <c r="B923" t="s">
        <v>3805</v>
      </c>
      <c r="C923">
        <v>40103</v>
      </c>
      <c r="D923" t="s">
        <v>445</v>
      </c>
      <c r="E923">
        <v>6</v>
      </c>
      <c r="F923" t="s">
        <v>3843</v>
      </c>
      <c r="G923" t="s">
        <v>3844</v>
      </c>
      <c r="H923" t="s">
        <v>3862</v>
      </c>
      <c r="I923" t="s">
        <v>3863</v>
      </c>
      <c r="K923" t="s">
        <v>792</v>
      </c>
      <c r="L923">
        <v>2</v>
      </c>
    </row>
    <row r="924" spans="1:12" x14ac:dyDescent="0.25">
      <c r="A924" t="s">
        <v>4532</v>
      </c>
      <c r="B924" t="s">
        <v>3805</v>
      </c>
      <c r="C924">
        <v>40104</v>
      </c>
      <c r="D924" t="s">
        <v>753</v>
      </c>
      <c r="E924">
        <v>6</v>
      </c>
      <c r="F924" t="s">
        <v>3698</v>
      </c>
      <c r="G924" t="s">
        <v>3864</v>
      </c>
      <c r="H924" t="s">
        <v>3865</v>
      </c>
      <c r="I924" t="s">
        <v>3866</v>
      </c>
      <c r="K924" t="s">
        <v>792</v>
      </c>
      <c r="L924">
        <v>2</v>
      </c>
    </row>
    <row r="925" spans="1:12" x14ac:dyDescent="0.25">
      <c r="A925" t="s">
        <v>4532</v>
      </c>
      <c r="B925" t="s">
        <v>3805</v>
      </c>
      <c r="C925">
        <v>40104</v>
      </c>
      <c r="D925" t="s">
        <v>753</v>
      </c>
      <c r="E925">
        <v>6</v>
      </c>
      <c r="F925" t="s">
        <v>2207</v>
      </c>
      <c r="G925" t="s">
        <v>3834</v>
      </c>
      <c r="H925" t="s">
        <v>3867</v>
      </c>
      <c r="I925" t="s">
        <v>3868</v>
      </c>
      <c r="K925" t="s">
        <v>792</v>
      </c>
      <c r="L925">
        <v>2</v>
      </c>
    </row>
    <row r="926" spans="1:12" x14ac:dyDescent="0.25">
      <c r="A926" t="s">
        <v>4532</v>
      </c>
      <c r="B926" t="s">
        <v>3805</v>
      </c>
      <c r="C926">
        <v>40104</v>
      </c>
      <c r="D926" t="s">
        <v>753</v>
      </c>
      <c r="E926">
        <v>6</v>
      </c>
      <c r="F926" t="s">
        <v>1371</v>
      </c>
      <c r="G926" t="s">
        <v>3847</v>
      </c>
      <c r="H926" t="s">
        <v>3869</v>
      </c>
      <c r="I926" t="s">
        <v>3870</v>
      </c>
      <c r="K926" t="s">
        <v>792</v>
      </c>
      <c r="L926">
        <v>2</v>
      </c>
    </row>
    <row r="927" spans="1:12" x14ac:dyDescent="0.25">
      <c r="A927" t="s">
        <v>4532</v>
      </c>
      <c r="B927" t="s">
        <v>3805</v>
      </c>
      <c r="C927">
        <v>40104</v>
      </c>
      <c r="D927" t="s">
        <v>753</v>
      </c>
      <c r="E927">
        <v>6</v>
      </c>
      <c r="F927" t="s">
        <v>3843</v>
      </c>
      <c r="G927" t="s">
        <v>3844</v>
      </c>
      <c r="H927" t="s">
        <v>3871</v>
      </c>
      <c r="I927" t="s">
        <v>3872</v>
      </c>
      <c r="K927" t="s">
        <v>792</v>
      </c>
      <c r="L927">
        <v>2</v>
      </c>
    </row>
    <row r="928" spans="1:12" x14ac:dyDescent="0.25">
      <c r="A928" t="s">
        <v>4533</v>
      </c>
      <c r="B928" t="s">
        <v>3805</v>
      </c>
      <c r="C928">
        <v>40105</v>
      </c>
      <c r="D928" t="s">
        <v>754</v>
      </c>
      <c r="E928">
        <v>7</v>
      </c>
      <c r="F928" t="s">
        <v>3698</v>
      </c>
      <c r="G928" t="s">
        <v>3864</v>
      </c>
      <c r="H928" t="s">
        <v>3873</v>
      </c>
      <c r="I928" t="s">
        <v>3874</v>
      </c>
      <c r="K928" t="s">
        <v>792</v>
      </c>
      <c r="L928">
        <v>2</v>
      </c>
    </row>
    <row r="929" spans="1:12" x14ac:dyDescent="0.25">
      <c r="A929" t="s">
        <v>4533</v>
      </c>
      <c r="B929" t="s">
        <v>3805</v>
      </c>
      <c r="C929">
        <v>40105</v>
      </c>
      <c r="D929" t="s">
        <v>754</v>
      </c>
      <c r="E929">
        <v>7</v>
      </c>
      <c r="F929" t="s">
        <v>2207</v>
      </c>
      <c r="G929" t="s">
        <v>3834</v>
      </c>
      <c r="H929" t="s">
        <v>3875</v>
      </c>
      <c r="I929" t="s">
        <v>3876</v>
      </c>
      <c r="K929" t="s">
        <v>792</v>
      </c>
      <c r="L929">
        <v>2</v>
      </c>
    </row>
    <row r="930" spans="1:12" x14ac:dyDescent="0.25">
      <c r="A930" t="s">
        <v>4533</v>
      </c>
      <c r="B930" t="s">
        <v>3805</v>
      </c>
      <c r="C930">
        <v>40105</v>
      </c>
      <c r="D930" t="s">
        <v>754</v>
      </c>
      <c r="E930">
        <v>7</v>
      </c>
      <c r="F930" t="s">
        <v>1371</v>
      </c>
      <c r="G930" t="s">
        <v>3847</v>
      </c>
      <c r="H930" t="s">
        <v>3877</v>
      </c>
      <c r="I930" t="s">
        <v>3878</v>
      </c>
      <c r="K930" t="s">
        <v>792</v>
      </c>
      <c r="L930">
        <v>2</v>
      </c>
    </row>
    <row r="931" spans="1:12" x14ac:dyDescent="0.25">
      <c r="A931" t="s">
        <v>4533</v>
      </c>
      <c r="B931" t="s">
        <v>3805</v>
      </c>
      <c r="C931">
        <v>40105</v>
      </c>
      <c r="D931" t="s">
        <v>754</v>
      </c>
      <c r="E931">
        <v>7</v>
      </c>
      <c r="F931" t="s">
        <v>3843</v>
      </c>
      <c r="G931" t="s">
        <v>3844</v>
      </c>
      <c r="H931" t="s">
        <v>3879</v>
      </c>
      <c r="I931" t="s">
        <v>3880</v>
      </c>
      <c r="K931" t="s">
        <v>792</v>
      </c>
      <c r="L931">
        <v>2</v>
      </c>
    </row>
    <row r="932" spans="1:12" x14ac:dyDescent="0.25">
      <c r="A932" t="s">
        <v>739</v>
      </c>
      <c r="B932" t="s">
        <v>3805</v>
      </c>
      <c r="C932">
        <v>40100</v>
      </c>
      <c r="D932" t="s">
        <v>739</v>
      </c>
      <c r="E932">
        <v>8</v>
      </c>
      <c r="F932" t="s">
        <v>3698</v>
      </c>
      <c r="G932" t="s">
        <v>3864</v>
      </c>
      <c r="H932" t="s">
        <v>3881</v>
      </c>
      <c r="I932" t="s">
        <v>3701</v>
      </c>
      <c r="K932" t="s">
        <v>792</v>
      </c>
      <c r="L932">
        <v>2</v>
      </c>
    </row>
    <row r="933" spans="1:12" x14ac:dyDescent="0.25">
      <c r="A933" t="s">
        <v>739</v>
      </c>
      <c r="B933" t="s">
        <v>3805</v>
      </c>
      <c r="C933">
        <v>40100</v>
      </c>
      <c r="D933" t="s">
        <v>739</v>
      </c>
      <c r="E933">
        <v>8</v>
      </c>
      <c r="F933" t="s">
        <v>2207</v>
      </c>
      <c r="G933" t="s">
        <v>3834</v>
      </c>
      <c r="H933" t="s">
        <v>3882</v>
      </c>
      <c r="I933" t="s">
        <v>3883</v>
      </c>
      <c r="K933" t="s">
        <v>792</v>
      </c>
      <c r="L933">
        <v>2</v>
      </c>
    </row>
    <row r="934" spans="1:12" x14ac:dyDescent="0.25">
      <c r="A934" t="s">
        <v>739</v>
      </c>
      <c r="B934" t="s">
        <v>3805</v>
      </c>
      <c r="C934">
        <v>40100</v>
      </c>
      <c r="D934" t="s">
        <v>739</v>
      </c>
      <c r="E934">
        <v>8</v>
      </c>
      <c r="F934" t="s">
        <v>3837</v>
      </c>
      <c r="G934" t="s">
        <v>3838</v>
      </c>
      <c r="H934" t="s">
        <v>3884</v>
      </c>
      <c r="I934" t="s">
        <v>3885</v>
      </c>
      <c r="K934" t="s">
        <v>792</v>
      </c>
      <c r="L934">
        <v>2</v>
      </c>
    </row>
    <row r="935" spans="1:12" x14ac:dyDescent="0.25">
      <c r="A935" t="s">
        <v>739</v>
      </c>
      <c r="B935" t="s">
        <v>3805</v>
      </c>
      <c r="C935">
        <v>40100</v>
      </c>
      <c r="D935" t="s">
        <v>739</v>
      </c>
      <c r="E935">
        <v>8</v>
      </c>
      <c r="F935" t="s">
        <v>3843</v>
      </c>
      <c r="G935" t="s">
        <v>3844</v>
      </c>
      <c r="H935" t="s">
        <v>3886</v>
      </c>
      <c r="I935" t="s">
        <v>3887</v>
      </c>
      <c r="K935" t="s">
        <v>792</v>
      </c>
      <c r="L935">
        <v>2</v>
      </c>
    </row>
    <row r="936" spans="1:12" x14ac:dyDescent="0.25">
      <c r="A936" t="s">
        <v>4534</v>
      </c>
      <c r="B936" t="s">
        <v>3805</v>
      </c>
      <c r="C936">
        <v>20202</v>
      </c>
      <c r="D936" t="s">
        <v>92</v>
      </c>
      <c r="E936">
        <v>4</v>
      </c>
      <c r="F936" t="s">
        <v>3888</v>
      </c>
      <c r="G936" t="s">
        <v>3889</v>
      </c>
      <c r="H936" t="s">
        <v>3890</v>
      </c>
      <c r="I936" t="s">
        <v>3891</v>
      </c>
      <c r="K936" t="s">
        <v>792</v>
      </c>
      <c r="L936">
        <v>2</v>
      </c>
    </row>
    <row r="937" spans="1:12" x14ac:dyDescent="0.25">
      <c r="A937" t="s">
        <v>4534</v>
      </c>
      <c r="B937" t="s">
        <v>3805</v>
      </c>
      <c r="C937">
        <v>20202</v>
      </c>
      <c r="D937" t="s">
        <v>92</v>
      </c>
      <c r="E937">
        <v>4</v>
      </c>
      <c r="F937" t="s">
        <v>961</v>
      </c>
      <c r="G937" t="s">
        <v>1332</v>
      </c>
      <c r="H937" t="s">
        <v>3892</v>
      </c>
      <c r="I937" t="s">
        <v>3893</v>
      </c>
      <c r="K937" t="s">
        <v>792</v>
      </c>
      <c r="L937">
        <v>2</v>
      </c>
    </row>
    <row r="938" spans="1:12" x14ac:dyDescent="0.25">
      <c r="A938" t="s">
        <v>4534</v>
      </c>
      <c r="B938" t="s">
        <v>3805</v>
      </c>
      <c r="C938">
        <v>20202</v>
      </c>
      <c r="D938" t="s">
        <v>92</v>
      </c>
      <c r="E938">
        <v>4</v>
      </c>
      <c r="F938" t="s">
        <v>2207</v>
      </c>
      <c r="G938" t="s">
        <v>1247</v>
      </c>
      <c r="H938" t="s">
        <v>3894</v>
      </c>
      <c r="I938" t="s">
        <v>3895</v>
      </c>
      <c r="K938" t="s">
        <v>792</v>
      </c>
      <c r="L938">
        <v>2</v>
      </c>
    </row>
    <row r="939" spans="1:12" x14ac:dyDescent="0.25">
      <c r="A939" t="s">
        <v>4534</v>
      </c>
      <c r="B939" t="s">
        <v>3805</v>
      </c>
      <c r="C939">
        <v>20202</v>
      </c>
      <c r="D939" t="s">
        <v>92</v>
      </c>
      <c r="E939">
        <v>4</v>
      </c>
      <c r="F939" t="s">
        <v>873</v>
      </c>
      <c r="G939" t="s">
        <v>1340</v>
      </c>
      <c r="H939" t="s">
        <v>3896</v>
      </c>
      <c r="I939" t="s">
        <v>3897</v>
      </c>
      <c r="K939" t="s">
        <v>792</v>
      </c>
      <c r="L939">
        <v>2</v>
      </c>
    </row>
    <row r="940" spans="1:12" x14ac:dyDescent="0.25">
      <c r="A940" t="s">
        <v>4535</v>
      </c>
      <c r="B940" t="s">
        <v>3805</v>
      </c>
      <c r="C940">
        <v>20203</v>
      </c>
      <c r="D940" t="s">
        <v>89</v>
      </c>
      <c r="E940">
        <v>5</v>
      </c>
      <c r="F940" t="s">
        <v>3888</v>
      </c>
      <c r="G940" t="s">
        <v>3898</v>
      </c>
      <c r="H940" t="s">
        <v>3899</v>
      </c>
      <c r="I940" t="s">
        <v>3900</v>
      </c>
      <c r="K940" t="s">
        <v>792</v>
      </c>
      <c r="L940">
        <v>2</v>
      </c>
    </row>
    <row r="941" spans="1:12" x14ac:dyDescent="0.25">
      <c r="A941" t="s">
        <v>4535</v>
      </c>
      <c r="B941" t="s">
        <v>3805</v>
      </c>
      <c r="C941">
        <v>20203</v>
      </c>
      <c r="D941" t="s">
        <v>89</v>
      </c>
      <c r="E941">
        <v>5</v>
      </c>
      <c r="F941" t="s">
        <v>961</v>
      </c>
      <c r="G941" t="s">
        <v>1332</v>
      </c>
      <c r="H941" t="s">
        <v>3901</v>
      </c>
      <c r="I941" t="s">
        <v>3902</v>
      </c>
      <c r="K941" t="s">
        <v>792</v>
      </c>
      <c r="L941">
        <v>2</v>
      </c>
    </row>
    <row r="942" spans="1:12" x14ac:dyDescent="0.25">
      <c r="A942" t="s">
        <v>4535</v>
      </c>
      <c r="B942" t="s">
        <v>3805</v>
      </c>
      <c r="C942">
        <v>20203</v>
      </c>
      <c r="D942" t="s">
        <v>89</v>
      </c>
      <c r="E942">
        <v>5</v>
      </c>
      <c r="F942" t="s">
        <v>2207</v>
      </c>
      <c r="G942" t="s">
        <v>1247</v>
      </c>
      <c r="H942" t="s">
        <v>3903</v>
      </c>
      <c r="I942" t="s">
        <v>3904</v>
      </c>
      <c r="K942" t="s">
        <v>792</v>
      </c>
      <c r="L942">
        <v>2</v>
      </c>
    </row>
    <row r="943" spans="1:12" x14ac:dyDescent="0.25">
      <c r="A943" t="s">
        <v>4536</v>
      </c>
      <c r="B943" t="s">
        <v>3805</v>
      </c>
      <c r="C943">
        <v>20204</v>
      </c>
      <c r="D943" t="s">
        <v>750</v>
      </c>
      <c r="E943">
        <v>6</v>
      </c>
      <c r="F943" t="s">
        <v>3888</v>
      </c>
      <c r="G943" t="s">
        <v>3905</v>
      </c>
      <c r="H943" t="s">
        <v>3906</v>
      </c>
      <c r="I943" t="s">
        <v>3907</v>
      </c>
      <c r="K943" t="s">
        <v>792</v>
      </c>
      <c r="L943">
        <v>2</v>
      </c>
    </row>
    <row r="944" spans="1:12" x14ac:dyDescent="0.25">
      <c r="A944" t="s">
        <v>4536</v>
      </c>
      <c r="B944" t="s">
        <v>3805</v>
      </c>
      <c r="C944">
        <v>20204</v>
      </c>
      <c r="D944" t="s">
        <v>750</v>
      </c>
      <c r="E944">
        <v>6</v>
      </c>
      <c r="F944" t="s">
        <v>961</v>
      </c>
      <c r="G944" t="s">
        <v>1332</v>
      </c>
      <c r="H944" t="s">
        <v>3908</v>
      </c>
      <c r="I944" t="s">
        <v>3909</v>
      </c>
      <c r="K944" t="s">
        <v>792</v>
      </c>
      <c r="L944">
        <v>2</v>
      </c>
    </row>
    <row r="945" spans="1:12" x14ac:dyDescent="0.25">
      <c r="A945" t="s">
        <v>4536</v>
      </c>
      <c r="B945" t="s">
        <v>3805</v>
      </c>
      <c r="C945">
        <v>20204</v>
      </c>
      <c r="D945" t="s">
        <v>750</v>
      </c>
      <c r="E945">
        <v>6</v>
      </c>
      <c r="F945" t="s">
        <v>2207</v>
      </c>
      <c r="G945" t="s">
        <v>1247</v>
      </c>
      <c r="H945" t="s">
        <v>3910</v>
      </c>
      <c r="I945" t="s">
        <v>3911</v>
      </c>
      <c r="K945" t="s">
        <v>792</v>
      </c>
      <c r="L945">
        <v>2</v>
      </c>
    </row>
    <row r="946" spans="1:12" x14ac:dyDescent="0.25">
      <c r="A946" t="s">
        <v>4537</v>
      </c>
      <c r="B946" t="s">
        <v>3805</v>
      </c>
      <c r="C946">
        <v>20205</v>
      </c>
      <c r="D946" t="s">
        <v>751</v>
      </c>
      <c r="E946">
        <v>7</v>
      </c>
      <c r="F946" t="s">
        <v>3888</v>
      </c>
      <c r="G946" t="s">
        <v>3905</v>
      </c>
      <c r="H946" t="s">
        <v>3912</v>
      </c>
      <c r="I946" t="s">
        <v>3913</v>
      </c>
      <c r="K946" t="s">
        <v>792</v>
      </c>
      <c r="L946">
        <v>2</v>
      </c>
    </row>
    <row r="947" spans="1:12" x14ac:dyDescent="0.25">
      <c r="A947" t="s">
        <v>4537</v>
      </c>
      <c r="B947" t="s">
        <v>3805</v>
      </c>
      <c r="C947">
        <v>20205</v>
      </c>
      <c r="D947" t="s">
        <v>751</v>
      </c>
      <c r="E947">
        <v>7</v>
      </c>
      <c r="F947" t="s">
        <v>961</v>
      </c>
      <c r="G947" t="s">
        <v>1332</v>
      </c>
      <c r="H947" t="s">
        <v>3914</v>
      </c>
      <c r="I947" t="s">
        <v>3915</v>
      </c>
      <c r="K947" t="s">
        <v>792</v>
      </c>
      <c r="L947">
        <v>2</v>
      </c>
    </row>
    <row r="948" spans="1:12" x14ac:dyDescent="0.25">
      <c r="A948" t="s">
        <v>4537</v>
      </c>
      <c r="B948" t="s">
        <v>3805</v>
      </c>
      <c r="C948">
        <v>20205</v>
      </c>
      <c r="D948" t="s">
        <v>751</v>
      </c>
      <c r="E948">
        <v>7</v>
      </c>
      <c r="F948" t="s">
        <v>2207</v>
      </c>
      <c r="G948" t="s">
        <v>1247</v>
      </c>
      <c r="H948" t="s">
        <v>3916</v>
      </c>
      <c r="I948" t="s">
        <v>3917</v>
      </c>
      <c r="K948" t="s">
        <v>792</v>
      </c>
      <c r="L948">
        <v>2</v>
      </c>
    </row>
    <row r="949" spans="1:12" x14ac:dyDescent="0.25">
      <c r="A949" t="s">
        <v>4538</v>
      </c>
      <c r="B949" t="s">
        <v>3805</v>
      </c>
      <c r="C949">
        <v>20206</v>
      </c>
      <c r="D949" t="s">
        <v>85</v>
      </c>
      <c r="E949">
        <v>8</v>
      </c>
      <c r="F949" t="s">
        <v>3888</v>
      </c>
      <c r="G949" t="s">
        <v>3905</v>
      </c>
      <c r="H949" t="s">
        <v>3918</v>
      </c>
      <c r="I949" t="s">
        <v>3919</v>
      </c>
      <c r="K949" t="s">
        <v>792</v>
      </c>
      <c r="L949">
        <v>2</v>
      </c>
    </row>
    <row r="950" spans="1:12" x14ac:dyDescent="0.25">
      <c r="A950" t="s">
        <v>4538</v>
      </c>
      <c r="B950" t="s">
        <v>3805</v>
      </c>
      <c r="C950">
        <v>20206</v>
      </c>
      <c r="D950" t="s">
        <v>85</v>
      </c>
      <c r="E950">
        <v>8</v>
      </c>
      <c r="F950" t="s">
        <v>961</v>
      </c>
      <c r="G950" t="s">
        <v>1332</v>
      </c>
      <c r="H950" t="s">
        <v>3920</v>
      </c>
      <c r="I950" t="s">
        <v>3921</v>
      </c>
      <c r="K950" t="s">
        <v>792</v>
      </c>
      <c r="L950">
        <v>2</v>
      </c>
    </row>
    <row r="951" spans="1:12" x14ac:dyDescent="0.25">
      <c r="A951" t="s">
        <v>4538</v>
      </c>
      <c r="B951" t="s">
        <v>3805</v>
      </c>
      <c r="C951">
        <v>20206</v>
      </c>
      <c r="D951" t="s">
        <v>85</v>
      </c>
      <c r="E951">
        <v>8</v>
      </c>
      <c r="F951" t="s">
        <v>2207</v>
      </c>
      <c r="G951" t="s">
        <v>1247</v>
      </c>
      <c r="H951" t="s">
        <v>3922</v>
      </c>
      <c r="I951" t="s">
        <v>3923</v>
      </c>
      <c r="K951" t="s">
        <v>792</v>
      </c>
      <c r="L951">
        <v>2</v>
      </c>
    </row>
    <row r="952" spans="1:12" x14ac:dyDescent="0.25">
      <c r="A952" t="s">
        <v>4508</v>
      </c>
      <c r="B952" t="s">
        <v>3805</v>
      </c>
      <c r="C952" t="s">
        <v>3924</v>
      </c>
      <c r="D952" t="s">
        <v>3925</v>
      </c>
      <c r="E952">
        <v>9</v>
      </c>
      <c r="F952" t="s">
        <v>3214</v>
      </c>
      <c r="G952" t="s">
        <v>1239</v>
      </c>
      <c r="H952" t="s">
        <v>3926</v>
      </c>
      <c r="I952" t="s">
        <v>3927</v>
      </c>
      <c r="K952" t="s">
        <v>792</v>
      </c>
      <c r="L952">
        <v>2</v>
      </c>
    </row>
    <row r="953" spans="1:12" x14ac:dyDescent="0.25">
      <c r="A953" t="s">
        <v>4508</v>
      </c>
      <c r="B953" t="s">
        <v>3805</v>
      </c>
      <c r="C953" t="s">
        <v>3924</v>
      </c>
      <c r="D953" t="s">
        <v>3925</v>
      </c>
      <c r="E953">
        <v>9</v>
      </c>
      <c r="F953" t="s">
        <v>3621</v>
      </c>
      <c r="G953" t="s">
        <v>3928</v>
      </c>
      <c r="H953" t="s">
        <v>3929</v>
      </c>
      <c r="I953" t="s">
        <v>3930</v>
      </c>
      <c r="K953" t="s">
        <v>792</v>
      </c>
      <c r="L953">
        <v>2</v>
      </c>
    </row>
    <row r="954" spans="1:12" x14ac:dyDescent="0.25">
      <c r="A954" t="s">
        <v>4508</v>
      </c>
      <c r="B954" t="s">
        <v>3805</v>
      </c>
      <c r="C954" t="s">
        <v>3924</v>
      </c>
      <c r="D954" t="s">
        <v>3925</v>
      </c>
      <c r="E954">
        <v>9</v>
      </c>
      <c r="F954" t="s">
        <v>3888</v>
      </c>
      <c r="G954" t="s">
        <v>3931</v>
      </c>
      <c r="H954" t="s">
        <v>3932</v>
      </c>
      <c r="I954" t="s">
        <v>3933</v>
      </c>
      <c r="K954" t="s">
        <v>792</v>
      </c>
      <c r="L954">
        <v>2</v>
      </c>
    </row>
    <row r="955" spans="1:12" x14ac:dyDescent="0.25">
      <c r="A955" t="s">
        <v>4508</v>
      </c>
      <c r="B955" t="s">
        <v>3805</v>
      </c>
      <c r="C955" t="s">
        <v>3924</v>
      </c>
      <c r="D955" t="s">
        <v>3925</v>
      </c>
      <c r="E955">
        <v>9</v>
      </c>
      <c r="F955" t="s">
        <v>3934</v>
      </c>
      <c r="G955" t="s">
        <v>3935</v>
      </c>
      <c r="H955" t="s">
        <v>3936</v>
      </c>
      <c r="I955" t="s">
        <v>3937</v>
      </c>
      <c r="K955" t="s">
        <v>792</v>
      </c>
      <c r="L955">
        <v>2</v>
      </c>
    </row>
    <row r="956" spans="1:12" x14ac:dyDescent="0.25">
      <c r="A956" t="s">
        <v>4508</v>
      </c>
      <c r="B956" t="s">
        <v>3805</v>
      </c>
      <c r="C956" t="s">
        <v>3924</v>
      </c>
      <c r="D956" t="s">
        <v>3925</v>
      </c>
      <c r="E956">
        <v>9</v>
      </c>
      <c r="F956" t="s">
        <v>3605</v>
      </c>
      <c r="G956" t="s">
        <v>3606</v>
      </c>
      <c r="H956" t="s">
        <v>3938</v>
      </c>
      <c r="I956" t="s">
        <v>3939</v>
      </c>
      <c r="K956" t="s">
        <v>792</v>
      </c>
      <c r="L956">
        <v>2</v>
      </c>
    </row>
    <row r="957" spans="1:12" x14ac:dyDescent="0.25">
      <c r="A957" t="s">
        <v>4508</v>
      </c>
      <c r="B957" t="s">
        <v>3805</v>
      </c>
      <c r="C957" t="s">
        <v>3924</v>
      </c>
      <c r="D957" t="s">
        <v>3925</v>
      </c>
      <c r="E957">
        <v>9</v>
      </c>
      <c r="F957" t="s">
        <v>1237</v>
      </c>
      <c r="G957" t="s">
        <v>3940</v>
      </c>
      <c r="H957" t="s">
        <v>3941</v>
      </c>
      <c r="I957" t="s">
        <v>3942</v>
      </c>
      <c r="K957" t="s">
        <v>792</v>
      </c>
      <c r="L957">
        <v>2</v>
      </c>
    </row>
    <row r="958" spans="1:12" x14ac:dyDescent="0.25">
      <c r="A958" t="s">
        <v>4508</v>
      </c>
      <c r="B958" t="s">
        <v>3805</v>
      </c>
      <c r="C958" t="s">
        <v>3924</v>
      </c>
      <c r="D958" t="s">
        <v>3925</v>
      </c>
      <c r="E958">
        <v>9</v>
      </c>
      <c r="F958" t="s">
        <v>2650</v>
      </c>
      <c r="G958" t="s">
        <v>3943</v>
      </c>
      <c r="H958" t="s">
        <v>3944</v>
      </c>
      <c r="I958" t="s">
        <v>3945</v>
      </c>
      <c r="K958" t="s">
        <v>792</v>
      </c>
      <c r="L958">
        <v>2</v>
      </c>
    </row>
    <row r="959" spans="1:12" x14ac:dyDescent="0.25">
      <c r="A959" t="s">
        <v>4508</v>
      </c>
      <c r="B959" t="s">
        <v>3805</v>
      </c>
      <c r="C959" t="s">
        <v>3924</v>
      </c>
      <c r="D959" t="s">
        <v>3925</v>
      </c>
      <c r="E959">
        <v>9</v>
      </c>
      <c r="F959" t="s">
        <v>3946</v>
      </c>
      <c r="G959" t="s">
        <v>3947</v>
      </c>
      <c r="H959" t="s">
        <v>3948</v>
      </c>
      <c r="I959" t="s">
        <v>3949</v>
      </c>
      <c r="K959" t="s">
        <v>792</v>
      </c>
      <c r="L959">
        <v>2</v>
      </c>
    </row>
    <row r="960" spans="1:12" x14ac:dyDescent="0.25">
      <c r="A960" t="s">
        <v>4508</v>
      </c>
      <c r="B960" t="s">
        <v>3805</v>
      </c>
      <c r="C960" t="s">
        <v>3924</v>
      </c>
      <c r="D960" t="s">
        <v>3925</v>
      </c>
      <c r="E960">
        <v>9</v>
      </c>
      <c r="F960" t="s">
        <v>3950</v>
      </c>
      <c r="G960" t="s">
        <v>3951</v>
      </c>
      <c r="H960" t="s">
        <v>3952</v>
      </c>
      <c r="I960" t="s">
        <v>3953</v>
      </c>
      <c r="K960" t="s">
        <v>1255</v>
      </c>
      <c r="L960">
        <v>1</v>
      </c>
    </row>
    <row r="961" spans="1:12" x14ac:dyDescent="0.25">
      <c r="A961" t="s">
        <v>4508</v>
      </c>
      <c r="B961" t="s">
        <v>3805</v>
      </c>
      <c r="C961" t="s">
        <v>3924</v>
      </c>
      <c r="D961" t="s">
        <v>3925</v>
      </c>
      <c r="E961">
        <v>9</v>
      </c>
      <c r="F961" t="s">
        <v>3843</v>
      </c>
      <c r="G961" t="s">
        <v>3844</v>
      </c>
      <c r="H961" t="s">
        <v>3954</v>
      </c>
      <c r="I961" t="s">
        <v>3955</v>
      </c>
      <c r="K961" t="s">
        <v>792</v>
      </c>
      <c r="L961">
        <v>2</v>
      </c>
    </row>
    <row r="962" spans="1:12" x14ac:dyDescent="0.25">
      <c r="A962" t="s">
        <v>409</v>
      </c>
      <c r="B962" t="s">
        <v>3805</v>
      </c>
      <c r="C962">
        <v>1110</v>
      </c>
      <c r="D962" t="s">
        <v>409</v>
      </c>
      <c r="E962">
        <v>5</v>
      </c>
      <c r="F962" t="s">
        <v>3956</v>
      </c>
      <c r="G962" t="s">
        <v>3957</v>
      </c>
      <c r="H962" t="s">
        <v>3958</v>
      </c>
      <c r="I962" t="s">
        <v>3959</v>
      </c>
      <c r="J962" t="s">
        <v>3960</v>
      </c>
      <c r="K962" t="s">
        <v>792</v>
      </c>
      <c r="L962">
        <v>2</v>
      </c>
    </row>
    <row r="963" spans="1:12" x14ac:dyDescent="0.25">
      <c r="A963" t="s">
        <v>409</v>
      </c>
      <c r="B963" t="s">
        <v>3805</v>
      </c>
      <c r="C963">
        <v>1110</v>
      </c>
      <c r="D963" t="s">
        <v>409</v>
      </c>
      <c r="E963">
        <v>5</v>
      </c>
      <c r="F963" t="s">
        <v>3956</v>
      </c>
      <c r="G963" t="s">
        <v>3957</v>
      </c>
      <c r="H963" t="s">
        <v>3958</v>
      </c>
      <c r="I963" t="s">
        <v>3959</v>
      </c>
      <c r="J963" t="s">
        <v>3961</v>
      </c>
      <c r="K963" t="s">
        <v>792</v>
      </c>
      <c r="L963">
        <v>2</v>
      </c>
    </row>
    <row r="964" spans="1:12" x14ac:dyDescent="0.25">
      <c r="A964" t="s">
        <v>409</v>
      </c>
      <c r="B964" t="s">
        <v>3805</v>
      </c>
      <c r="C964">
        <v>1110</v>
      </c>
      <c r="D964" t="s">
        <v>409</v>
      </c>
      <c r="E964">
        <v>5</v>
      </c>
      <c r="F964" t="s">
        <v>3962</v>
      </c>
      <c r="G964" t="s">
        <v>3963</v>
      </c>
      <c r="H964" t="s">
        <v>3958</v>
      </c>
      <c r="I964" t="s">
        <v>3964</v>
      </c>
      <c r="J964" t="s">
        <v>3965</v>
      </c>
      <c r="K964" t="s">
        <v>792</v>
      </c>
      <c r="L964">
        <v>2</v>
      </c>
    </row>
    <row r="965" spans="1:12" x14ac:dyDescent="0.25">
      <c r="A965" t="s">
        <v>409</v>
      </c>
      <c r="B965" t="s">
        <v>3805</v>
      </c>
      <c r="C965">
        <v>1110</v>
      </c>
      <c r="D965" t="s">
        <v>409</v>
      </c>
      <c r="E965">
        <v>5</v>
      </c>
      <c r="F965" t="s">
        <v>3962</v>
      </c>
      <c r="G965" t="s">
        <v>3963</v>
      </c>
      <c r="H965" t="s">
        <v>3958</v>
      </c>
      <c r="I965" t="s">
        <v>3966</v>
      </c>
      <c r="J965" t="s">
        <v>3967</v>
      </c>
      <c r="K965" t="s">
        <v>792</v>
      </c>
      <c r="L965">
        <v>2</v>
      </c>
    </row>
    <row r="966" spans="1:12" x14ac:dyDescent="0.25">
      <c r="A966" t="s">
        <v>409</v>
      </c>
      <c r="B966" t="s">
        <v>3805</v>
      </c>
      <c r="C966">
        <v>1110</v>
      </c>
      <c r="D966" t="s">
        <v>409</v>
      </c>
      <c r="E966">
        <v>5</v>
      </c>
      <c r="F966" t="s">
        <v>2975</v>
      </c>
      <c r="G966" t="s">
        <v>3968</v>
      </c>
      <c r="H966" t="s">
        <v>3969</v>
      </c>
      <c r="I966" t="s">
        <v>3970</v>
      </c>
      <c r="J966" t="s">
        <v>3971</v>
      </c>
      <c r="K966" t="s">
        <v>792</v>
      </c>
      <c r="L966">
        <v>2</v>
      </c>
    </row>
    <row r="967" spans="1:12" x14ac:dyDescent="0.25">
      <c r="A967" t="s">
        <v>409</v>
      </c>
      <c r="B967" t="s">
        <v>3805</v>
      </c>
      <c r="C967">
        <v>1110</v>
      </c>
      <c r="D967" t="s">
        <v>409</v>
      </c>
      <c r="E967">
        <v>5</v>
      </c>
      <c r="F967" t="s">
        <v>3214</v>
      </c>
      <c r="G967" t="s">
        <v>3972</v>
      </c>
      <c r="H967" t="s">
        <v>3973</v>
      </c>
      <c r="I967" t="s">
        <v>3974</v>
      </c>
      <c r="J967" t="s">
        <v>3975</v>
      </c>
      <c r="K967" t="s">
        <v>792</v>
      </c>
      <c r="L967">
        <v>2</v>
      </c>
    </row>
    <row r="968" spans="1:12" x14ac:dyDescent="0.25">
      <c r="A968" t="s">
        <v>409</v>
      </c>
      <c r="B968" t="s">
        <v>3805</v>
      </c>
      <c r="C968">
        <v>1110</v>
      </c>
      <c r="D968" t="s">
        <v>409</v>
      </c>
      <c r="E968">
        <v>5</v>
      </c>
      <c r="F968" t="s">
        <v>3976</v>
      </c>
      <c r="G968" t="s">
        <v>3977</v>
      </c>
      <c r="H968" t="s">
        <v>3978</v>
      </c>
      <c r="I968" t="s">
        <v>3979</v>
      </c>
      <c r="J968" t="s">
        <v>1232</v>
      </c>
      <c r="K968" t="s">
        <v>792</v>
      </c>
      <c r="L968">
        <v>2</v>
      </c>
    </row>
    <row r="969" spans="1:12" x14ac:dyDescent="0.25">
      <c r="A969" t="s">
        <v>409</v>
      </c>
      <c r="B969" t="s">
        <v>3805</v>
      </c>
      <c r="C969">
        <v>1110</v>
      </c>
      <c r="D969" t="s">
        <v>409</v>
      </c>
      <c r="E969">
        <v>5</v>
      </c>
      <c r="F969" t="s">
        <v>2519</v>
      </c>
      <c r="G969" t="s">
        <v>3980</v>
      </c>
      <c r="H969" t="s">
        <v>3981</v>
      </c>
      <c r="I969" t="s">
        <v>3982</v>
      </c>
      <c r="J969" t="s">
        <v>1402</v>
      </c>
      <c r="K969" t="s">
        <v>792</v>
      </c>
      <c r="L969">
        <v>2</v>
      </c>
    </row>
    <row r="970" spans="1:12" x14ac:dyDescent="0.25">
      <c r="A970" t="s">
        <v>409</v>
      </c>
      <c r="B970" t="s">
        <v>3805</v>
      </c>
      <c r="C970">
        <v>1110</v>
      </c>
      <c r="D970" t="s">
        <v>409</v>
      </c>
      <c r="E970">
        <v>5</v>
      </c>
      <c r="F970" t="s">
        <v>3983</v>
      </c>
      <c r="G970" t="s">
        <v>3984</v>
      </c>
      <c r="H970" t="s">
        <v>3985</v>
      </c>
      <c r="I970" t="s">
        <v>3986</v>
      </c>
      <c r="J970" t="s">
        <v>3987</v>
      </c>
      <c r="K970" t="s">
        <v>792</v>
      </c>
      <c r="L970">
        <v>2</v>
      </c>
    </row>
    <row r="971" spans="1:12" x14ac:dyDescent="0.25">
      <c r="A971" t="s">
        <v>409</v>
      </c>
      <c r="B971" t="s">
        <v>3805</v>
      </c>
      <c r="C971">
        <v>1110</v>
      </c>
      <c r="D971" t="s">
        <v>409</v>
      </c>
      <c r="E971">
        <v>5</v>
      </c>
      <c r="F971" t="s">
        <v>3988</v>
      </c>
      <c r="G971" t="s">
        <v>3989</v>
      </c>
      <c r="H971" t="s">
        <v>3990</v>
      </c>
      <c r="I971" t="s">
        <v>3991</v>
      </c>
      <c r="J971" t="s">
        <v>3992</v>
      </c>
      <c r="K971" t="s">
        <v>792</v>
      </c>
      <c r="L971">
        <v>2</v>
      </c>
    </row>
    <row r="972" spans="1:12" x14ac:dyDescent="0.25">
      <c r="A972" t="s">
        <v>409</v>
      </c>
      <c r="B972" t="s">
        <v>3805</v>
      </c>
      <c r="C972">
        <v>1110</v>
      </c>
      <c r="D972" t="s">
        <v>409</v>
      </c>
      <c r="E972">
        <v>5</v>
      </c>
      <c r="F972" t="s">
        <v>3993</v>
      </c>
      <c r="G972" t="s">
        <v>2834</v>
      </c>
      <c r="H972" t="s">
        <v>3994</v>
      </c>
      <c r="I972" t="s">
        <v>3995</v>
      </c>
      <c r="J972" t="s">
        <v>1352</v>
      </c>
      <c r="K972" t="s">
        <v>792</v>
      </c>
      <c r="L972">
        <v>2</v>
      </c>
    </row>
    <row r="973" spans="1:12" x14ac:dyDescent="0.25">
      <c r="A973" t="s">
        <v>409</v>
      </c>
      <c r="B973" t="s">
        <v>3805</v>
      </c>
      <c r="C973">
        <v>1110</v>
      </c>
      <c r="D973" t="s">
        <v>409</v>
      </c>
      <c r="E973">
        <v>5</v>
      </c>
      <c r="F973" t="s">
        <v>1392</v>
      </c>
      <c r="G973" t="s">
        <v>3996</v>
      </c>
      <c r="H973" t="s">
        <v>3997</v>
      </c>
      <c r="I973" t="s">
        <v>3998</v>
      </c>
      <c r="J973" t="s">
        <v>3999</v>
      </c>
      <c r="K973" t="s">
        <v>792</v>
      </c>
      <c r="L973">
        <v>2</v>
      </c>
    </row>
    <row r="974" spans="1:12" x14ac:dyDescent="0.25">
      <c r="A974" t="s">
        <v>409</v>
      </c>
      <c r="B974" t="s">
        <v>3805</v>
      </c>
      <c r="C974">
        <v>1110</v>
      </c>
      <c r="D974" t="s">
        <v>409</v>
      </c>
      <c r="E974">
        <v>5</v>
      </c>
      <c r="F974" t="s">
        <v>3401</v>
      </c>
      <c r="G974" t="s">
        <v>4000</v>
      </c>
      <c r="H974" t="s">
        <v>3997</v>
      </c>
      <c r="I974" t="s">
        <v>4001</v>
      </c>
      <c r="J974" t="s">
        <v>4002</v>
      </c>
      <c r="K974" t="s">
        <v>792</v>
      </c>
      <c r="L974">
        <v>2</v>
      </c>
    </row>
    <row r="975" spans="1:12" x14ac:dyDescent="0.25">
      <c r="A975" t="s">
        <v>409</v>
      </c>
      <c r="B975" t="s">
        <v>3805</v>
      </c>
      <c r="C975">
        <v>1110</v>
      </c>
      <c r="D975" t="s">
        <v>409</v>
      </c>
      <c r="E975">
        <v>5</v>
      </c>
      <c r="F975" t="s">
        <v>4003</v>
      </c>
      <c r="G975" t="s">
        <v>4004</v>
      </c>
      <c r="H975" t="s">
        <v>4005</v>
      </c>
      <c r="I975" t="s">
        <v>4006</v>
      </c>
      <c r="J975" t="s">
        <v>4007</v>
      </c>
      <c r="K975" t="s">
        <v>792</v>
      </c>
      <c r="L975">
        <v>2</v>
      </c>
    </row>
    <row r="976" spans="1:12" x14ac:dyDescent="0.25">
      <c r="A976" t="s">
        <v>409</v>
      </c>
      <c r="B976" t="s">
        <v>3805</v>
      </c>
      <c r="C976">
        <v>1110</v>
      </c>
      <c r="D976" t="s">
        <v>409</v>
      </c>
      <c r="E976">
        <v>5</v>
      </c>
      <c r="F976" t="s">
        <v>1417</v>
      </c>
      <c r="G976" t="s">
        <v>4008</v>
      </c>
      <c r="H976" t="s">
        <v>4009</v>
      </c>
      <c r="I976" t="s">
        <v>4010</v>
      </c>
      <c r="J976" t="s">
        <v>1416</v>
      </c>
      <c r="K976" t="s">
        <v>792</v>
      </c>
      <c r="L976">
        <v>2</v>
      </c>
    </row>
    <row r="977" spans="1:12" x14ac:dyDescent="0.25">
      <c r="A977" t="s">
        <v>409</v>
      </c>
      <c r="B977" t="s">
        <v>3805</v>
      </c>
      <c r="C977">
        <v>1110</v>
      </c>
      <c r="D977" t="s">
        <v>409</v>
      </c>
      <c r="E977">
        <v>5</v>
      </c>
      <c r="F977" t="s">
        <v>2442</v>
      </c>
      <c r="G977" t="s">
        <v>4011</v>
      </c>
      <c r="H977" t="s">
        <v>4012</v>
      </c>
      <c r="I977" t="s">
        <v>4013</v>
      </c>
      <c r="J977" t="s">
        <v>4014</v>
      </c>
      <c r="K977" t="s">
        <v>792</v>
      </c>
      <c r="L977">
        <v>2</v>
      </c>
    </row>
    <row r="978" spans="1:12" x14ac:dyDescent="0.25">
      <c r="A978" t="s">
        <v>409</v>
      </c>
      <c r="B978" t="s">
        <v>3805</v>
      </c>
      <c r="C978">
        <v>1110</v>
      </c>
      <c r="D978" t="s">
        <v>409</v>
      </c>
      <c r="E978">
        <v>5</v>
      </c>
      <c r="F978" t="s">
        <v>4015</v>
      </c>
      <c r="G978" t="s">
        <v>4016</v>
      </c>
      <c r="H978" t="s">
        <v>4017</v>
      </c>
      <c r="I978" t="s">
        <v>4018</v>
      </c>
      <c r="J978" t="s">
        <v>4019</v>
      </c>
      <c r="K978" t="s">
        <v>792</v>
      </c>
      <c r="L978">
        <v>2</v>
      </c>
    </row>
    <row r="979" spans="1:12" x14ac:dyDescent="0.25">
      <c r="A979" t="s">
        <v>409</v>
      </c>
      <c r="B979" t="s">
        <v>3805</v>
      </c>
      <c r="C979">
        <v>1110</v>
      </c>
      <c r="D979" t="s">
        <v>409</v>
      </c>
      <c r="E979">
        <v>5</v>
      </c>
      <c r="F979" t="s">
        <v>3719</v>
      </c>
      <c r="G979" t="s">
        <v>4020</v>
      </c>
      <c r="H979" t="s">
        <v>4021</v>
      </c>
      <c r="I979" t="s">
        <v>4022</v>
      </c>
      <c r="J979" t="s">
        <v>4023</v>
      </c>
      <c r="K979" t="s">
        <v>792</v>
      </c>
      <c r="L979">
        <v>2</v>
      </c>
    </row>
    <row r="980" spans="1:12" x14ac:dyDescent="0.25">
      <c r="A980" t="s">
        <v>409</v>
      </c>
      <c r="B980" t="s">
        <v>3805</v>
      </c>
      <c r="C980">
        <v>1110</v>
      </c>
      <c r="D980" t="s">
        <v>409</v>
      </c>
      <c r="E980">
        <v>5</v>
      </c>
      <c r="F980" t="s">
        <v>3203</v>
      </c>
      <c r="G980" t="s">
        <v>4024</v>
      </c>
      <c r="H980" t="s">
        <v>4025</v>
      </c>
      <c r="I980" t="s">
        <v>4026</v>
      </c>
      <c r="J980" t="s">
        <v>4027</v>
      </c>
      <c r="K980" t="s">
        <v>792</v>
      </c>
      <c r="L980">
        <v>2</v>
      </c>
    </row>
    <row r="981" spans="1:12" x14ac:dyDescent="0.25">
      <c r="A981" t="s">
        <v>409</v>
      </c>
      <c r="B981" t="s">
        <v>3805</v>
      </c>
      <c r="C981">
        <v>1110</v>
      </c>
      <c r="D981" t="s">
        <v>409</v>
      </c>
      <c r="E981">
        <v>5</v>
      </c>
      <c r="F981" t="s">
        <v>3562</v>
      </c>
      <c r="G981" t="s">
        <v>4028</v>
      </c>
      <c r="H981" t="s">
        <v>4029</v>
      </c>
      <c r="I981" t="s">
        <v>4030</v>
      </c>
      <c r="J981" t="s">
        <v>4031</v>
      </c>
      <c r="K981" t="s">
        <v>792</v>
      </c>
      <c r="L981">
        <v>2</v>
      </c>
    </row>
    <row r="982" spans="1:12" x14ac:dyDescent="0.25">
      <c r="A982" t="s">
        <v>409</v>
      </c>
      <c r="B982" t="s">
        <v>3805</v>
      </c>
      <c r="C982">
        <v>1110</v>
      </c>
      <c r="D982" t="s">
        <v>409</v>
      </c>
      <c r="E982">
        <v>5</v>
      </c>
      <c r="F982" t="s">
        <v>953</v>
      </c>
      <c r="G982" t="s">
        <v>4032</v>
      </c>
      <c r="H982" t="s">
        <v>4033</v>
      </c>
      <c r="I982" t="s">
        <v>4034</v>
      </c>
      <c r="J982" t="s">
        <v>4035</v>
      </c>
      <c r="K982" t="s">
        <v>792</v>
      </c>
      <c r="L982">
        <v>2</v>
      </c>
    </row>
    <row r="983" spans="1:12" x14ac:dyDescent="0.25">
      <c r="A983" t="s">
        <v>409</v>
      </c>
      <c r="B983" t="s">
        <v>3805</v>
      </c>
      <c r="C983">
        <v>1110</v>
      </c>
      <c r="D983" t="s">
        <v>409</v>
      </c>
      <c r="E983">
        <v>5</v>
      </c>
      <c r="F983" t="s">
        <v>4036</v>
      </c>
      <c r="G983" t="s">
        <v>4037</v>
      </c>
      <c r="H983" t="s">
        <v>4038</v>
      </c>
      <c r="I983" t="s">
        <v>4039</v>
      </c>
      <c r="J983" t="s">
        <v>4040</v>
      </c>
      <c r="K983" t="s">
        <v>792</v>
      </c>
      <c r="L983">
        <v>2</v>
      </c>
    </row>
    <row r="984" spans="1:12" x14ac:dyDescent="0.25">
      <c r="A984" t="s">
        <v>409</v>
      </c>
      <c r="B984" t="s">
        <v>3805</v>
      </c>
      <c r="C984">
        <v>1110</v>
      </c>
      <c r="D984" t="s">
        <v>409</v>
      </c>
      <c r="E984">
        <v>5</v>
      </c>
      <c r="F984" t="s">
        <v>4041</v>
      </c>
      <c r="G984" t="s">
        <v>1231</v>
      </c>
      <c r="H984" t="s">
        <v>4042</v>
      </c>
      <c r="I984" t="s">
        <v>4043</v>
      </c>
      <c r="J984" t="s">
        <v>4044</v>
      </c>
      <c r="K984" t="s">
        <v>792</v>
      </c>
      <c r="L984">
        <v>2</v>
      </c>
    </row>
    <row r="985" spans="1:12" x14ac:dyDescent="0.25">
      <c r="A985" t="s">
        <v>4509</v>
      </c>
      <c r="B985" t="s">
        <v>3805</v>
      </c>
      <c r="C985">
        <v>2110</v>
      </c>
      <c r="D985" t="s">
        <v>672</v>
      </c>
      <c r="E985">
        <v>5</v>
      </c>
      <c r="F985" t="s">
        <v>4045</v>
      </c>
      <c r="G985" t="s">
        <v>4046</v>
      </c>
      <c r="H985" t="s">
        <v>4047</v>
      </c>
      <c r="I985" t="s">
        <v>4048</v>
      </c>
      <c r="J985" t="s">
        <v>4049</v>
      </c>
      <c r="K985" t="s">
        <v>792</v>
      </c>
      <c r="L985">
        <v>2</v>
      </c>
    </row>
    <row r="986" spans="1:12" x14ac:dyDescent="0.25">
      <c r="A986" t="s">
        <v>4510</v>
      </c>
      <c r="B986" t="s">
        <v>3805</v>
      </c>
      <c r="C986">
        <v>2110</v>
      </c>
      <c r="D986" t="s">
        <v>672</v>
      </c>
      <c r="E986">
        <v>5</v>
      </c>
      <c r="F986" t="s">
        <v>3621</v>
      </c>
      <c r="G986" t="s">
        <v>3928</v>
      </c>
      <c r="H986" t="s">
        <v>4047</v>
      </c>
      <c r="I986" t="s">
        <v>4050</v>
      </c>
      <c r="J986" t="s">
        <v>4051</v>
      </c>
      <c r="K986" t="s">
        <v>792</v>
      </c>
      <c r="L986">
        <v>2</v>
      </c>
    </row>
    <row r="987" spans="1:12" x14ac:dyDescent="0.25">
      <c r="A987" t="s">
        <v>4511</v>
      </c>
      <c r="B987" t="s">
        <v>3805</v>
      </c>
      <c r="C987">
        <v>2110</v>
      </c>
      <c r="D987" t="s">
        <v>672</v>
      </c>
      <c r="E987">
        <v>5</v>
      </c>
      <c r="F987" t="s">
        <v>4052</v>
      </c>
      <c r="G987" t="s">
        <v>4053</v>
      </c>
      <c r="H987" t="s">
        <v>4047</v>
      </c>
      <c r="I987" t="s">
        <v>4054</v>
      </c>
      <c r="J987" t="s">
        <v>4055</v>
      </c>
      <c r="K987" t="s">
        <v>792</v>
      </c>
      <c r="L987">
        <v>2</v>
      </c>
    </row>
    <row r="988" spans="1:12" x14ac:dyDescent="0.25">
      <c r="A988" t="s">
        <v>4512</v>
      </c>
      <c r="B988" t="s">
        <v>3805</v>
      </c>
      <c r="C988">
        <v>2110</v>
      </c>
      <c r="D988" t="s">
        <v>672</v>
      </c>
      <c r="E988">
        <v>5</v>
      </c>
      <c r="F988" t="s">
        <v>4056</v>
      </c>
      <c r="G988" t="s">
        <v>4057</v>
      </c>
      <c r="H988" t="s">
        <v>4047</v>
      </c>
      <c r="I988" t="s">
        <v>4058</v>
      </c>
      <c r="J988" t="s">
        <v>4059</v>
      </c>
      <c r="K988" t="s">
        <v>792</v>
      </c>
      <c r="L988">
        <v>2</v>
      </c>
    </row>
    <row r="989" spans="1:12" x14ac:dyDescent="0.25">
      <c r="A989" t="s">
        <v>4513</v>
      </c>
      <c r="B989" t="s">
        <v>3805</v>
      </c>
      <c r="C989">
        <v>2110</v>
      </c>
      <c r="D989" t="s">
        <v>672</v>
      </c>
      <c r="E989">
        <v>5</v>
      </c>
      <c r="F989" t="s">
        <v>4060</v>
      </c>
      <c r="G989" t="s">
        <v>4061</v>
      </c>
      <c r="H989" t="s">
        <v>4047</v>
      </c>
      <c r="I989" t="s">
        <v>4062</v>
      </c>
      <c r="J989" t="s">
        <v>4063</v>
      </c>
      <c r="K989" t="s">
        <v>792</v>
      </c>
      <c r="L989">
        <v>2</v>
      </c>
    </row>
    <row r="990" spans="1:12" x14ac:dyDescent="0.25">
      <c r="A990" t="s">
        <v>4514</v>
      </c>
      <c r="B990" t="s">
        <v>3805</v>
      </c>
      <c r="C990">
        <v>2110</v>
      </c>
      <c r="D990" t="s">
        <v>672</v>
      </c>
      <c r="E990">
        <v>5</v>
      </c>
      <c r="F990" t="s">
        <v>4064</v>
      </c>
      <c r="G990" t="s">
        <v>4065</v>
      </c>
      <c r="H990" t="s">
        <v>4066</v>
      </c>
      <c r="I990" t="s">
        <v>4067</v>
      </c>
      <c r="J990" t="s">
        <v>4068</v>
      </c>
      <c r="K990" t="s">
        <v>792</v>
      </c>
      <c r="L990">
        <v>2</v>
      </c>
    </row>
    <row r="991" spans="1:12" x14ac:dyDescent="0.25">
      <c r="A991" t="s">
        <v>4515</v>
      </c>
      <c r="B991" t="s">
        <v>3805</v>
      </c>
      <c r="C991">
        <v>2110</v>
      </c>
      <c r="D991" t="s">
        <v>672</v>
      </c>
      <c r="E991">
        <v>5</v>
      </c>
      <c r="F991" t="s">
        <v>4064</v>
      </c>
      <c r="G991" t="s">
        <v>4065</v>
      </c>
      <c r="H991" t="s">
        <v>4066</v>
      </c>
      <c r="I991" t="s">
        <v>4069</v>
      </c>
      <c r="J991" t="s">
        <v>4070</v>
      </c>
      <c r="K991" t="s">
        <v>792</v>
      </c>
      <c r="L991">
        <v>2</v>
      </c>
    </row>
    <row r="992" spans="1:12" x14ac:dyDescent="0.25">
      <c r="A992" t="s">
        <v>4516</v>
      </c>
      <c r="B992" t="s">
        <v>3805</v>
      </c>
      <c r="C992">
        <v>2110</v>
      </c>
      <c r="D992" t="s">
        <v>672</v>
      </c>
      <c r="E992">
        <v>5</v>
      </c>
      <c r="F992" t="s">
        <v>4064</v>
      </c>
      <c r="G992" t="s">
        <v>4065</v>
      </c>
      <c r="H992" t="s">
        <v>4066</v>
      </c>
      <c r="I992" t="s">
        <v>4071</v>
      </c>
      <c r="J992" t="s">
        <v>4072</v>
      </c>
      <c r="K992" t="s">
        <v>792</v>
      </c>
      <c r="L992">
        <v>2</v>
      </c>
    </row>
    <row r="993" spans="1:12" x14ac:dyDescent="0.25">
      <c r="A993" t="s">
        <v>4517</v>
      </c>
      <c r="B993" t="s">
        <v>3805</v>
      </c>
      <c r="C993">
        <v>2110</v>
      </c>
      <c r="D993" t="s">
        <v>672</v>
      </c>
      <c r="E993">
        <v>5</v>
      </c>
      <c r="F993" t="s">
        <v>4073</v>
      </c>
      <c r="G993" t="s">
        <v>4074</v>
      </c>
      <c r="H993" t="s">
        <v>4066</v>
      </c>
      <c r="I993" t="s">
        <v>4075</v>
      </c>
      <c r="J993" t="s">
        <v>4076</v>
      </c>
      <c r="K993" t="s">
        <v>792</v>
      </c>
      <c r="L993">
        <v>2</v>
      </c>
    </row>
    <row r="994" spans="1:12" x14ac:dyDescent="0.25">
      <c r="A994" t="s">
        <v>4518</v>
      </c>
      <c r="B994" t="s">
        <v>3805</v>
      </c>
      <c r="C994">
        <v>2110</v>
      </c>
      <c r="D994" t="s">
        <v>672</v>
      </c>
      <c r="E994">
        <v>5</v>
      </c>
      <c r="F994" t="s">
        <v>3036</v>
      </c>
      <c r="G994" t="s">
        <v>4077</v>
      </c>
      <c r="H994" t="s">
        <v>4066</v>
      </c>
      <c r="I994" t="s">
        <v>4078</v>
      </c>
      <c r="J994" t="s">
        <v>4079</v>
      </c>
      <c r="K994" t="s">
        <v>792</v>
      </c>
      <c r="L994">
        <v>2</v>
      </c>
    </row>
    <row r="995" spans="1:12" x14ac:dyDescent="0.25">
      <c r="A995" t="s">
        <v>4519</v>
      </c>
      <c r="B995" t="s">
        <v>3805</v>
      </c>
      <c r="C995">
        <v>2110</v>
      </c>
      <c r="D995" t="s">
        <v>672</v>
      </c>
      <c r="E995">
        <v>5</v>
      </c>
      <c r="F995" t="s">
        <v>4080</v>
      </c>
      <c r="G995" t="s">
        <v>4081</v>
      </c>
      <c r="H995" t="s">
        <v>4082</v>
      </c>
      <c r="I995" t="s">
        <v>4083</v>
      </c>
      <c r="J995" t="s">
        <v>4084</v>
      </c>
      <c r="K995" t="s">
        <v>792</v>
      </c>
      <c r="L995">
        <v>2</v>
      </c>
    </row>
    <row r="996" spans="1:12" x14ac:dyDescent="0.25">
      <c r="A996" t="s">
        <v>4520</v>
      </c>
      <c r="B996" t="s">
        <v>3805</v>
      </c>
      <c r="C996">
        <v>2110</v>
      </c>
      <c r="D996" t="s">
        <v>672</v>
      </c>
      <c r="E996">
        <v>5</v>
      </c>
      <c r="F996" t="s">
        <v>4085</v>
      </c>
      <c r="G996" t="s">
        <v>4086</v>
      </c>
      <c r="H996" t="s">
        <v>4082</v>
      </c>
      <c r="I996" t="s">
        <v>4087</v>
      </c>
      <c r="J996" t="s">
        <v>4088</v>
      </c>
      <c r="K996" t="s">
        <v>792</v>
      </c>
      <c r="L996">
        <v>2</v>
      </c>
    </row>
    <row r="997" spans="1:12" x14ac:dyDescent="0.25">
      <c r="A997" t="s">
        <v>4521</v>
      </c>
      <c r="B997" t="s">
        <v>3805</v>
      </c>
      <c r="C997">
        <v>2110</v>
      </c>
      <c r="D997" t="s">
        <v>672</v>
      </c>
      <c r="E997">
        <v>5</v>
      </c>
      <c r="F997" t="s">
        <v>4089</v>
      </c>
      <c r="G997" t="s">
        <v>4090</v>
      </c>
      <c r="H997" t="s">
        <v>4091</v>
      </c>
      <c r="I997" t="s">
        <v>4092</v>
      </c>
      <c r="J997" t="s">
        <v>4093</v>
      </c>
      <c r="K997" t="s">
        <v>792</v>
      </c>
      <c r="L997">
        <v>2</v>
      </c>
    </row>
    <row r="998" spans="1:12" x14ac:dyDescent="0.25">
      <c r="A998" t="s">
        <v>4522</v>
      </c>
      <c r="B998" t="s">
        <v>3805</v>
      </c>
      <c r="C998">
        <v>2110</v>
      </c>
      <c r="D998" t="s">
        <v>672</v>
      </c>
      <c r="E998">
        <v>5</v>
      </c>
      <c r="F998" t="s">
        <v>4094</v>
      </c>
      <c r="G998" t="s">
        <v>4095</v>
      </c>
      <c r="H998" t="s">
        <v>4091</v>
      </c>
      <c r="I998" t="s">
        <v>4096</v>
      </c>
      <c r="J998" t="s">
        <v>4097</v>
      </c>
      <c r="K998" t="s">
        <v>792</v>
      </c>
      <c r="L998">
        <v>2</v>
      </c>
    </row>
    <row r="999" spans="1:12" x14ac:dyDescent="0.25">
      <c r="A999" t="s">
        <v>4523</v>
      </c>
      <c r="B999" t="s">
        <v>3805</v>
      </c>
      <c r="C999">
        <v>2110</v>
      </c>
      <c r="D999" t="s">
        <v>672</v>
      </c>
      <c r="E999">
        <v>5</v>
      </c>
      <c r="F999" t="s">
        <v>4098</v>
      </c>
      <c r="G999" t="s">
        <v>4099</v>
      </c>
      <c r="H999" t="s">
        <v>4091</v>
      </c>
      <c r="I999" t="s">
        <v>4100</v>
      </c>
      <c r="J999" t="s">
        <v>4101</v>
      </c>
      <c r="K999" t="s">
        <v>792</v>
      </c>
      <c r="L999">
        <v>2</v>
      </c>
    </row>
    <row r="1000" spans="1:12" x14ac:dyDescent="0.25">
      <c r="A1000" t="s">
        <v>4524</v>
      </c>
      <c r="B1000" t="s">
        <v>3805</v>
      </c>
      <c r="C1000">
        <v>2110</v>
      </c>
      <c r="D1000" t="s">
        <v>672</v>
      </c>
      <c r="E1000">
        <v>5</v>
      </c>
      <c r="F1000" t="s">
        <v>4102</v>
      </c>
      <c r="G1000" t="s">
        <v>4103</v>
      </c>
      <c r="H1000" t="s">
        <v>4104</v>
      </c>
      <c r="I1000" t="s">
        <v>4105</v>
      </c>
      <c r="J1000" t="s">
        <v>4106</v>
      </c>
      <c r="K1000" t="s">
        <v>792</v>
      </c>
      <c r="L1000">
        <v>2</v>
      </c>
    </row>
    <row r="1001" spans="1:12" x14ac:dyDescent="0.25">
      <c r="A1001" t="s">
        <v>4525</v>
      </c>
      <c r="B1001" t="s">
        <v>3805</v>
      </c>
      <c r="C1001">
        <v>2110</v>
      </c>
      <c r="D1001" t="s">
        <v>672</v>
      </c>
      <c r="E1001">
        <v>5</v>
      </c>
      <c r="F1001" t="s">
        <v>873</v>
      </c>
      <c r="G1001" t="s">
        <v>4107</v>
      </c>
      <c r="H1001" t="s">
        <v>4108</v>
      </c>
      <c r="I1001" t="s">
        <v>4109</v>
      </c>
      <c r="J1001" t="s">
        <v>2470</v>
      </c>
      <c r="K1001" t="s">
        <v>792</v>
      </c>
      <c r="L1001">
        <v>2</v>
      </c>
    </row>
    <row r="1002" spans="1:12" x14ac:dyDescent="0.25">
      <c r="A1002" t="s">
        <v>4526</v>
      </c>
      <c r="B1002" t="s">
        <v>3805</v>
      </c>
      <c r="C1002">
        <v>2110</v>
      </c>
      <c r="D1002" t="s">
        <v>672</v>
      </c>
      <c r="E1002">
        <v>5</v>
      </c>
      <c r="F1002" t="s">
        <v>4110</v>
      </c>
      <c r="G1002" t="s">
        <v>4111</v>
      </c>
      <c r="H1002" t="s">
        <v>4112</v>
      </c>
      <c r="I1002" t="s">
        <v>4113</v>
      </c>
      <c r="J1002" t="s">
        <v>4114</v>
      </c>
      <c r="K1002" t="s">
        <v>792</v>
      </c>
      <c r="L1002">
        <v>2</v>
      </c>
    </row>
    <row r="1003" spans="1:12" x14ac:dyDescent="0.25">
      <c r="A1003" t="s">
        <v>4527</v>
      </c>
      <c r="B1003" t="s">
        <v>3805</v>
      </c>
      <c r="C1003">
        <v>2110</v>
      </c>
      <c r="D1003" t="s">
        <v>672</v>
      </c>
      <c r="E1003">
        <v>5</v>
      </c>
      <c r="F1003" t="s">
        <v>3071</v>
      </c>
      <c r="G1003" t="s">
        <v>3072</v>
      </c>
      <c r="H1003" t="s">
        <v>4112</v>
      </c>
      <c r="I1003" t="s">
        <v>4115</v>
      </c>
      <c r="J1003" t="s">
        <v>4116</v>
      </c>
      <c r="K1003" t="s">
        <v>792</v>
      </c>
      <c r="L1003">
        <v>2</v>
      </c>
    </row>
    <row r="1004" spans="1:12" x14ac:dyDescent="0.25">
      <c r="A1004" t="s">
        <v>4528</v>
      </c>
      <c r="B1004" t="s">
        <v>3805</v>
      </c>
      <c r="C1004">
        <v>2110</v>
      </c>
      <c r="D1004" t="s">
        <v>672</v>
      </c>
      <c r="E1004">
        <v>5</v>
      </c>
      <c r="F1004" t="s">
        <v>953</v>
      </c>
      <c r="G1004" t="s">
        <v>1342</v>
      </c>
      <c r="H1004" t="s">
        <v>4112</v>
      </c>
      <c r="I1004" t="s">
        <v>4117</v>
      </c>
      <c r="J1004" t="s">
        <v>4118</v>
      </c>
      <c r="K1004" t="s">
        <v>792</v>
      </c>
      <c r="L1004">
        <v>2</v>
      </c>
    </row>
    <row r="1005" spans="1:12" x14ac:dyDescent="0.25">
      <c r="A1005" t="s">
        <v>4529</v>
      </c>
      <c r="B1005" t="s">
        <v>3805</v>
      </c>
      <c r="C1005">
        <v>2110</v>
      </c>
      <c r="D1005" t="s">
        <v>672</v>
      </c>
      <c r="E1005">
        <v>5</v>
      </c>
      <c r="F1005" t="s">
        <v>4119</v>
      </c>
      <c r="G1005" t="s">
        <v>4120</v>
      </c>
      <c r="H1005" t="s">
        <v>4112</v>
      </c>
      <c r="I1005" t="s">
        <v>4121</v>
      </c>
      <c r="J1005" t="s">
        <v>4122</v>
      </c>
      <c r="K1005" t="s">
        <v>792</v>
      </c>
      <c r="L1005">
        <v>2</v>
      </c>
    </row>
    <row r="1006" spans="1:12" x14ac:dyDescent="0.25">
      <c r="A1006" t="s">
        <v>4530</v>
      </c>
      <c r="B1006" t="s">
        <v>3805</v>
      </c>
      <c r="C1006">
        <v>2110</v>
      </c>
      <c r="D1006" t="s">
        <v>672</v>
      </c>
      <c r="E1006">
        <v>5</v>
      </c>
      <c r="F1006" t="s">
        <v>2215</v>
      </c>
      <c r="G1006" t="s">
        <v>2216</v>
      </c>
      <c r="H1006" t="s">
        <v>4112</v>
      </c>
      <c r="I1006" t="s">
        <v>4123</v>
      </c>
      <c r="J1006" t="s">
        <v>1413</v>
      </c>
      <c r="K1006" t="s">
        <v>792</v>
      </c>
      <c r="L1006">
        <v>2</v>
      </c>
    </row>
    <row r="1007" spans="1:12" x14ac:dyDescent="0.25">
      <c r="A1007" t="s">
        <v>4125</v>
      </c>
      <c r="B1007" t="s">
        <v>4124</v>
      </c>
      <c r="C1007">
        <v>3200</v>
      </c>
      <c r="D1007" t="s">
        <v>4125</v>
      </c>
      <c r="E1007">
        <v>5</v>
      </c>
      <c r="F1007" t="s">
        <v>2975</v>
      </c>
      <c r="G1007" t="s">
        <v>3968</v>
      </c>
      <c r="H1007" t="s">
        <v>4126</v>
      </c>
      <c r="I1007" t="s">
        <v>4127</v>
      </c>
      <c r="J1007" t="s">
        <v>3971</v>
      </c>
      <c r="K1007" t="s">
        <v>792</v>
      </c>
      <c r="L1007">
        <v>2</v>
      </c>
    </row>
    <row r="1008" spans="1:12" x14ac:dyDescent="0.25">
      <c r="A1008" t="s">
        <v>4125</v>
      </c>
      <c r="B1008" t="s">
        <v>4124</v>
      </c>
      <c r="C1008">
        <v>3200</v>
      </c>
      <c r="D1008" t="s">
        <v>4125</v>
      </c>
      <c r="E1008">
        <v>5</v>
      </c>
      <c r="F1008" t="s">
        <v>1470</v>
      </c>
      <c r="G1008" t="s">
        <v>2426</v>
      </c>
      <c r="H1008" t="s">
        <v>4128</v>
      </c>
      <c r="I1008" t="s">
        <v>4129</v>
      </c>
      <c r="J1008" t="s">
        <v>1453</v>
      </c>
      <c r="K1008" t="s">
        <v>792</v>
      </c>
      <c r="L1008">
        <v>2</v>
      </c>
    </row>
    <row r="1009" spans="1:12" x14ac:dyDescent="0.25">
      <c r="A1009" t="s">
        <v>4125</v>
      </c>
      <c r="B1009" t="s">
        <v>4124</v>
      </c>
      <c r="C1009">
        <v>3200</v>
      </c>
      <c r="D1009" t="s">
        <v>4125</v>
      </c>
      <c r="E1009">
        <v>5</v>
      </c>
      <c r="F1009" t="s">
        <v>1470</v>
      </c>
      <c r="G1009" t="s">
        <v>2426</v>
      </c>
      <c r="H1009" t="s">
        <v>4130</v>
      </c>
      <c r="I1009" t="s">
        <v>4131</v>
      </c>
      <c r="J1009" t="s">
        <v>4132</v>
      </c>
      <c r="K1009" t="s">
        <v>792</v>
      </c>
      <c r="L1009">
        <v>2</v>
      </c>
    </row>
    <row r="1010" spans="1:12" x14ac:dyDescent="0.25">
      <c r="A1010" t="s">
        <v>4125</v>
      </c>
      <c r="B1010" t="s">
        <v>4124</v>
      </c>
      <c r="C1010">
        <v>3200</v>
      </c>
      <c r="D1010" t="s">
        <v>4125</v>
      </c>
      <c r="E1010">
        <v>5</v>
      </c>
      <c r="F1010" t="s">
        <v>2665</v>
      </c>
      <c r="G1010" t="s">
        <v>2666</v>
      </c>
      <c r="H1010" t="s">
        <v>4133</v>
      </c>
      <c r="I1010" t="s">
        <v>4134</v>
      </c>
      <c r="J1010" t="s">
        <v>4135</v>
      </c>
      <c r="K1010" t="s">
        <v>792</v>
      </c>
      <c r="L1010">
        <v>2</v>
      </c>
    </row>
    <row r="1011" spans="1:12" x14ac:dyDescent="0.25">
      <c r="A1011" t="s">
        <v>4125</v>
      </c>
      <c r="B1011" t="s">
        <v>4136</v>
      </c>
      <c r="C1011">
        <v>3200</v>
      </c>
      <c r="D1011" t="s">
        <v>4125</v>
      </c>
      <c r="E1011">
        <v>5</v>
      </c>
      <c r="F1011" t="s">
        <v>4137</v>
      </c>
      <c r="G1011" t="s">
        <v>4138</v>
      </c>
      <c r="H1011" t="s">
        <v>4139</v>
      </c>
      <c r="I1011" t="s">
        <v>4140</v>
      </c>
      <c r="J1011" t="s">
        <v>4141</v>
      </c>
      <c r="K1011" t="s">
        <v>792</v>
      </c>
      <c r="L1011">
        <v>2</v>
      </c>
    </row>
    <row r="1012" spans="1:12" x14ac:dyDescent="0.25">
      <c r="A1012" t="s">
        <v>4125</v>
      </c>
      <c r="B1012" t="s">
        <v>4136</v>
      </c>
      <c r="C1012">
        <v>3200</v>
      </c>
      <c r="D1012" t="s">
        <v>4125</v>
      </c>
      <c r="E1012">
        <v>5</v>
      </c>
      <c r="F1012" t="s">
        <v>4137</v>
      </c>
      <c r="G1012" t="s">
        <v>4138</v>
      </c>
      <c r="H1012" t="s">
        <v>4142</v>
      </c>
      <c r="I1012" t="s">
        <v>4143</v>
      </c>
      <c r="J1012" t="s">
        <v>4144</v>
      </c>
      <c r="K1012" t="s">
        <v>792</v>
      </c>
      <c r="L1012">
        <v>2</v>
      </c>
    </row>
    <row r="1013" spans="1:12" x14ac:dyDescent="0.25">
      <c r="A1013" t="s">
        <v>4125</v>
      </c>
      <c r="B1013" t="s">
        <v>4136</v>
      </c>
      <c r="C1013">
        <v>3200</v>
      </c>
      <c r="D1013" t="s">
        <v>4125</v>
      </c>
      <c r="E1013">
        <v>5</v>
      </c>
      <c r="F1013" t="s">
        <v>4137</v>
      </c>
      <c r="G1013" t="s">
        <v>4138</v>
      </c>
      <c r="H1013" t="s">
        <v>4145</v>
      </c>
      <c r="I1013" t="s">
        <v>4146</v>
      </c>
      <c r="J1013" t="s">
        <v>4147</v>
      </c>
      <c r="K1013" t="s">
        <v>792</v>
      </c>
      <c r="L1013">
        <v>2</v>
      </c>
    </row>
    <row r="1014" spans="1:12" x14ac:dyDescent="0.25">
      <c r="A1014" t="s">
        <v>4125</v>
      </c>
      <c r="B1014" t="s">
        <v>4136</v>
      </c>
      <c r="C1014">
        <v>3200</v>
      </c>
      <c r="D1014" t="s">
        <v>4125</v>
      </c>
      <c r="E1014">
        <v>5</v>
      </c>
      <c r="F1014" t="s">
        <v>4148</v>
      </c>
      <c r="G1014" t="s">
        <v>4149</v>
      </c>
      <c r="H1014" t="s">
        <v>4150</v>
      </c>
      <c r="I1014" t="s">
        <v>4151</v>
      </c>
      <c r="J1014" t="s">
        <v>4152</v>
      </c>
      <c r="K1014" t="s">
        <v>792</v>
      </c>
      <c r="L1014">
        <v>2</v>
      </c>
    </row>
    <row r="1015" spans="1:12" x14ac:dyDescent="0.25">
      <c r="A1015" t="s">
        <v>4125</v>
      </c>
      <c r="B1015" t="s">
        <v>4136</v>
      </c>
      <c r="C1015">
        <v>3200</v>
      </c>
      <c r="D1015" t="s">
        <v>4125</v>
      </c>
      <c r="E1015">
        <v>5</v>
      </c>
      <c r="F1015" t="s">
        <v>873</v>
      </c>
      <c r="G1015" t="s">
        <v>1340</v>
      </c>
      <c r="H1015" t="s">
        <v>4153</v>
      </c>
      <c r="I1015" t="s">
        <v>4154</v>
      </c>
      <c r="J1015" t="s">
        <v>2470</v>
      </c>
      <c r="K1015" t="s">
        <v>792</v>
      </c>
      <c r="L1015">
        <v>2</v>
      </c>
    </row>
    <row r="1016" spans="1:12" x14ac:dyDescent="0.25">
      <c r="A1016" t="s">
        <v>4125</v>
      </c>
      <c r="B1016" t="s">
        <v>4136</v>
      </c>
      <c r="C1016">
        <v>3200</v>
      </c>
      <c r="D1016" t="s">
        <v>4125</v>
      </c>
      <c r="E1016">
        <v>5</v>
      </c>
      <c r="F1016" t="s">
        <v>3214</v>
      </c>
      <c r="G1016" t="s">
        <v>1239</v>
      </c>
      <c r="H1016" t="s">
        <v>4155</v>
      </c>
      <c r="I1016" t="s">
        <v>4156</v>
      </c>
      <c r="J1016" t="s">
        <v>4157</v>
      </c>
      <c r="K1016" t="s">
        <v>792</v>
      </c>
      <c r="L1016">
        <v>2</v>
      </c>
    </row>
    <row r="1017" spans="1:12" x14ac:dyDescent="0.25">
      <c r="A1017" t="s">
        <v>4125</v>
      </c>
      <c r="B1017" t="s">
        <v>4136</v>
      </c>
      <c r="C1017">
        <v>3200</v>
      </c>
      <c r="D1017" t="s">
        <v>4125</v>
      </c>
      <c r="E1017">
        <v>5</v>
      </c>
      <c r="F1017" t="s">
        <v>2430</v>
      </c>
      <c r="G1017" t="s">
        <v>4158</v>
      </c>
      <c r="H1017" t="s">
        <v>4159</v>
      </c>
      <c r="I1017" t="s">
        <v>4160</v>
      </c>
      <c r="J1017" t="s">
        <v>4161</v>
      </c>
      <c r="K1017" t="s">
        <v>792</v>
      </c>
      <c r="L1017">
        <v>2</v>
      </c>
    </row>
    <row r="1018" spans="1:12" x14ac:dyDescent="0.25">
      <c r="A1018" t="s">
        <v>4125</v>
      </c>
      <c r="B1018" t="s">
        <v>4162</v>
      </c>
      <c r="C1018">
        <v>3200</v>
      </c>
      <c r="D1018" t="s">
        <v>4125</v>
      </c>
      <c r="E1018">
        <v>5</v>
      </c>
      <c r="F1018" t="s">
        <v>4163</v>
      </c>
      <c r="G1018" t="s">
        <v>4164</v>
      </c>
      <c r="H1018" t="s">
        <v>4165</v>
      </c>
      <c r="I1018" t="s">
        <v>4166</v>
      </c>
      <c r="J1018" t="s">
        <v>4167</v>
      </c>
      <c r="K1018" t="s">
        <v>792</v>
      </c>
      <c r="L1018">
        <v>2</v>
      </c>
    </row>
    <row r="1019" spans="1:12" x14ac:dyDescent="0.25">
      <c r="A1019" t="s">
        <v>4125</v>
      </c>
      <c r="B1019" t="s">
        <v>4162</v>
      </c>
      <c r="C1019">
        <v>3200</v>
      </c>
      <c r="D1019" t="s">
        <v>4125</v>
      </c>
      <c r="E1019">
        <v>5</v>
      </c>
      <c r="F1019" t="s">
        <v>4163</v>
      </c>
      <c r="G1019" t="s">
        <v>4164</v>
      </c>
      <c r="H1019" t="s">
        <v>4168</v>
      </c>
      <c r="I1019" t="s">
        <v>4169</v>
      </c>
      <c r="J1019" t="s">
        <v>4170</v>
      </c>
      <c r="K1019" t="s">
        <v>792</v>
      </c>
      <c r="L1019">
        <v>2</v>
      </c>
    </row>
    <row r="1020" spans="1:12" x14ac:dyDescent="0.25">
      <c r="A1020" t="s">
        <v>4125</v>
      </c>
      <c r="B1020" t="s">
        <v>4162</v>
      </c>
      <c r="C1020">
        <v>3200</v>
      </c>
      <c r="D1020" t="s">
        <v>4125</v>
      </c>
      <c r="E1020">
        <v>5</v>
      </c>
      <c r="F1020" t="s">
        <v>4163</v>
      </c>
      <c r="G1020" t="s">
        <v>4164</v>
      </c>
      <c r="H1020" t="s">
        <v>4171</v>
      </c>
      <c r="I1020" t="s">
        <v>4172</v>
      </c>
      <c r="J1020" t="s">
        <v>4173</v>
      </c>
      <c r="K1020" t="s">
        <v>792</v>
      </c>
      <c r="L1020">
        <v>2</v>
      </c>
    </row>
    <row r="1021" spans="1:12" x14ac:dyDescent="0.25">
      <c r="A1021" t="s">
        <v>4125</v>
      </c>
      <c r="B1021" t="s">
        <v>4162</v>
      </c>
      <c r="C1021">
        <v>3200</v>
      </c>
      <c r="D1021" t="s">
        <v>4125</v>
      </c>
      <c r="E1021">
        <v>5</v>
      </c>
      <c r="F1021" t="s">
        <v>1470</v>
      </c>
      <c r="G1021" t="s">
        <v>2426</v>
      </c>
      <c r="H1021" t="s">
        <v>4174</v>
      </c>
      <c r="I1021" t="s">
        <v>4175</v>
      </c>
      <c r="J1021" t="s">
        <v>4176</v>
      </c>
      <c r="K1021" t="s">
        <v>792</v>
      </c>
      <c r="L1021">
        <v>2</v>
      </c>
    </row>
    <row r="1022" spans="1:12" x14ac:dyDescent="0.25">
      <c r="A1022" t="s">
        <v>4125</v>
      </c>
      <c r="B1022" t="s">
        <v>4177</v>
      </c>
      <c r="C1022">
        <v>3200</v>
      </c>
      <c r="D1022" t="s">
        <v>4125</v>
      </c>
      <c r="E1022">
        <v>5</v>
      </c>
      <c r="F1022" t="s">
        <v>4178</v>
      </c>
      <c r="G1022" t="s">
        <v>4179</v>
      </c>
      <c r="H1022" t="s">
        <v>4180</v>
      </c>
      <c r="I1022" t="s">
        <v>4181</v>
      </c>
      <c r="J1022" t="s">
        <v>4182</v>
      </c>
      <c r="K1022" t="s">
        <v>792</v>
      </c>
      <c r="L1022">
        <v>2</v>
      </c>
    </row>
    <row r="1023" spans="1:12" x14ac:dyDescent="0.25">
      <c r="A1023" t="s">
        <v>4125</v>
      </c>
      <c r="B1023" t="s">
        <v>4177</v>
      </c>
      <c r="C1023">
        <v>3200</v>
      </c>
      <c r="D1023" t="s">
        <v>4125</v>
      </c>
      <c r="E1023">
        <v>5</v>
      </c>
      <c r="F1023" t="s">
        <v>4178</v>
      </c>
      <c r="G1023" t="s">
        <v>4179</v>
      </c>
      <c r="H1023" t="s">
        <v>4183</v>
      </c>
      <c r="I1023" t="s">
        <v>4184</v>
      </c>
      <c r="J1023" t="s">
        <v>862</v>
      </c>
      <c r="K1023" t="s">
        <v>792</v>
      </c>
      <c r="L1023">
        <v>2</v>
      </c>
    </row>
    <row r="1024" spans="1:12" x14ac:dyDescent="0.25">
      <c r="A1024" t="s">
        <v>4125</v>
      </c>
      <c r="B1024" t="s">
        <v>4177</v>
      </c>
      <c r="C1024">
        <v>3200</v>
      </c>
      <c r="D1024" t="s">
        <v>4125</v>
      </c>
      <c r="E1024">
        <v>5</v>
      </c>
      <c r="F1024" t="s">
        <v>4178</v>
      </c>
      <c r="G1024" t="s">
        <v>4179</v>
      </c>
      <c r="H1024" t="s">
        <v>4185</v>
      </c>
      <c r="I1024" t="s">
        <v>4186</v>
      </c>
      <c r="J1024" t="s">
        <v>4187</v>
      </c>
      <c r="K1024" t="s">
        <v>792</v>
      </c>
      <c r="L1024">
        <v>2</v>
      </c>
    </row>
    <row r="1025" spans="1:12" x14ac:dyDescent="0.25">
      <c r="A1025" t="s">
        <v>4125</v>
      </c>
      <c r="B1025" t="s">
        <v>4177</v>
      </c>
      <c r="C1025">
        <v>3200</v>
      </c>
      <c r="D1025" t="s">
        <v>4125</v>
      </c>
      <c r="E1025">
        <v>5</v>
      </c>
      <c r="F1025" t="s">
        <v>873</v>
      </c>
      <c r="G1025" t="s">
        <v>1340</v>
      </c>
      <c r="H1025" t="s">
        <v>4188</v>
      </c>
      <c r="I1025" t="s">
        <v>898</v>
      </c>
      <c r="J1025" t="s">
        <v>4189</v>
      </c>
      <c r="K1025" t="s">
        <v>792</v>
      </c>
      <c r="L1025">
        <v>2</v>
      </c>
    </row>
    <row r="1026" spans="1:12" x14ac:dyDescent="0.25">
      <c r="A1026" t="s">
        <v>4125</v>
      </c>
      <c r="B1026" t="s">
        <v>2483</v>
      </c>
      <c r="C1026">
        <v>3200</v>
      </c>
      <c r="D1026" t="s">
        <v>4125</v>
      </c>
      <c r="E1026">
        <v>5</v>
      </c>
      <c r="F1026" t="s">
        <v>871</v>
      </c>
      <c r="G1026" t="s">
        <v>2483</v>
      </c>
      <c r="H1026" t="s">
        <v>4190</v>
      </c>
      <c r="I1026" t="s">
        <v>4191</v>
      </c>
      <c r="J1026" t="s">
        <v>4192</v>
      </c>
      <c r="K1026" t="s">
        <v>792</v>
      </c>
      <c r="L1026">
        <v>2</v>
      </c>
    </row>
    <row r="1027" spans="1:12" x14ac:dyDescent="0.25">
      <c r="A1027" t="s">
        <v>4125</v>
      </c>
      <c r="B1027" t="s">
        <v>2483</v>
      </c>
      <c r="C1027">
        <v>3200</v>
      </c>
      <c r="D1027" t="s">
        <v>4125</v>
      </c>
      <c r="E1027">
        <v>5</v>
      </c>
      <c r="F1027" t="s">
        <v>871</v>
      </c>
      <c r="G1027" t="s">
        <v>2483</v>
      </c>
      <c r="H1027" t="s">
        <v>4193</v>
      </c>
      <c r="I1027" t="s">
        <v>4194</v>
      </c>
      <c r="J1027" t="s">
        <v>4195</v>
      </c>
      <c r="K1027" t="s">
        <v>792</v>
      </c>
      <c r="L1027">
        <v>2</v>
      </c>
    </row>
    <row r="1028" spans="1:12" x14ac:dyDescent="0.25">
      <c r="A1028" t="s">
        <v>4125</v>
      </c>
      <c r="B1028" t="s">
        <v>2483</v>
      </c>
      <c r="C1028">
        <v>3200</v>
      </c>
      <c r="D1028" t="s">
        <v>4125</v>
      </c>
      <c r="E1028">
        <v>5</v>
      </c>
      <c r="F1028" t="s">
        <v>874</v>
      </c>
      <c r="G1028" t="s">
        <v>1402</v>
      </c>
      <c r="H1028" t="s">
        <v>4196</v>
      </c>
      <c r="I1028" t="s">
        <v>2563</v>
      </c>
      <c r="J1028" t="s">
        <v>4197</v>
      </c>
      <c r="K1028" t="s">
        <v>792</v>
      </c>
      <c r="L1028">
        <v>2</v>
      </c>
    </row>
    <row r="1029" spans="1:12" x14ac:dyDescent="0.25">
      <c r="A1029" t="s">
        <v>4125</v>
      </c>
      <c r="B1029" t="s">
        <v>4198</v>
      </c>
      <c r="C1029">
        <v>3200</v>
      </c>
      <c r="D1029" t="s">
        <v>4125</v>
      </c>
      <c r="E1029">
        <v>5</v>
      </c>
      <c r="F1029" t="s">
        <v>4199</v>
      </c>
      <c r="G1029" t="s">
        <v>4200</v>
      </c>
      <c r="H1029" t="s">
        <v>4201</v>
      </c>
      <c r="I1029" t="s">
        <v>2738</v>
      </c>
      <c r="J1029" t="s">
        <v>4202</v>
      </c>
      <c r="K1029" t="s">
        <v>792</v>
      </c>
      <c r="L1029">
        <v>2</v>
      </c>
    </row>
    <row r="1030" spans="1:12" x14ac:dyDescent="0.25">
      <c r="A1030" t="s">
        <v>4125</v>
      </c>
      <c r="B1030" t="s">
        <v>4198</v>
      </c>
      <c r="C1030">
        <v>3200</v>
      </c>
      <c r="D1030" t="s">
        <v>4125</v>
      </c>
      <c r="E1030">
        <v>5</v>
      </c>
      <c r="F1030" t="s">
        <v>874</v>
      </c>
      <c r="G1030" t="s">
        <v>1402</v>
      </c>
      <c r="H1030" t="s">
        <v>4203</v>
      </c>
      <c r="I1030" t="s">
        <v>4204</v>
      </c>
      <c r="J1030" t="s">
        <v>4197</v>
      </c>
      <c r="K1030" t="s">
        <v>792</v>
      </c>
      <c r="L1030">
        <v>2</v>
      </c>
    </row>
    <row r="1031" spans="1:12" x14ac:dyDescent="0.25">
      <c r="A1031" t="s">
        <v>4125</v>
      </c>
      <c r="B1031" t="s">
        <v>4198</v>
      </c>
      <c r="C1031">
        <v>3200</v>
      </c>
      <c r="D1031" t="s">
        <v>4125</v>
      </c>
      <c r="E1031">
        <v>5</v>
      </c>
      <c r="F1031" t="s">
        <v>4205</v>
      </c>
      <c r="G1031" t="s">
        <v>4206</v>
      </c>
      <c r="H1031" t="s">
        <v>4207</v>
      </c>
      <c r="I1031" t="s">
        <v>4208</v>
      </c>
      <c r="J1031" t="s">
        <v>910</v>
      </c>
      <c r="K1031" t="s">
        <v>792</v>
      </c>
      <c r="L1031">
        <v>2</v>
      </c>
    </row>
    <row r="1032" spans="1:12" x14ac:dyDescent="0.25">
      <c r="A1032" t="s">
        <v>4125</v>
      </c>
      <c r="B1032" t="s">
        <v>4198</v>
      </c>
      <c r="C1032">
        <v>3200</v>
      </c>
      <c r="D1032" t="s">
        <v>4125</v>
      </c>
      <c r="E1032">
        <v>5</v>
      </c>
      <c r="F1032" t="s">
        <v>947</v>
      </c>
      <c r="G1032" t="s">
        <v>1354</v>
      </c>
      <c r="H1032" t="s">
        <v>4209</v>
      </c>
      <c r="I1032" t="s">
        <v>4210</v>
      </c>
      <c r="J1032" t="s">
        <v>4211</v>
      </c>
      <c r="K1032" t="s">
        <v>792</v>
      </c>
      <c r="L1032">
        <v>2</v>
      </c>
    </row>
    <row r="1033" spans="1:12" x14ac:dyDescent="0.25">
      <c r="A1033" t="s">
        <v>4125</v>
      </c>
      <c r="B1033" t="s">
        <v>4212</v>
      </c>
      <c r="C1033">
        <v>3200</v>
      </c>
      <c r="D1033" t="s">
        <v>4125</v>
      </c>
      <c r="E1033">
        <v>5</v>
      </c>
      <c r="F1033" t="s">
        <v>4213</v>
      </c>
      <c r="G1033" t="s">
        <v>4214</v>
      </c>
      <c r="H1033" t="s">
        <v>4215</v>
      </c>
      <c r="I1033" t="s">
        <v>4216</v>
      </c>
      <c r="J1033" t="s">
        <v>4217</v>
      </c>
      <c r="K1033" t="s">
        <v>792</v>
      </c>
      <c r="L1033">
        <v>2</v>
      </c>
    </row>
    <row r="1034" spans="1:12" x14ac:dyDescent="0.25">
      <c r="A1034" t="s">
        <v>4125</v>
      </c>
      <c r="B1034" t="s">
        <v>4212</v>
      </c>
      <c r="C1034">
        <v>3200</v>
      </c>
      <c r="D1034" t="s">
        <v>4125</v>
      </c>
      <c r="E1034">
        <v>5</v>
      </c>
      <c r="F1034" t="s">
        <v>2430</v>
      </c>
      <c r="G1034" t="s">
        <v>2431</v>
      </c>
      <c r="H1034" t="s">
        <v>4218</v>
      </c>
      <c r="I1034" t="s">
        <v>4219</v>
      </c>
      <c r="J1034" t="s">
        <v>2433</v>
      </c>
      <c r="K1034" t="s">
        <v>792</v>
      </c>
      <c r="L1034">
        <v>2</v>
      </c>
    </row>
    <row r="1035" spans="1:12" x14ac:dyDescent="0.25">
      <c r="A1035" t="s">
        <v>4125</v>
      </c>
      <c r="B1035" t="s">
        <v>4212</v>
      </c>
      <c r="C1035">
        <v>3200</v>
      </c>
      <c r="D1035" t="s">
        <v>4125</v>
      </c>
      <c r="E1035">
        <v>5</v>
      </c>
      <c r="F1035" t="s">
        <v>2203</v>
      </c>
      <c r="G1035" t="s">
        <v>4220</v>
      </c>
      <c r="H1035" t="s">
        <v>4221</v>
      </c>
      <c r="I1035" t="s">
        <v>4222</v>
      </c>
      <c r="J1035" t="s">
        <v>4223</v>
      </c>
      <c r="K1035" t="s">
        <v>792</v>
      </c>
      <c r="L1035">
        <v>2</v>
      </c>
    </row>
    <row r="1036" spans="1:12" x14ac:dyDescent="0.25">
      <c r="A1036" t="s">
        <v>4125</v>
      </c>
      <c r="B1036" t="s">
        <v>4224</v>
      </c>
      <c r="C1036">
        <v>3200</v>
      </c>
      <c r="D1036" t="s">
        <v>4125</v>
      </c>
      <c r="E1036">
        <v>5</v>
      </c>
      <c r="F1036" t="s">
        <v>873</v>
      </c>
      <c r="G1036" t="s">
        <v>1340</v>
      </c>
      <c r="H1036" t="s">
        <v>4225</v>
      </c>
      <c r="I1036" t="s">
        <v>2470</v>
      </c>
      <c r="J1036" t="s">
        <v>4226</v>
      </c>
      <c r="K1036" t="s">
        <v>792</v>
      </c>
      <c r="L1036">
        <v>2</v>
      </c>
    </row>
    <row r="1037" spans="1:12" x14ac:dyDescent="0.25">
      <c r="A1037" t="s">
        <v>4125</v>
      </c>
      <c r="B1037" t="s">
        <v>4224</v>
      </c>
      <c r="C1037">
        <v>3200</v>
      </c>
      <c r="D1037" t="s">
        <v>4125</v>
      </c>
      <c r="E1037">
        <v>5</v>
      </c>
      <c r="F1037" t="s">
        <v>1367</v>
      </c>
      <c r="G1037" t="s">
        <v>4227</v>
      </c>
      <c r="H1037" t="s">
        <v>4228</v>
      </c>
      <c r="I1037" t="s">
        <v>910</v>
      </c>
      <c r="J1037" t="s">
        <v>4229</v>
      </c>
      <c r="K1037" t="s">
        <v>792</v>
      </c>
      <c r="L1037">
        <v>2</v>
      </c>
    </row>
    <row r="1038" spans="1:12" x14ac:dyDescent="0.25">
      <c r="A1038" t="s">
        <v>4125</v>
      </c>
      <c r="B1038" t="s">
        <v>4224</v>
      </c>
      <c r="C1038">
        <v>3200</v>
      </c>
      <c r="D1038" t="s">
        <v>4125</v>
      </c>
      <c r="E1038">
        <v>5</v>
      </c>
      <c r="F1038" t="s">
        <v>3071</v>
      </c>
      <c r="G1038" t="s">
        <v>3072</v>
      </c>
      <c r="H1038" t="s">
        <v>4230</v>
      </c>
      <c r="I1038" t="s">
        <v>4231</v>
      </c>
      <c r="J1038" t="s">
        <v>4116</v>
      </c>
      <c r="K1038" t="s">
        <v>792</v>
      </c>
      <c r="L1038">
        <v>2</v>
      </c>
    </row>
    <row r="1039" spans="1:12" x14ac:dyDescent="0.25">
      <c r="A1039" t="s">
        <v>4125</v>
      </c>
      <c r="B1039" t="s">
        <v>4224</v>
      </c>
      <c r="C1039">
        <v>3200</v>
      </c>
      <c r="D1039" t="s">
        <v>4125</v>
      </c>
      <c r="E1039">
        <v>5</v>
      </c>
      <c r="F1039" t="s">
        <v>953</v>
      </c>
      <c r="G1039" t="s">
        <v>1342</v>
      </c>
      <c r="H1039" t="s">
        <v>4232</v>
      </c>
      <c r="I1039" t="s">
        <v>4233</v>
      </c>
      <c r="J1039" t="s">
        <v>4234</v>
      </c>
      <c r="K1039" t="s">
        <v>792</v>
      </c>
      <c r="L1039">
        <v>2</v>
      </c>
    </row>
    <row r="1040" spans="1:12" x14ac:dyDescent="0.25">
      <c r="A1040" t="s">
        <v>4125</v>
      </c>
      <c r="B1040" t="s">
        <v>4224</v>
      </c>
      <c r="C1040">
        <v>3200</v>
      </c>
      <c r="D1040" t="s">
        <v>4125</v>
      </c>
      <c r="E1040">
        <v>5</v>
      </c>
      <c r="F1040" t="s">
        <v>4235</v>
      </c>
      <c r="G1040" t="s">
        <v>4236</v>
      </c>
      <c r="H1040" t="s">
        <v>4237</v>
      </c>
      <c r="I1040" t="s">
        <v>4238</v>
      </c>
      <c r="J1040" t="s">
        <v>1396</v>
      </c>
      <c r="K1040" t="s">
        <v>792</v>
      </c>
      <c r="L1040">
        <v>2</v>
      </c>
    </row>
    <row r="1041" spans="1:12" x14ac:dyDescent="0.25">
      <c r="A1041" t="s">
        <v>4506</v>
      </c>
      <c r="B1041" t="s">
        <v>4239</v>
      </c>
      <c r="C1041">
        <v>3100</v>
      </c>
      <c r="D1041" t="s">
        <v>4240</v>
      </c>
      <c r="E1041">
        <v>5</v>
      </c>
      <c r="F1041" t="s">
        <v>2436</v>
      </c>
      <c r="G1041" t="s">
        <v>2437</v>
      </c>
      <c r="H1041" t="s">
        <v>4241</v>
      </c>
      <c r="I1041" t="s">
        <v>4242</v>
      </c>
      <c r="K1041" t="s">
        <v>792</v>
      </c>
      <c r="L1041">
        <v>2</v>
      </c>
    </row>
    <row r="1042" spans="1:12" x14ac:dyDescent="0.25">
      <c r="A1042" t="s">
        <v>4506</v>
      </c>
      <c r="B1042" t="s">
        <v>4239</v>
      </c>
      <c r="C1042">
        <v>3100</v>
      </c>
      <c r="D1042" t="s">
        <v>4240</v>
      </c>
      <c r="E1042">
        <v>5</v>
      </c>
      <c r="F1042" t="s">
        <v>4243</v>
      </c>
      <c r="G1042" t="s">
        <v>4244</v>
      </c>
      <c r="H1042" t="s">
        <v>4245</v>
      </c>
      <c r="I1042" t="s">
        <v>4246</v>
      </c>
      <c r="K1042" t="s">
        <v>792</v>
      </c>
      <c r="L1042">
        <v>2</v>
      </c>
    </row>
    <row r="1043" spans="1:12" x14ac:dyDescent="0.25">
      <c r="A1043" t="s">
        <v>4506</v>
      </c>
      <c r="B1043" t="s">
        <v>4239</v>
      </c>
      <c r="C1043">
        <v>3100</v>
      </c>
      <c r="D1043" t="s">
        <v>4240</v>
      </c>
      <c r="E1043">
        <v>5</v>
      </c>
      <c r="F1043" t="s">
        <v>873</v>
      </c>
      <c r="G1043" t="s">
        <v>1340</v>
      </c>
      <c r="H1043" t="s">
        <v>4247</v>
      </c>
      <c r="I1043" t="s">
        <v>4248</v>
      </c>
      <c r="K1043" t="s">
        <v>792</v>
      </c>
      <c r="L1043">
        <v>2</v>
      </c>
    </row>
    <row r="1044" spans="1:12" x14ac:dyDescent="0.25">
      <c r="A1044" t="s">
        <v>4506</v>
      </c>
      <c r="B1044" t="s">
        <v>4239</v>
      </c>
      <c r="C1044">
        <v>3100</v>
      </c>
      <c r="D1044" t="s">
        <v>4240</v>
      </c>
      <c r="E1044">
        <v>5</v>
      </c>
      <c r="F1044" t="s">
        <v>4249</v>
      </c>
      <c r="G1044" t="s">
        <v>4250</v>
      </c>
      <c r="H1044" t="s">
        <v>4251</v>
      </c>
      <c r="I1044" t="s">
        <v>4252</v>
      </c>
      <c r="K1044" t="s">
        <v>792</v>
      </c>
      <c r="L1044">
        <v>2</v>
      </c>
    </row>
    <row r="1045" spans="1:12" x14ac:dyDescent="0.25">
      <c r="A1045" t="s">
        <v>4506</v>
      </c>
      <c r="B1045" t="s">
        <v>4253</v>
      </c>
      <c r="C1045">
        <v>3100</v>
      </c>
      <c r="D1045" t="s">
        <v>4240</v>
      </c>
      <c r="E1045">
        <v>5</v>
      </c>
      <c r="F1045" t="s">
        <v>2430</v>
      </c>
      <c r="G1045" t="s">
        <v>2431</v>
      </c>
      <c r="H1045" t="s">
        <v>4254</v>
      </c>
      <c r="I1045" t="s">
        <v>4255</v>
      </c>
      <c r="K1045" t="s">
        <v>792</v>
      </c>
      <c r="L1045">
        <v>2</v>
      </c>
    </row>
    <row r="1046" spans="1:12" x14ac:dyDescent="0.25">
      <c r="A1046" t="s">
        <v>4506</v>
      </c>
      <c r="B1046" t="s">
        <v>4253</v>
      </c>
      <c r="C1046">
        <v>3100</v>
      </c>
      <c r="D1046" t="s">
        <v>4240</v>
      </c>
      <c r="E1046">
        <v>5</v>
      </c>
      <c r="F1046" t="s">
        <v>2203</v>
      </c>
      <c r="G1046" t="s">
        <v>4256</v>
      </c>
      <c r="H1046" t="s">
        <v>4257</v>
      </c>
      <c r="I1046" t="s">
        <v>4223</v>
      </c>
      <c r="K1046" t="s">
        <v>792</v>
      </c>
      <c r="L1046">
        <v>2</v>
      </c>
    </row>
    <row r="1047" spans="1:12" x14ac:dyDescent="0.25">
      <c r="A1047" t="s">
        <v>4506</v>
      </c>
      <c r="B1047" t="s">
        <v>4253</v>
      </c>
      <c r="C1047">
        <v>3100</v>
      </c>
      <c r="D1047" t="s">
        <v>4240</v>
      </c>
      <c r="E1047">
        <v>5</v>
      </c>
      <c r="F1047" t="s">
        <v>2430</v>
      </c>
      <c r="G1047" t="s">
        <v>2431</v>
      </c>
      <c r="H1047" t="s">
        <v>4258</v>
      </c>
      <c r="I1047" t="s">
        <v>4259</v>
      </c>
      <c r="K1047" t="s">
        <v>792</v>
      </c>
      <c r="L1047">
        <v>2</v>
      </c>
    </row>
    <row r="1048" spans="1:12" x14ac:dyDescent="0.25">
      <c r="A1048" t="s">
        <v>4506</v>
      </c>
      <c r="B1048" t="s">
        <v>4260</v>
      </c>
      <c r="C1048">
        <v>3100</v>
      </c>
      <c r="D1048" t="s">
        <v>4240</v>
      </c>
      <c r="E1048">
        <v>5</v>
      </c>
      <c r="F1048" t="s">
        <v>1470</v>
      </c>
      <c r="G1048" t="s">
        <v>2426</v>
      </c>
      <c r="H1048" t="s">
        <v>4261</v>
      </c>
      <c r="I1048" t="s">
        <v>4262</v>
      </c>
      <c r="K1048" t="s">
        <v>792</v>
      </c>
      <c r="L1048">
        <v>2</v>
      </c>
    </row>
    <row r="1049" spans="1:12" x14ac:dyDescent="0.25">
      <c r="A1049" t="s">
        <v>4506</v>
      </c>
      <c r="B1049" t="s">
        <v>4260</v>
      </c>
      <c r="C1049">
        <v>3100</v>
      </c>
      <c r="D1049" t="s">
        <v>4240</v>
      </c>
      <c r="E1049">
        <v>5</v>
      </c>
      <c r="F1049" t="s">
        <v>1470</v>
      </c>
      <c r="G1049" t="s">
        <v>2426</v>
      </c>
      <c r="H1049" t="s">
        <v>4263</v>
      </c>
      <c r="I1049" t="s">
        <v>4264</v>
      </c>
      <c r="K1049" t="s">
        <v>792</v>
      </c>
      <c r="L1049">
        <v>2</v>
      </c>
    </row>
    <row r="1050" spans="1:12" x14ac:dyDescent="0.25">
      <c r="A1050" t="s">
        <v>4506</v>
      </c>
      <c r="B1050" t="s">
        <v>4260</v>
      </c>
      <c r="C1050">
        <v>3100</v>
      </c>
      <c r="D1050" t="s">
        <v>4240</v>
      </c>
      <c r="E1050">
        <v>5</v>
      </c>
      <c r="F1050" t="s">
        <v>4265</v>
      </c>
      <c r="G1050" t="s">
        <v>4266</v>
      </c>
      <c r="H1050" t="s">
        <v>4267</v>
      </c>
      <c r="I1050" t="s">
        <v>4268</v>
      </c>
      <c r="K1050" t="s">
        <v>792</v>
      </c>
      <c r="L1050">
        <v>2</v>
      </c>
    </row>
    <row r="1051" spans="1:12" x14ac:dyDescent="0.25">
      <c r="A1051" t="s">
        <v>4506</v>
      </c>
      <c r="B1051" t="s">
        <v>4260</v>
      </c>
      <c r="C1051">
        <v>3100</v>
      </c>
      <c r="D1051" t="s">
        <v>4240</v>
      </c>
      <c r="E1051">
        <v>5</v>
      </c>
      <c r="F1051" t="s">
        <v>4213</v>
      </c>
      <c r="G1051" t="s">
        <v>2466</v>
      </c>
      <c r="H1051" t="s">
        <v>4269</v>
      </c>
      <c r="I1051" t="s">
        <v>4270</v>
      </c>
      <c r="K1051" t="s">
        <v>792</v>
      </c>
      <c r="L1051">
        <v>2</v>
      </c>
    </row>
    <row r="1052" spans="1:12" x14ac:dyDescent="0.25">
      <c r="A1052" t="s">
        <v>4506</v>
      </c>
      <c r="B1052" t="s">
        <v>4271</v>
      </c>
      <c r="C1052">
        <v>3100</v>
      </c>
      <c r="D1052" t="s">
        <v>4240</v>
      </c>
      <c r="E1052">
        <v>5</v>
      </c>
      <c r="F1052" t="s">
        <v>2442</v>
      </c>
      <c r="G1052" t="s">
        <v>4272</v>
      </c>
      <c r="H1052" t="s">
        <v>4273</v>
      </c>
      <c r="I1052" t="s">
        <v>4274</v>
      </c>
      <c r="K1052" t="s">
        <v>792</v>
      </c>
      <c r="L1052">
        <v>2</v>
      </c>
    </row>
    <row r="1053" spans="1:12" x14ac:dyDescent="0.25">
      <c r="A1053" t="s">
        <v>4506</v>
      </c>
      <c r="B1053" t="s">
        <v>4271</v>
      </c>
      <c r="C1053">
        <v>3100</v>
      </c>
      <c r="D1053" t="s">
        <v>4240</v>
      </c>
      <c r="E1053">
        <v>5</v>
      </c>
      <c r="F1053" t="s">
        <v>963</v>
      </c>
      <c r="G1053" t="s">
        <v>4275</v>
      </c>
      <c r="H1053" t="s">
        <v>4276</v>
      </c>
      <c r="I1053" t="s">
        <v>4277</v>
      </c>
      <c r="K1053" t="s">
        <v>792</v>
      </c>
      <c r="L1053">
        <v>2</v>
      </c>
    </row>
    <row r="1054" spans="1:12" x14ac:dyDescent="0.25">
      <c r="A1054" t="s">
        <v>4506</v>
      </c>
      <c r="B1054" t="s">
        <v>4271</v>
      </c>
      <c r="C1054">
        <v>3100</v>
      </c>
      <c r="D1054" t="s">
        <v>4240</v>
      </c>
      <c r="E1054">
        <v>5</v>
      </c>
      <c r="F1054" t="s">
        <v>963</v>
      </c>
      <c r="G1054" t="s">
        <v>4275</v>
      </c>
      <c r="H1054" t="s">
        <v>4278</v>
      </c>
      <c r="I1054" t="s">
        <v>4279</v>
      </c>
      <c r="K1054" t="s">
        <v>792</v>
      </c>
      <c r="L1054">
        <v>2</v>
      </c>
    </row>
    <row r="1055" spans="1:12" x14ac:dyDescent="0.25">
      <c r="A1055" t="s">
        <v>4506</v>
      </c>
      <c r="B1055" t="s">
        <v>4280</v>
      </c>
      <c r="C1055">
        <v>3100</v>
      </c>
      <c r="D1055" t="s">
        <v>4240</v>
      </c>
      <c r="E1055">
        <v>5</v>
      </c>
      <c r="F1055" t="s">
        <v>4281</v>
      </c>
      <c r="G1055" t="s">
        <v>4282</v>
      </c>
      <c r="H1055" t="s">
        <v>4283</v>
      </c>
      <c r="I1055" t="s">
        <v>4284</v>
      </c>
      <c r="K1055" t="s">
        <v>792</v>
      </c>
      <c r="L1055">
        <v>2</v>
      </c>
    </row>
    <row r="1056" spans="1:12" x14ac:dyDescent="0.25">
      <c r="A1056" t="s">
        <v>4506</v>
      </c>
      <c r="B1056" t="s">
        <v>4280</v>
      </c>
      <c r="C1056">
        <v>3100</v>
      </c>
      <c r="D1056" t="s">
        <v>4240</v>
      </c>
      <c r="E1056">
        <v>5</v>
      </c>
      <c r="F1056" t="s">
        <v>4285</v>
      </c>
      <c r="G1056" t="s">
        <v>4286</v>
      </c>
      <c r="H1056" t="s">
        <v>4287</v>
      </c>
      <c r="I1056" t="s">
        <v>4288</v>
      </c>
      <c r="K1056" t="s">
        <v>792</v>
      </c>
      <c r="L1056">
        <v>2</v>
      </c>
    </row>
    <row r="1057" spans="1:12" x14ac:dyDescent="0.25">
      <c r="A1057" t="s">
        <v>4506</v>
      </c>
      <c r="B1057" t="s">
        <v>4280</v>
      </c>
      <c r="C1057">
        <v>3100</v>
      </c>
      <c r="D1057" t="s">
        <v>4240</v>
      </c>
      <c r="E1057">
        <v>5</v>
      </c>
      <c r="F1057" t="s">
        <v>873</v>
      </c>
      <c r="G1057" t="s">
        <v>1340</v>
      </c>
      <c r="H1057" t="s">
        <v>4289</v>
      </c>
      <c r="I1057" t="s">
        <v>4290</v>
      </c>
      <c r="K1057" t="s">
        <v>792</v>
      </c>
      <c r="L1057">
        <v>2</v>
      </c>
    </row>
    <row r="1058" spans="1:12" x14ac:dyDescent="0.25">
      <c r="A1058" t="s">
        <v>4506</v>
      </c>
      <c r="B1058" t="s">
        <v>4291</v>
      </c>
      <c r="C1058">
        <v>3100</v>
      </c>
      <c r="D1058" t="s">
        <v>4240</v>
      </c>
      <c r="E1058">
        <v>5</v>
      </c>
      <c r="F1058" t="s">
        <v>2459</v>
      </c>
      <c r="G1058" t="s">
        <v>4292</v>
      </c>
      <c r="H1058" t="s">
        <v>4293</v>
      </c>
      <c r="I1058" t="s">
        <v>2462</v>
      </c>
      <c r="K1058" t="s">
        <v>792</v>
      </c>
      <c r="L1058">
        <v>2</v>
      </c>
    </row>
    <row r="1059" spans="1:12" x14ac:dyDescent="0.25">
      <c r="A1059" t="s">
        <v>4506</v>
      </c>
      <c r="B1059" t="s">
        <v>4291</v>
      </c>
      <c r="C1059">
        <v>3100</v>
      </c>
      <c r="D1059" t="s">
        <v>4240</v>
      </c>
      <c r="E1059">
        <v>5</v>
      </c>
      <c r="F1059" t="s">
        <v>2459</v>
      </c>
      <c r="G1059" t="s">
        <v>4292</v>
      </c>
      <c r="H1059" t="s">
        <v>4294</v>
      </c>
      <c r="I1059" t="s">
        <v>4295</v>
      </c>
      <c r="K1059" t="s">
        <v>792</v>
      </c>
      <c r="L1059">
        <v>2</v>
      </c>
    </row>
    <row r="1060" spans="1:12" x14ac:dyDescent="0.25">
      <c r="A1060" t="s">
        <v>4506</v>
      </c>
      <c r="B1060" t="s">
        <v>4291</v>
      </c>
      <c r="C1060">
        <v>3100</v>
      </c>
      <c r="D1060" t="s">
        <v>4240</v>
      </c>
      <c r="E1060">
        <v>5</v>
      </c>
      <c r="F1060" t="s">
        <v>2459</v>
      </c>
      <c r="G1060" t="s">
        <v>4292</v>
      </c>
      <c r="H1060" t="s">
        <v>4296</v>
      </c>
      <c r="I1060" t="s">
        <v>4297</v>
      </c>
      <c r="K1060" t="s">
        <v>792</v>
      </c>
      <c r="L1060">
        <v>2</v>
      </c>
    </row>
    <row r="1061" spans="1:12" x14ac:dyDescent="0.25">
      <c r="A1061" t="s">
        <v>4506</v>
      </c>
      <c r="B1061" t="s">
        <v>4291</v>
      </c>
      <c r="C1061">
        <v>3100</v>
      </c>
      <c r="D1061" t="s">
        <v>4240</v>
      </c>
      <c r="E1061">
        <v>5</v>
      </c>
      <c r="F1061" t="s">
        <v>4249</v>
      </c>
      <c r="G1061" t="s">
        <v>4250</v>
      </c>
      <c r="H1061" t="s">
        <v>4298</v>
      </c>
      <c r="I1061" t="s">
        <v>4299</v>
      </c>
      <c r="K1061" t="s">
        <v>792</v>
      </c>
      <c r="L1061">
        <v>2</v>
      </c>
    </row>
    <row r="1062" spans="1:12" x14ac:dyDescent="0.25">
      <c r="A1062" t="s">
        <v>4506</v>
      </c>
      <c r="B1062" t="s">
        <v>4300</v>
      </c>
      <c r="C1062">
        <v>3100</v>
      </c>
      <c r="D1062" t="s">
        <v>4240</v>
      </c>
      <c r="E1062">
        <v>5</v>
      </c>
      <c r="F1062" t="s">
        <v>4301</v>
      </c>
      <c r="G1062" t="s">
        <v>4302</v>
      </c>
      <c r="H1062" t="s">
        <v>4303</v>
      </c>
      <c r="I1062" t="s">
        <v>4304</v>
      </c>
      <c r="K1062" t="s">
        <v>792</v>
      </c>
      <c r="L1062">
        <v>2</v>
      </c>
    </row>
    <row r="1063" spans="1:12" x14ac:dyDescent="0.25">
      <c r="A1063" t="s">
        <v>4506</v>
      </c>
      <c r="B1063" t="s">
        <v>4300</v>
      </c>
      <c r="C1063">
        <v>3100</v>
      </c>
      <c r="D1063" t="s">
        <v>4240</v>
      </c>
      <c r="E1063">
        <v>5</v>
      </c>
      <c r="F1063" t="s">
        <v>947</v>
      </c>
      <c r="G1063" t="s">
        <v>1354</v>
      </c>
      <c r="H1063" t="s">
        <v>4305</v>
      </c>
      <c r="I1063" t="s">
        <v>4306</v>
      </c>
      <c r="K1063" t="s">
        <v>792</v>
      </c>
      <c r="L1063">
        <v>2</v>
      </c>
    </row>
    <row r="1064" spans="1:12" x14ac:dyDescent="0.25">
      <c r="A1064" t="s">
        <v>4506</v>
      </c>
      <c r="B1064" t="s">
        <v>4300</v>
      </c>
      <c r="C1064">
        <v>3100</v>
      </c>
      <c r="D1064" t="s">
        <v>4240</v>
      </c>
      <c r="E1064">
        <v>5</v>
      </c>
      <c r="F1064" t="s">
        <v>873</v>
      </c>
      <c r="G1064" t="s">
        <v>1340</v>
      </c>
      <c r="H1064" t="s">
        <v>4307</v>
      </c>
      <c r="I1064" t="s">
        <v>4308</v>
      </c>
      <c r="K1064" t="s">
        <v>792</v>
      </c>
      <c r="L1064">
        <v>2</v>
      </c>
    </row>
    <row r="1065" spans="1:12" x14ac:dyDescent="0.25">
      <c r="A1065" t="s">
        <v>4506</v>
      </c>
      <c r="B1065" t="s">
        <v>4309</v>
      </c>
      <c r="C1065">
        <v>3100</v>
      </c>
      <c r="D1065" t="s">
        <v>4240</v>
      </c>
      <c r="E1065">
        <v>5</v>
      </c>
      <c r="F1065" t="s">
        <v>2465</v>
      </c>
      <c r="G1065" t="s">
        <v>2466</v>
      </c>
      <c r="H1065" t="s">
        <v>4310</v>
      </c>
      <c r="I1065" t="s">
        <v>4311</v>
      </c>
      <c r="K1065" t="s">
        <v>792</v>
      </c>
      <c r="L1065">
        <v>2</v>
      </c>
    </row>
    <row r="1066" spans="1:12" x14ac:dyDescent="0.25">
      <c r="A1066" t="s">
        <v>4506</v>
      </c>
      <c r="B1066" t="s">
        <v>4309</v>
      </c>
      <c r="C1066">
        <v>3100</v>
      </c>
      <c r="D1066" t="s">
        <v>4240</v>
      </c>
      <c r="E1066">
        <v>5</v>
      </c>
      <c r="F1066" t="s">
        <v>2937</v>
      </c>
      <c r="G1066" t="s">
        <v>2938</v>
      </c>
      <c r="H1066" t="s">
        <v>4312</v>
      </c>
      <c r="I1066" t="s">
        <v>4313</v>
      </c>
      <c r="K1066" t="s">
        <v>792</v>
      </c>
      <c r="L1066">
        <v>2</v>
      </c>
    </row>
    <row r="1067" spans="1:12" x14ac:dyDescent="0.25">
      <c r="A1067" t="s">
        <v>4506</v>
      </c>
      <c r="B1067" t="s">
        <v>4309</v>
      </c>
      <c r="C1067">
        <v>3100</v>
      </c>
      <c r="D1067" t="s">
        <v>4240</v>
      </c>
      <c r="E1067">
        <v>5</v>
      </c>
      <c r="F1067" t="s">
        <v>3304</v>
      </c>
      <c r="G1067" t="s">
        <v>2474</v>
      </c>
      <c r="H1067" t="s">
        <v>4314</v>
      </c>
      <c r="I1067" t="s">
        <v>3040</v>
      </c>
      <c r="K1067" t="s">
        <v>792</v>
      </c>
      <c r="L1067">
        <v>2</v>
      </c>
    </row>
    <row r="1068" spans="1:12" x14ac:dyDescent="0.25">
      <c r="A1068" t="s">
        <v>4506</v>
      </c>
      <c r="B1068" t="s">
        <v>4224</v>
      </c>
      <c r="C1068">
        <v>3100</v>
      </c>
      <c r="D1068" t="s">
        <v>4240</v>
      </c>
      <c r="E1068">
        <v>5</v>
      </c>
      <c r="F1068" t="s">
        <v>3071</v>
      </c>
      <c r="G1068" t="s">
        <v>3072</v>
      </c>
      <c r="H1068" t="s">
        <v>4315</v>
      </c>
      <c r="I1068" t="s">
        <v>4116</v>
      </c>
      <c r="K1068" t="s">
        <v>792</v>
      </c>
      <c r="L1068">
        <v>2</v>
      </c>
    </row>
    <row r="1069" spans="1:12" x14ac:dyDescent="0.25">
      <c r="A1069" t="s">
        <v>4506</v>
      </c>
      <c r="B1069" t="s">
        <v>4224</v>
      </c>
      <c r="C1069">
        <v>3100</v>
      </c>
      <c r="D1069" t="s">
        <v>4240</v>
      </c>
      <c r="E1069">
        <v>5</v>
      </c>
      <c r="F1069" t="s">
        <v>953</v>
      </c>
      <c r="G1069" t="s">
        <v>1342</v>
      </c>
      <c r="H1069" t="s">
        <v>4316</v>
      </c>
      <c r="I1069" t="s">
        <v>4233</v>
      </c>
      <c r="K1069" t="s">
        <v>792</v>
      </c>
      <c r="L1069">
        <v>2</v>
      </c>
    </row>
    <row r="1070" spans="1:12" x14ac:dyDescent="0.25">
      <c r="A1070" t="s">
        <v>4506</v>
      </c>
      <c r="B1070" t="s">
        <v>4224</v>
      </c>
      <c r="C1070">
        <v>3100</v>
      </c>
      <c r="D1070" t="s">
        <v>4240</v>
      </c>
      <c r="E1070">
        <v>5</v>
      </c>
      <c r="F1070" t="s">
        <v>3339</v>
      </c>
      <c r="G1070" t="s">
        <v>3340</v>
      </c>
      <c r="H1070" t="s">
        <v>4317</v>
      </c>
      <c r="I1070" t="s">
        <v>2425</v>
      </c>
      <c r="K1070" t="s">
        <v>792</v>
      </c>
      <c r="L1070">
        <v>2</v>
      </c>
    </row>
    <row r="1071" spans="1:12" x14ac:dyDescent="0.25">
      <c r="A1071" t="s">
        <v>4506</v>
      </c>
      <c r="B1071" t="s">
        <v>4224</v>
      </c>
      <c r="C1071">
        <v>3100</v>
      </c>
      <c r="D1071" t="s">
        <v>4240</v>
      </c>
      <c r="E1071">
        <v>5</v>
      </c>
      <c r="F1071" t="s">
        <v>4235</v>
      </c>
      <c r="G1071" t="s">
        <v>4236</v>
      </c>
      <c r="H1071" t="s">
        <v>4318</v>
      </c>
      <c r="I1071" t="s">
        <v>1396</v>
      </c>
      <c r="K1071" t="s">
        <v>792</v>
      </c>
      <c r="L1071">
        <v>2</v>
      </c>
    </row>
    <row r="1072" spans="1:12" x14ac:dyDescent="0.25">
      <c r="A1072" t="s">
        <v>391</v>
      </c>
      <c r="B1072" t="s">
        <v>4224</v>
      </c>
      <c r="C1072">
        <v>5100</v>
      </c>
      <c r="D1072" t="s">
        <v>391</v>
      </c>
      <c r="E1072">
        <v>5</v>
      </c>
      <c r="F1072" t="s">
        <v>4015</v>
      </c>
      <c r="G1072" t="s">
        <v>4319</v>
      </c>
      <c r="H1072" t="s">
        <v>4320</v>
      </c>
      <c r="I1072" t="s">
        <v>4321</v>
      </c>
      <c r="K1072" t="s">
        <v>792</v>
      </c>
      <c r="L1072">
        <v>2</v>
      </c>
    </row>
    <row r="1073" spans="1:12" x14ac:dyDescent="0.25">
      <c r="A1073" t="s">
        <v>391</v>
      </c>
      <c r="B1073" t="s">
        <v>4224</v>
      </c>
      <c r="C1073">
        <v>5100</v>
      </c>
      <c r="D1073" t="s">
        <v>391</v>
      </c>
      <c r="E1073">
        <v>5</v>
      </c>
      <c r="F1073" t="s">
        <v>4322</v>
      </c>
      <c r="G1073" t="s">
        <v>4323</v>
      </c>
      <c r="H1073" t="s">
        <v>4324</v>
      </c>
      <c r="I1073" t="s">
        <v>4325</v>
      </c>
      <c r="K1073" t="s">
        <v>792</v>
      </c>
      <c r="L1073">
        <v>2</v>
      </c>
    </row>
    <row r="1074" spans="1:12" x14ac:dyDescent="0.25">
      <c r="A1074" t="s">
        <v>391</v>
      </c>
      <c r="B1074" t="s">
        <v>4224</v>
      </c>
      <c r="C1074">
        <v>5100</v>
      </c>
      <c r="D1074" t="s">
        <v>391</v>
      </c>
      <c r="E1074">
        <v>5</v>
      </c>
      <c r="F1074" t="s">
        <v>4322</v>
      </c>
      <c r="G1074" t="s">
        <v>4323</v>
      </c>
      <c r="H1074" t="s">
        <v>4326</v>
      </c>
      <c r="I1074" t="s">
        <v>4327</v>
      </c>
      <c r="K1074" t="s">
        <v>792</v>
      </c>
      <c r="L1074">
        <v>2</v>
      </c>
    </row>
    <row r="1075" spans="1:12" x14ac:dyDescent="0.25">
      <c r="A1075" t="s">
        <v>391</v>
      </c>
      <c r="B1075" t="s">
        <v>4224</v>
      </c>
      <c r="C1075">
        <v>5100</v>
      </c>
      <c r="D1075" t="s">
        <v>391</v>
      </c>
      <c r="E1075">
        <v>5</v>
      </c>
      <c r="F1075" t="s">
        <v>3092</v>
      </c>
      <c r="G1075" t="s">
        <v>4328</v>
      </c>
      <c r="H1075" t="s">
        <v>4329</v>
      </c>
      <c r="I1075" t="s">
        <v>4330</v>
      </c>
      <c r="K1075" t="s">
        <v>792</v>
      </c>
      <c r="L1075">
        <v>2</v>
      </c>
    </row>
    <row r="1076" spans="1:12" x14ac:dyDescent="0.25">
      <c r="A1076" t="s">
        <v>391</v>
      </c>
      <c r="B1076" t="s">
        <v>4224</v>
      </c>
      <c r="C1076">
        <v>5100</v>
      </c>
      <c r="D1076" t="s">
        <v>391</v>
      </c>
      <c r="E1076">
        <v>5</v>
      </c>
      <c r="F1076" t="s">
        <v>1470</v>
      </c>
      <c r="G1076" t="s">
        <v>2426</v>
      </c>
      <c r="H1076" t="s">
        <v>4331</v>
      </c>
      <c r="I1076" t="s">
        <v>4332</v>
      </c>
      <c r="K1076" t="s">
        <v>792</v>
      </c>
      <c r="L1076">
        <v>2</v>
      </c>
    </row>
    <row r="1077" spans="1:12" x14ac:dyDescent="0.25">
      <c r="A1077" t="s">
        <v>391</v>
      </c>
      <c r="B1077" t="s">
        <v>4224</v>
      </c>
      <c r="C1077">
        <v>5100</v>
      </c>
      <c r="D1077" t="s">
        <v>391</v>
      </c>
      <c r="E1077">
        <v>5</v>
      </c>
      <c r="F1077" t="s">
        <v>1392</v>
      </c>
      <c r="G1077" t="s">
        <v>2615</v>
      </c>
      <c r="H1077" t="s">
        <v>4333</v>
      </c>
      <c r="I1077" t="s">
        <v>4334</v>
      </c>
      <c r="K1077" t="s">
        <v>792</v>
      </c>
      <c r="L1077">
        <v>2</v>
      </c>
    </row>
    <row r="1078" spans="1:12" x14ac:dyDescent="0.25">
      <c r="A1078" t="s">
        <v>391</v>
      </c>
      <c r="B1078" t="s">
        <v>4224</v>
      </c>
      <c r="C1078">
        <v>5100</v>
      </c>
      <c r="D1078" t="s">
        <v>391</v>
      </c>
      <c r="E1078">
        <v>5</v>
      </c>
      <c r="F1078" t="s">
        <v>1371</v>
      </c>
      <c r="G1078" t="s">
        <v>3039</v>
      </c>
      <c r="H1078" t="s">
        <v>4335</v>
      </c>
      <c r="I1078" t="s">
        <v>4336</v>
      </c>
      <c r="K1078" t="s">
        <v>792</v>
      </c>
      <c r="L1078">
        <v>2</v>
      </c>
    </row>
    <row r="1079" spans="1:12" x14ac:dyDescent="0.25">
      <c r="A1079" t="s">
        <v>391</v>
      </c>
      <c r="B1079" t="s">
        <v>4224</v>
      </c>
      <c r="C1079">
        <v>5100</v>
      </c>
      <c r="D1079" t="s">
        <v>391</v>
      </c>
      <c r="E1079">
        <v>5</v>
      </c>
      <c r="F1079" t="s">
        <v>4337</v>
      </c>
      <c r="G1079" t="s">
        <v>4338</v>
      </c>
      <c r="H1079" t="s">
        <v>4339</v>
      </c>
      <c r="I1079" t="s">
        <v>4340</v>
      </c>
      <c r="K1079" t="s">
        <v>792</v>
      </c>
      <c r="L1079">
        <v>2</v>
      </c>
    </row>
    <row r="1080" spans="1:12" x14ac:dyDescent="0.25">
      <c r="A1080" t="s">
        <v>391</v>
      </c>
      <c r="B1080" t="s">
        <v>4224</v>
      </c>
      <c r="C1080">
        <v>5100</v>
      </c>
      <c r="D1080" t="s">
        <v>391</v>
      </c>
      <c r="E1080">
        <v>5</v>
      </c>
      <c r="F1080" t="s">
        <v>1378</v>
      </c>
      <c r="G1080" t="s">
        <v>4341</v>
      </c>
      <c r="H1080" t="s">
        <v>4342</v>
      </c>
      <c r="I1080" t="s">
        <v>4343</v>
      </c>
      <c r="K1080" t="s">
        <v>792</v>
      </c>
      <c r="L1080">
        <v>2</v>
      </c>
    </row>
    <row r="1081" spans="1:12" x14ac:dyDescent="0.25">
      <c r="A1081" t="s">
        <v>391</v>
      </c>
      <c r="B1081" t="s">
        <v>4224</v>
      </c>
      <c r="C1081">
        <v>5100</v>
      </c>
      <c r="D1081" t="s">
        <v>391</v>
      </c>
      <c r="E1081">
        <v>5</v>
      </c>
      <c r="F1081" t="s">
        <v>4344</v>
      </c>
      <c r="G1081" t="s">
        <v>4345</v>
      </c>
      <c r="H1081" t="s">
        <v>4346</v>
      </c>
      <c r="I1081" t="s">
        <v>4347</v>
      </c>
      <c r="K1081" t="s">
        <v>792</v>
      </c>
      <c r="L1081">
        <v>2</v>
      </c>
    </row>
    <row r="1082" spans="1:12" x14ac:dyDescent="0.25">
      <c r="A1082" t="s">
        <v>391</v>
      </c>
      <c r="B1082" t="s">
        <v>4224</v>
      </c>
      <c r="C1082">
        <v>5100</v>
      </c>
      <c r="D1082" t="s">
        <v>391</v>
      </c>
      <c r="E1082">
        <v>5</v>
      </c>
      <c r="F1082" t="s">
        <v>3260</v>
      </c>
      <c r="G1082" t="s">
        <v>3261</v>
      </c>
      <c r="H1082" t="s">
        <v>4348</v>
      </c>
      <c r="I1082" t="s">
        <v>4349</v>
      </c>
      <c r="K1082" t="s">
        <v>792</v>
      </c>
      <c r="L1082">
        <v>2</v>
      </c>
    </row>
    <row r="1083" spans="1:12" x14ac:dyDescent="0.25">
      <c r="A1083" t="s">
        <v>391</v>
      </c>
      <c r="B1083" t="s">
        <v>4224</v>
      </c>
      <c r="C1083">
        <v>5100</v>
      </c>
      <c r="D1083" t="s">
        <v>391</v>
      </c>
      <c r="E1083">
        <v>5</v>
      </c>
      <c r="F1083" t="s">
        <v>4350</v>
      </c>
      <c r="G1083" t="s">
        <v>4351</v>
      </c>
      <c r="H1083" t="s">
        <v>4352</v>
      </c>
      <c r="I1083" t="s">
        <v>4353</v>
      </c>
      <c r="K1083" t="s">
        <v>792</v>
      </c>
      <c r="L1083">
        <v>2</v>
      </c>
    </row>
    <row r="1084" spans="1:12" x14ac:dyDescent="0.25">
      <c r="A1084" t="s">
        <v>391</v>
      </c>
      <c r="B1084" t="s">
        <v>4224</v>
      </c>
      <c r="C1084">
        <v>5100</v>
      </c>
      <c r="D1084" t="s">
        <v>391</v>
      </c>
      <c r="E1084">
        <v>5</v>
      </c>
      <c r="F1084" t="s">
        <v>4354</v>
      </c>
      <c r="G1084" t="s">
        <v>4355</v>
      </c>
      <c r="H1084" t="s">
        <v>4356</v>
      </c>
      <c r="I1084" t="s">
        <v>4357</v>
      </c>
      <c r="K1084" t="s">
        <v>792</v>
      </c>
      <c r="L1084">
        <v>2</v>
      </c>
    </row>
    <row r="1085" spans="1:12" x14ac:dyDescent="0.25">
      <c r="A1085" t="s">
        <v>391</v>
      </c>
      <c r="B1085" t="s">
        <v>4224</v>
      </c>
      <c r="C1085">
        <v>5100</v>
      </c>
      <c r="D1085" t="s">
        <v>391</v>
      </c>
      <c r="E1085">
        <v>5</v>
      </c>
      <c r="F1085" t="s">
        <v>2203</v>
      </c>
      <c r="G1085" t="s">
        <v>1260</v>
      </c>
      <c r="H1085" t="s">
        <v>4358</v>
      </c>
      <c r="I1085" t="s">
        <v>4359</v>
      </c>
      <c r="K1085" t="s">
        <v>792</v>
      </c>
      <c r="L1085">
        <v>2</v>
      </c>
    </row>
    <row r="1086" spans="1:12" x14ac:dyDescent="0.25">
      <c r="A1086" t="s">
        <v>391</v>
      </c>
      <c r="B1086" t="s">
        <v>4224</v>
      </c>
      <c r="C1086">
        <v>5100</v>
      </c>
      <c r="D1086" t="s">
        <v>391</v>
      </c>
      <c r="E1086">
        <v>5</v>
      </c>
      <c r="F1086" t="s">
        <v>873</v>
      </c>
      <c r="G1086" t="s">
        <v>1340</v>
      </c>
      <c r="H1086" t="s">
        <v>4360</v>
      </c>
      <c r="I1086" t="s">
        <v>4361</v>
      </c>
      <c r="K1086" t="s">
        <v>792</v>
      </c>
      <c r="L1086">
        <v>2</v>
      </c>
    </row>
    <row r="1087" spans="1:12" x14ac:dyDescent="0.25">
      <c r="A1087" t="s">
        <v>391</v>
      </c>
      <c r="B1087" t="s">
        <v>4224</v>
      </c>
      <c r="C1087">
        <v>5100</v>
      </c>
      <c r="D1087" t="s">
        <v>391</v>
      </c>
      <c r="E1087">
        <v>5</v>
      </c>
      <c r="F1087" t="s">
        <v>4249</v>
      </c>
      <c r="G1087" t="s">
        <v>4250</v>
      </c>
      <c r="H1087" t="s">
        <v>4362</v>
      </c>
      <c r="I1087" t="s">
        <v>4363</v>
      </c>
      <c r="K1087" t="s">
        <v>792</v>
      </c>
      <c r="L1087">
        <v>2</v>
      </c>
    </row>
    <row r="1088" spans="1:12" x14ac:dyDescent="0.25">
      <c r="A1088" t="s">
        <v>391</v>
      </c>
      <c r="B1088" t="s">
        <v>4224</v>
      </c>
      <c r="C1088">
        <v>5100</v>
      </c>
      <c r="D1088" t="s">
        <v>391</v>
      </c>
      <c r="E1088">
        <v>5</v>
      </c>
      <c r="F1088" t="s">
        <v>872</v>
      </c>
      <c r="G1088" t="s">
        <v>1268</v>
      </c>
      <c r="H1088" t="s">
        <v>4364</v>
      </c>
      <c r="I1088" t="s">
        <v>3041</v>
      </c>
      <c r="K1088" t="s">
        <v>792</v>
      </c>
      <c r="L1088">
        <v>2</v>
      </c>
    </row>
    <row r="1089" spans="1:12" x14ac:dyDescent="0.25">
      <c r="A1089" t="s">
        <v>391</v>
      </c>
      <c r="B1089" t="s">
        <v>4224</v>
      </c>
      <c r="C1089">
        <v>5100</v>
      </c>
      <c r="D1089" t="s">
        <v>391</v>
      </c>
      <c r="E1089">
        <v>5</v>
      </c>
      <c r="F1089" t="s">
        <v>2665</v>
      </c>
      <c r="G1089" t="s">
        <v>2666</v>
      </c>
      <c r="H1089" t="s">
        <v>4365</v>
      </c>
      <c r="I1089" t="s">
        <v>4366</v>
      </c>
      <c r="K1089" t="s">
        <v>792</v>
      </c>
      <c r="L1089">
        <v>2</v>
      </c>
    </row>
    <row r="1090" spans="1:12" x14ac:dyDescent="0.25">
      <c r="A1090" t="s">
        <v>4367</v>
      </c>
      <c r="B1090" t="s">
        <v>4224</v>
      </c>
      <c r="C1090">
        <v>5110</v>
      </c>
      <c r="D1090" t="s">
        <v>4367</v>
      </c>
      <c r="E1090">
        <v>4</v>
      </c>
      <c r="F1090" t="s">
        <v>4322</v>
      </c>
      <c r="G1090" t="s">
        <v>4323</v>
      </c>
      <c r="H1090" t="s">
        <v>4368</v>
      </c>
      <c r="I1090" t="s">
        <v>4369</v>
      </c>
      <c r="K1090" t="s">
        <v>792</v>
      </c>
      <c r="L1090">
        <v>2</v>
      </c>
    </row>
    <row r="1091" spans="1:12" x14ac:dyDescent="0.25">
      <c r="A1091" t="s">
        <v>4367</v>
      </c>
      <c r="B1091" t="s">
        <v>4224</v>
      </c>
      <c r="C1091">
        <v>5110</v>
      </c>
      <c r="D1091" t="s">
        <v>4367</v>
      </c>
      <c r="E1091">
        <v>4</v>
      </c>
      <c r="F1091" t="s">
        <v>2203</v>
      </c>
      <c r="G1091" t="s">
        <v>1260</v>
      </c>
      <c r="H1091" t="s">
        <v>4370</v>
      </c>
      <c r="I1091" t="s">
        <v>4371</v>
      </c>
      <c r="K1091" t="s">
        <v>792</v>
      </c>
      <c r="L1091">
        <v>2</v>
      </c>
    </row>
    <row r="1092" spans="1:12" x14ac:dyDescent="0.25">
      <c r="A1092" t="s">
        <v>4367</v>
      </c>
      <c r="B1092" t="s">
        <v>4224</v>
      </c>
      <c r="C1092">
        <v>5110</v>
      </c>
      <c r="D1092" t="s">
        <v>4367</v>
      </c>
      <c r="E1092">
        <v>4</v>
      </c>
      <c r="F1092" t="s">
        <v>4354</v>
      </c>
      <c r="G1092" t="s">
        <v>4355</v>
      </c>
      <c r="H1092" t="s">
        <v>4372</v>
      </c>
      <c r="I1092" t="s">
        <v>4373</v>
      </c>
      <c r="K1092" t="s">
        <v>792</v>
      </c>
      <c r="L1092">
        <v>2</v>
      </c>
    </row>
    <row r="1093" spans="1:12" x14ac:dyDescent="0.25">
      <c r="A1093" t="s">
        <v>4367</v>
      </c>
      <c r="B1093" t="s">
        <v>4224</v>
      </c>
      <c r="C1093">
        <v>5110</v>
      </c>
      <c r="D1093" t="s">
        <v>4367</v>
      </c>
      <c r="E1093">
        <v>4</v>
      </c>
      <c r="F1093" t="s">
        <v>1378</v>
      </c>
      <c r="G1093" t="s">
        <v>4341</v>
      </c>
      <c r="H1093" t="s">
        <v>4374</v>
      </c>
      <c r="I1093" t="s">
        <v>4375</v>
      </c>
      <c r="K1093" t="s">
        <v>792</v>
      </c>
      <c r="L1093">
        <v>2</v>
      </c>
    </row>
    <row r="1094" spans="1:12" x14ac:dyDescent="0.25">
      <c r="A1094" t="s">
        <v>4367</v>
      </c>
      <c r="B1094" t="s">
        <v>4224</v>
      </c>
      <c r="C1094">
        <v>5110</v>
      </c>
      <c r="D1094" t="s">
        <v>4367</v>
      </c>
      <c r="E1094">
        <v>4</v>
      </c>
      <c r="F1094" t="s">
        <v>4344</v>
      </c>
      <c r="G1094" t="s">
        <v>4345</v>
      </c>
      <c r="H1094" t="s">
        <v>4376</v>
      </c>
      <c r="I1094" t="s">
        <v>4377</v>
      </c>
      <c r="K1094" t="s">
        <v>792</v>
      </c>
      <c r="L1094">
        <v>2</v>
      </c>
    </row>
    <row r="1095" spans="1:12" x14ac:dyDescent="0.25">
      <c r="A1095" t="s">
        <v>4367</v>
      </c>
      <c r="B1095" t="s">
        <v>4224</v>
      </c>
      <c r="C1095">
        <v>5110</v>
      </c>
      <c r="D1095" t="s">
        <v>4367</v>
      </c>
      <c r="E1095">
        <v>4</v>
      </c>
      <c r="F1095" t="s">
        <v>4344</v>
      </c>
      <c r="G1095" t="s">
        <v>4345</v>
      </c>
      <c r="H1095" t="s">
        <v>4378</v>
      </c>
      <c r="I1095" t="s">
        <v>4379</v>
      </c>
      <c r="K1095" t="s">
        <v>792</v>
      </c>
      <c r="L1095">
        <v>2</v>
      </c>
    </row>
    <row r="1096" spans="1:12" x14ac:dyDescent="0.25">
      <c r="A1096" t="s">
        <v>4367</v>
      </c>
      <c r="B1096" t="s">
        <v>4224</v>
      </c>
      <c r="C1096">
        <v>5110</v>
      </c>
      <c r="D1096" t="s">
        <v>4367</v>
      </c>
      <c r="E1096">
        <v>4</v>
      </c>
      <c r="F1096" t="s">
        <v>2203</v>
      </c>
      <c r="G1096" t="s">
        <v>1260</v>
      </c>
      <c r="H1096" t="s">
        <v>4380</v>
      </c>
      <c r="I1096" t="s">
        <v>4381</v>
      </c>
      <c r="K1096" t="s">
        <v>792</v>
      </c>
      <c r="L1096">
        <v>2</v>
      </c>
    </row>
    <row r="1097" spans="1:12" x14ac:dyDescent="0.25">
      <c r="A1097" t="s">
        <v>4367</v>
      </c>
      <c r="B1097" t="s">
        <v>4224</v>
      </c>
      <c r="C1097">
        <v>5110</v>
      </c>
      <c r="D1097" t="s">
        <v>4367</v>
      </c>
      <c r="E1097">
        <v>4</v>
      </c>
      <c r="F1097" t="s">
        <v>3156</v>
      </c>
      <c r="G1097" t="s">
        <v>3157</v>
      </c>
      <c r="H1097" t="s">
        <v>4382</v>
      </c>
      <c r="I1097" t="s">
        <v>4383</v>
      </c>
      <c r="K1097" t="s">
        <v>792</v>
      </c>
      <c r="L1097">
        <v>2</v>
      </c>
    </row>
    <row r="1098" spans="1:12" x14ac:dyDescent="0.25">
      <c r="A1098" t="s">
        <v>4367</v>
      </c>
      <c r="B1098" t="s">
        <v>4224</v>
      </c>
      <c r="C1098">
        <v>5110</v>
      </c>
      <c r="D1098" t="s">
        <v>4367</v>
      </c>
      <c r="E1098">
        <v>4</v>
      </c>
      <c r="F1098" t="s">
        <v>4354</v>
      </c>
      <c r="G1098" t="s">
        <v>4384</v>
      </c>
      <c r="H1098" t="s">
        <v>4385</v>
      </c>
      <c r="I1098" t="s">
        <v>4386</v>
      </c>
      <c r="K1098" t="s">
        <v>792</v>
      </c>
      <c r="L1098">
        <v>2</v>
      </c>
    </row>
    <row r="1099" spans="1:12" x14ac:dyDescent="0.25">
      <c r="A1099" t="s">
        <v>4367</v>
      </c>
      <c r="B1099" t="s">
        <v>4224</v>
      </c>
      <c r="C1099">
        <v>5110</v>
      </c>
      <c r="D1099" t="s">
        <v>4367</v>
      </c>
      <c r="E1099">
        <v>4</v>
      </c>
      <c r="F1099" t="s">
        <v>4350</v>
      </c>
      <c r="G1099" t="s">
        <v>4351</v>
      </c>
      <c r="H1099" t="s">
        <v>4387</v>
      </c>
      <c r="I1099" t="s">
        <v>4388</v>
      </c>
      <c r="K1099" t="s">
        <v>792</v>
      </c>
      <c r="L1099">
        <v>2</v>
      </c>
    </row>
    <row r="1100" spans="1:12" x14ac:dyDescent="0.25">
      <c r="A1100" t="s">
        <v>4367</v>
      </c>
      <c r="B1100" t="s">
        <v>4224</v>
      </c>
      <c r="C1100">
        <v>5110</v>
      </c>
      <c r="D1100" t="s">
        <v>4367</v>
      </c>
      <c r="E1100">
        <v>4</v>
      </c>
      <c r="F1100" t="s">
        <v>3260</v>
      </c>
      <c r="G1100" t="s">
        <v>3261</v>
      </c>
      <c r="H1100" t="s">
        <v>4389</v>
      </c>
      <c r="I1100" t="s">
        <v>4390</v>
      </c>
      <c r="K1100" t="s">
        <v>792</v>
      </c>
      <c r="L1100">
        <v>2</v>
      </c>
    </row>
    <row r="1101" spans="1:12" x14ac:dyDescent="0.25">
      <c r="A1101" t="s">
        <v>4367</v>
      </c>
      <c r="B1101" t="s">
        <v>4224</v>
      </c>
      <c r="C1101">
        <v>5110</v>
      </c>
      <c r="D1101" t="s">
        <v>4367</v>
      </c>
      <c r="E1101">
        <v>4</v>
      </c>
      <c r="F1101" t="s">
        <v>4337</v>
      </c>
      <c r="G1101" t="s">
        <v>4391</v>
      </c>
      <c r="H1101" t="s">
        <v>4392</v>
      </c>
      <c r="I1101" t="s">
        <v>4393</v>
      </c>
      <c r="K1101" t="s">
        <v>792</v>
      </c>
      <c r="L1101">
        <v>2</v>
      </c>
    </row>
    <row r="1102" spans="1:12" x14ac:dyDescent="0.25">
      <c r="A1102" t="s">
        <v>4367</v>
      </c>
      <c r="B1102" t="s">
        <v>4224</v>
      </c>
      <c r="C1102">
        <v>5110</v>
      </c>
      <c r="D1102" t="s">
        <v>4367</v>
      </c>
      <c r="E1102">
        <v>4</v>
      </c>
      <c r="F1102" t="s">
        <v>873</v>
      </c>
      <c r="G1102" t="s">
        <v>1340</v>
      </c>
      <c r="H1102" t="s">
        <v>4394</v>
      </c>
      <c r="I1102" t="s">
        <v>2470</v>
      </c>
      <c r="K1102" t="s">
        <v>792</v>
      </c>
      <c r="L1102">
        <v>2</v>
      </c>
    </row>
    <row r="1103" spans="1:12" x14ac:dyDescent="0.25">
      <c r="A1103" t="s">
        <v>4367</v>
      </c>
      <c r="B1103" t="s">
        <v>4224</v>
      </c>
      <c r="C1103">
        <v>5110</v>
      </c>
      <c r="D1103" t="s">
        <v>4367</v>
      </c>
      <c r="E1103">
        <v>4</v>
      </c>
      <c r="F1103" t="s">
        <v>4249</v>
      </c>
      <c r="G1103" t="s">
        <v>4250</v>
      </c>
      <c r="H1103" t="s">
        <v>4395</v>
      </c>
      <c r="I1103" t="s">
        <v>4396</v>
      </c>
      <c r="K1103" t="s">
        <v>792</v>
      </c>
      <c r="L1103">
        <v>2</v>
      </c>
    </row>
    <row r="1104" spans="1:12" x14ac:dyDescent="0.25">
      <c r="A1104" t="s">
        <v>4367</v>
      </c>
      <c r="B1104" t="s">
        <v>4224</v>
      </c>
      <c r="C1104">
        <v>5110</v>
      </c>
      <c r="D1104" t="s">
        <v>4367</v>
      </c>
      <c r="E1104">
        <v>4</v>
      </c>
      <c r="F1104" t="s">
        <v>953</v>
      </c>
      <c r="G1104" t="s">
        <v>1342</v>
      </c>
      <c r="H1104" t="s">
        <v>4397</v>
      </c>
      <c r="I1104" t="s">
        <v>3043</v>
      </c>
      <c r="K1104" t="s">
        <v>792</v>
      </c>
      <c r="L1104">
        <v>2</v>
      </c>
    </row>
    <row r="1105" spans="1:12" x14ac:dyDescent="0.25">
      <c r="A1105" t="s">
        <v>4367</v>
      </c>
      <c r="B1105" t="s">
        <v>4224</v>
      </c>
      <c r="C1105">
        <v>5110</v>
      </c>
      <c r="D1105" t="s">
        <v>4367</v>
      </c>
      <c r="E1105">
        <v>4</v>
      </c>
      <c r="F1105" t="s">
        <v>2665</v>
      </c>
      <c r="G1105" t="s">
        <v>2666</v>
      </c>
      <c r="H1105" t="s">
        <v>4398</v>
      </c>
      <c r="I1105" t="s">
        <v>4399</v>
      </c>
      <c r="K1105" t="s">
        <v>792</v>
      </c>
      <c r="L1105">
        <v>2</v>
      </c>
    </row>
    <row r="1106" spans="1:12" x14ac:dyDescent="0.25">
      <c r="A1106" t="s">
        <v>4507</v>
      </c>
      <c r="B1106" t="s">
        <v>4224</v>
      </c>
      <c r="C1106">
        <v>1120</v>
      </c>
      <c r="D1106" t="s">
        <v>2422</v>
      </c>
      <c r="E1106" t="s">
        <v>2423</v>
      </c>
      <c r="F1106" t="s">
        <v>1448</v>
      </c>
      <c r="G1106" t="s">
        <v>1724</v>
      </c>
      <c r="H1106" t="s">
        <v>2424</v>
      </c>
      <c r="I1106" t="s">
        <v>2425</v>
      </c>
      <c r="K1106" t="s">
        <v>792</v>
      </c>
      <c r="L1106">
        <v>2</v>
      </c>
    </row>
    <row r="1107" spans="1:12" x14ac:dyDescent="0.25">
      <c r="A1107" t="s">
        <v>4507</v>
      </c>
      <c r="B1107" t="s">
        <v>4224</v>
      </c>
      <c r="C1107">
        <v>1120</v>
      </c>
      <c r="D1107" t="s">
        <v>2422</v>
      </c>
      <c r="E1107" t="s">
        <v>2423</v>
      </c>
      <c r="F1107" t="s">
        <v>1470</v>
      </c>
      <c r="G1107" t="s">
        <v>2426</v>
      </c>
      <c r="H1107" t="s">
        <v>2427</v>
      </c>
      <c r="I1107" t="s">
        <v>1453</v>
      </c>
      <c r="K1107" t="s">
        <v>792</v>
      </c>
      <c r="L1107">
        <v>2</v>
      </c>
    </row>
    <row r="1108" spans="1:12" x14ac:dyDescent="0.25">
      <c r="A1108" t="s">
        <v>4507</v>
      </c>
      <c r="B1108" t="s">
        <v>4224</v>
      </c>
      <c r="C1108">
        <v>1120</v>
      </c>
      <c r="D1108" t="s">
        <v>2422</v>
      </c>
      <c r="E1108" t="s">
        <v>2423</v>
      </c>
      <c r="F1108" t="s">
        <v>1470</v>
      </c>
      <c r="G1108" t="s">
        <v>2426</v>
      </c>
      <c r="H1108" t="s">
        <v>2428</v>
      </c>
      <c r="I1108" t="s">
        <v>2429</v>
      </c>
      <c r="K1108" t="s">
        <v>792</v>
      </c>
      <c r="L1108">
        <v>2</v>
      </c>
    </row>
    <row r="1109" spans="1:12" x14ac:dyDescent="0.25">
      <c r="A1109" t="s">
        <v>4507</v>
      </c>
      <c r="B1109" t="s">
        <v>4224</v>
      </c>
      <c r="C1109">
        <v>1120</v>
      </c>
      <c r="D1109" t="s">
        <v>2422</v>
      </c>
      <c r="E1109" t="s">
        <v>2423</v>
      </c>
      <c r="F1109" t="s">
        <v>2430</v>
      </c>
      <c r="G1109" t="s">
        <v>2431</v>
      </c>
      <c r="H1109" t="s">
        <v>2432</v>
      </c>
      <c r="I1109" t="s">
        <v>2433</v>
      </c>
      <c r="K1109" t="s">
        <v>792</v>
      </c>
      <c r="L1109">
        <v>2</v>
      </c>
    </row>
    <row r="1110" spans="1:12" x14ac:dyDescent="0.25">
      <c r="A1110" t="s">
        <v>4507</v>
      </c>
      <c r="B1110" t="s">
        <v>4224</v>
      </c>
      <c r="C1110">
        <v>1120</v>
      </c>
      <c r="D1110" t="s">
        <v>2422</v>
      </c>
      <c r="E1110" t="s">
        <v>2423</v>
      </c>
      <c r="F1110" t="s">
        <v>2430</v>
      </c>
      <c r="G1110" t="s">
        <v>2431</v>
      </c>
      <c r="H1110" t="s">
        <v>2434</v>
      </c>
      <c r="I1110" t="s">
        <v>2435</v>
      </c>
      <c r="K1110" t="s">
        <v>792</v>
      </c>
      <c r="L1110">
        <v>2</v>
      </c>
    </row>
    <row r="1111" spans="1:12" x14ac:dyDescent="0.25">
      <c r="A1111" t="s">
        <v>4507</v>
      </c>
      <c r="B1111" t="s">
        <v>4224</v>
      </c>
      <c r="C1111">
        <v>1120</v>
      </c>
      <c r="D1111" t="s">
        <v>2422</v>
      </c>
      <c r="E1111" t="s">
        <v>2423</v>
      </c>
      <c r="F1111" t="s">
        <v>2436</v>
      </c>
      <c r="G1111" t="s">
        <v>2437</v>
      </c>
      <c r="H1111" t="s">
        <v>2438</v>
      </c>
      <c r="I1111" t="s">
        <v>2439</v>
      </c>
      <c r="K1111" t="s">
        <v>792</v>
      </c>
      <c r="L1111">
        <v>2</v>
      </c>
    </row>
    <row r="1112" spans="1:12" x14ac:dyDescent="0.25">
      <c r="A1112" t="s">
        <v>4507</v>
      </c>
      <c r="B1112" t="s">
        <v>4224</v>
      </c>
      <c r="C1112">
        <v>1120</v>
      </c>
      <c r="D1112" t="s">
        <v>2422</v>
      </c>
      <c r="E1112" t="s">
        <v>2423</v>
      </c>
      <c r="F1112" t="s">
        <v>2436</v>
      </c>
      <c r="G1112" t="s">
        <v>2437</v>
      </c>
      <c r="H1112" t="s">
        <v>2440</v>
      </c>
      <c r="I1112" t="s">
        <v>2441</v>
      </c>
      <c r="K1112" t="s">
        <v>792</v>
      </c>
      <c r="L1112">
        <v>2</v>
      </c>
    </row>
    <row r="1113" spans="1:12" x14ac:dyDescent="0.25">
      <c r="A1113" t="s">
        <v>4507</v>
      </c>
      <c r="B1113" t="s">
        <v>4224</v>
      </c>
      <c r="C1113">
        <v>1120</v>
      </c>
      <c r="D1113" t="s">
        <v>2422</v>
      </c>
      <c r="E1113" t="s">
        <v>2423</v>
      </c>
      <c r="F1113" t="s">
        <v>2442</v>
      </c>
      <c r="G1113" t="s">
        <v>2443</v>
      </c>
      <c r="H1113" t="s">
        <v>2444</v>
      </c>
      <c r="I1113" t="s">
        <v>2445</v>
      </c>
      <c r="K1113" t="s">
        <v>792</v>
      </c>
      <c r="L1113">
        <v>2</v>
      </c>
    </row>
    <row r="1114" spans="1:12" x14ac:dyDescent="0.25">
      <c r="A1114" t="s">
        <v>4507</v>
      </c>
      <c r="B1114" t="s">
        <v>4224</v>
      </c>
      <c r="C1114">
        <v>1120</v>
      </c>
      <c r="D1114" t="s">
        <v>2422</v>
      </c>
      <c r="E1114" t="s">
        <v>2423</v>
      </c>
      <c r="F1114" t="s">
        <v>2442</v>
      </c>
      <c r="G1114" t="s">
        <v>2443</v>
      </c>
      <c r="H1114" t="s">
        <v>2446</v>
      </c>
      <c r="I1114" t="s">
        <v>2447</v>
      </c>
      <c r="K1114" t="s">
        <v>792</v>
      </c>
      <c r="L1114">
        <v>2</v>
      </c>
    </row>
    <row r="1115" spans="1:12" x14ac:dyDescent="0.25">
      <c r="A1115" t="s">
        <v>4507</v>
      </c>
      <c r="B1115" t="s">
        <v>4224</v>
      </c>
      <c r="C1115">
        <v>1120</v>
      </c>
      <c r="D1115" t="s">
        <v>2422</v>
      </c>
      <c r="E1115" t="s">
        <v>2423</v>
      </c>
      <c r="F1115" t="s">
        <v>963</v>
      </c>
      <c r="G1115" t="s">
        <v>2448</v>
      </c>
      <c r="H1115" t="s">
        <v>2449</v>
      </c>
      <c r="I1115" t="s">
        <v>2450</v>
      </c>
      <c r="K1115" t="s">
        <v>792</v>
      </c>
      <c r="L1115">
        <v>2</v>
      </c>
    </row>
    <row r="1116" spans="1:12" x14ac:dyDescent="0.25">
      <c r="A1116" t="s">
        <v>4507</v>
      </c>
      <c r="B1116" t="s">
        <v>4224</v>
      </c>
      <c r="C1116">
        <v>1120</v>
      </c>
      <c r="D1116" t="s">
        <v>2422</v>
      </c>
      <c r="E1116" t="s">
        <v>2423</v>
      </c>
      <c r="F1116" t="s">
        <v>2451</v>
      </c>
      <c r="G1116" t="s">
        <v>2452</v>
      </c>
      <c r="H1116" t="s">
        <v>2453</v>
      </c>
      <c r="I1116" t="s">
        <v>2454</v>
      </c>
      <c r="K1116" t="s">
        <v>792</v>
      </c>
      <c r="L1116">
        <v>2</v>
      </c>
    </row>
    <row r="1117" spans="1:12" x14ac:dyDescent="0.25">
      <c r="A1117" t="s">
        <v>4507</v>
      </c>
      <c r="B1117" t="s">
        <v>4224</v>
      </c>
      <c r="C1117">
        <v>1120</v>
      </c>
      <c r="D1117" t="s">
        <v>2422</v>
      </c>
      <c r="E1117" t="s">
        <v>2423</v>
      </c>
      <c r="F1117" t="s">
        <v>2455</v>
      </c>
      <c r="G1117" t="s">
        <v>2456</v>
      </c>
      <c r="H1117" t="s">
        <v>2457</v>
      </c>
      <c r="I1117" t="s">
        <v>2458</v>
      </c>
      <c r="K1117" t="s">
        <v>792</v>
      </c>
      <c r="L1117">
        <v>2</v>
      </c>
    </row>
    <row r="1118" spans="1:12" x14ac:dyDescent="0.25">
      <c r="A1118" t="s">
        <v>4507</v>
      </c>
      <c r="B1118" t="s">
        <v>4224</v>
      </c>
      <c r="C1118">
        <v>1120</v>
      </c>
      <c r="D1118" t="s">
        <v>2422</v>
      </c>
      <c r="E1118" t="s">
        <v>2423</v>
      </c>
      <c r="F1118" t="s">
        <v>2459</v>
      </c>
      <c r="G1118" t="s">
        <v>2460</v>
      </c>
      <c r="H1118" t="s">
        <v>2461</v>
      </c>
      <c r="I1118" t="s">
        <v>2462</v>
      </c>
      <c r="K1118" t="s">
        <v>792</v>
      </c>
      <c r="L1118">
        <v>2</v>
      </c>
    </row>
    <row r="1119" spans="1:12" x14ac:dyDescent="0.25">
      <c r="A1119" t="s">
        <v>4507</v>
      </c>
      <c r="B1119" t="s">
        <v>4224</v>
      </c>
      <c r="C1119">
        <v>1120</v>
      </c>
      <c r="D1119" t="s">
        <v>2422</v>
      </c>
      <c r="E1119" t="s">
        <v>2423</v>
      </c>
      <c r="F1119" t="s">
        <v>2459</v>
      </c>
      <c r="G1119" t="s">
        <v>2460</v>
      </c>
      <c r="H1119" t="s">
        <v>2463</v>
      </c>
      <c r="I1119" t="s">
        <v>2464</v>
      </c>
      <c r="K1119" t="s">
        <v>792</v>
      </c>
      <c r="L1119">
        <v>2</v>
      </c>
    </row>
    <row r="1120" spans="1:12" x14ac:dyDescent="0.25">
      <c r="A1120" t="s">
        <v>4507</v>
      </c>
      <c r="B1120" t="s">
        <v>4224</v>
      </c>
      <c r="C1120">
        <v>1120</v>
      </c>
      <c r="D1120" t="s">
        <v>2422</v>
      </c>
      <c r="E1120" t="s">
        <v>2423</v>
      </c>
      <c r="F1120" t="s">
        <v>2465</v>
      </c>
      <c r="G1120" t="s">
        <v>2466</v>
      </c>
      <c r="H1120" t="s">
        <v>2467</v>
      </c>
      <c r="I1120" t="s">
        <v>2468</v>
      </c>
      <c r="K1120" t="s">
        <v>792</v>
      </c>
      <c r="L1120">
        <v>2</v>
      </c>
    </row>
    <row r="1121" spans="1:12" x14ac:dyDescent="0.25">
      <c r="A1121" t="s">
        <v>4507</v>
      </c>
      <c r="B1121" t="s">
        <v>4224</v>
      </c>
      <c r="C1121">
        <v>1120</v>
      </c>
      <c r="D1121" t="s">
        <v>2422</v>
      </c>
      <c r="E1121" t="s">
        <v>2423</v>
      </c>
      <c r="F1121" t="s">
        <v>2465</v>
      </c>
      <c r="G1121" t="s">
        <v>2466</v>
      </c>
      <c r="H1121" t="s">
        <v>2469</v>
      </c>
      <c r="I1121" t="s">
        <v>2470</v>
      </c>
      <c r="K1121" t="s">
        <v>792</v>
      </c>
      <c r="L1121">
        <v>2</v>
      </c>
    </row>
    <row r="1122" spans="1:12" x14ac:dyDescent="0.25">
      <c r="A1122" t="s">
        <v>4507</v>
      </c>
      <c r="B1122" t="s">
        <v>4224</v>
      </c>
      <c r="C1122">
        <v>1120</v>
      </c>
      <c r="D1122" t="s">
        <v>2422</v>
      </c>
      <c r="E1122" t="s">
        <v>2423</v>
      </c>
      <c r="F1122" t="s">
        <v>873</v>
      </c>
      <c r="G1122" t="s">
        <v>1340</v>
      </c>
      <c r="H1122" t="s">
        <v>2471</v>
      </c>
      <c r="I1122" t="s">
        <v>2472</v>
      </c>
      <c r="K1122" t="s">
        <v>792</v>
      </c>
      <c r="L1122">
        <v>2</v>
      </c>
    </row>
    <row r="1123" spans="1:12" x14ac:dyDescent="0.25">
      <c r="A1123" t="s">
        <v>4507</v>
      </c>
      <c r="B1123" t="s">
        <v>4224</v>
      </c>
      <c r="C1123">
        <v>1120</v>
      </c>
      <c r="D1123" t="s">
        <v>2422</v>
      </c>
      <c r="E1123" t="s">
        <v>2423</v>
      </c>
      <c r="F1123" t="s">
        <v>2473</v>
      </c>
      <c r="G1123" t="s">
        <v>2474</v>
      </c>
      <c r="H1123" t="s">
        <v>2475</v>
      </c>
      <c r="I1123" t="s">
        <v>2476</v>
      </c>
      <c r="K1123" t="s">
        <v>792</v>
      </c>
      <c r="L1123">
        <v>2</v>
      </c>
    </row>
    <row r="1124" spans="1:12" x14ac:dyDescent="0.25">
      <c r="A1124" t="s">
        <v>72</v>
      </c>
      <c r="B1124" t="s">
        <v>1622</v>
      </c>
      <c r="C1124">
        <v>5113</v>
      </c>
      <c r="D1124" t="s">
        <v>72</v>
      </c>
      <c r="E1124">
        <v>1</v>
      </c>
      <c r="F1124" t="s">
        <v>1448</v>
      </c>
      <c r="G1124" t="s">
        <v>1724</v>
      </c>
      <c r="H1124" t="s">
        <v>1540</v>
      </c>
      <c r="I1124" t="s">
        <v>2209</v>
      </c>
      <c r="K1124" t="s">
        <v>792</v>
      </c>
      <c r="L1124">
        <v>2</v>
      </c>
    </row>
    <row r="1125" spans="1:12" x14ac:dyDescent="0.25">
      <c r="A1125" t="s">
        <v>72</v>
      </c>
      <c r="B1125" t="s">
        <v>1622</v>
      </c>
      <c r="C1125">
        <v>5113</v>
      </c>
      <c r="D1125" t="s">
        <v>72</v>
      </c>
      <c r="E1125">
        <v>1</v>
      </c>
      <c r="F1125" t="s">
        <v>2207</v>
      </c>
      <c r="G1125" t="s">
        <v>2210</v>
      </c>
      <c r="H1125" t="s">
        <v>4400</v>
      </c>
      <c r="I1125" t="s">
        <v>4401</v>
      </c>
      <c r="K1125" t="s">
        <v>792</v>
      </c>
      <c r="L1125">
        <v>2</v>
      </c>
    </row>
    <row r="1126" spans="1:12" x14ac:dyDescent="0.25">
      <c r="A1126" t="s">
        <v>72</v>
      </c>
      <c r="B1126" t="s">
        <v>1622</v>
      </c>
      <c r="C1126">
        <v>5113</v>
      </c>
      <c r="D1126" t="s">
        <v>72</v>
      </c>
      <c r="E1126">
        <v>1</v>
      </c>
      <c r="F1126" t="s">
        <v>871</v>
      </c>
      <c r="G1126" t="s">
        <v>1266</v>
      </c>
      <c r="H1126" t="s">
        <v>4402</v>
      </c>
      <c r="I1126" t="s">
        <v>2212</v>
      </c>
      <c r="K1126" t="s">
        <v>792</v>
      </c>
      <c r="L1126">
        <v>2</v>
      </c>
    </row>
    <row r="1127" spans="1:12" x14ac:dyDescent="0.25">
      <c r="A1127" t="s">
        <v>72</v>
      </c>
      <c r="B1127" t="s">
        <v>1622</v>
      </c>
      <c r="C1127">
        <v>5113</v>
      </c>
      <c r="D1127" t="s">
        <v>72</v>
      </c>
      <c r="E1127">
        <v>1</v>
      </c>
      <c r="F1127" t="s">
        <v>2215</v>
      </c>
      <c r="G1127" t="s">
        <v>2216</v>
      </c>
      <c r="H1127" t="s">
        <v>4403</v>
      </c>
      <c r="I1127" t="s">
        <v>1413</v>
      </c>
      <c r="K1127" t="s">
        <v>792</v>
      </c>
      <c r="L1127">
        <v>2</v>
      </c>
    </row>
    <row r="1128" spans="1:12" x14ac:dyDescent="0.25">
      <c r="A1128" t="s">
        <v>72</v>
      </c>
      <c r="B1128" t="s">
        <v>1622</v>
      </c>
      <c r="C1128">
        <v>5113</v>
      </c>
      <c r="D1128" t="s">
        <v>72</v>
      </c>
      <c r="E1128">
        <v>1</v>
      </c>
      <c r="F1128" t="s">
        <v>2665</v>
      </c>
      <c r="G1128" t="s">
        <v>4404</v>
      </c>
      <c r="H1128" t="s">
        <v>4405</v>
      </c>
      <c r="I1128" t="s">
        <v>1325</v>
      </c>
      <c r="K1128" t="s">
        <v>792</v>
      </c>
      <c r="L1128">
        <v>2</v>
      </c>
    </row>
    <row r="1129" spans="1:12" x14ac:dyDescent="0.25">
      <c r="A1129" t="s">
        <v>72</v>
      </c>
      <c r="B1129" t="s">
        <v>4406</v>
      </c>
      <c r="C1129">
        <v>5113</v>
      </c>
      <c r="D1129" t="s">
        <v>72</v>
      </c>
      <c r="E1129">
        <v>1</v>
      </c>
      <c r="F1129" t="s">
        <v>4344</v>
      </c>
      <c r="G1129" t="s">
        <v>4407</v>
      </c>
      <c r="H1129" t="s">
        <v>4408</v>
      </c>
      <c r="I1129" t="s">
        <v>4379</v>
      </c>
      <c r="K1129" t="s">
        <v>792</v>
      </c>
      <c r="L1129">
        <v>2</v>
      </c>
    </row>
    <row r="1130" spans="1:12" x14ac:dyDescent="0.25">
      <c r="A1130" t="s">
        <v>72</v>
      </c>
      <c r="B1130" t="s">
        <v>4406</v>
      </c>
      <c r="C1130">
        <v>5113</v>
      </c>
      <c r="D1130" t="s">
        <v>72</v>
      </c>
      <c r="E1130">
        <v>1</v>
      </c>
      <c r="F1130" t="s">
        <v>4344</v>
      </c>
      <c r="G1130" t="s">
        <v>4407</v>
      </c>
      <c r="H1130" t="s">
        <v>4409</v>
      </c>
      <c r="I1130" t="s">
        <v>4410</v>
      </c>
      <c r="K1130" t="s">
        <v>792</v>
      </c>
      <c r="L1130">
        <v>2</v>
      </c>
    </row>
    <row r="1131" spans="1:12" x14ac:dyDescent="0.25">
      <c r="A1131" t="s">
        <v>72</v>
      </c>
      <c r="B1131" t="s">
        <v>4406</v>
      </c>
      <c r="C1131">
        <v>5113</v>
      </c>
      <c r="D1131" t="s">
        <v>72</v>
      </c>
      <c r="E1131">
        <v>1</v>
      </c>
      <c r="F1131" t="s">
        <v>4344</v>
      </c>
      <c r="G1131" t="s">
        <v>4411</v>
      </c>
      <c r="H1131" t="s">
        <v>4412</v>
      </c>
      <c r="I1131" t="s">
        <v>4413</v>
      </c>
      <c r="K1131" t="s">
        <v>792</v>
      </c>
      <c r="L1131">
        <v>2</v>
      </c>
    </row>
    <row r="1132" spans="1:12" x14ac:dyDescent="0.25">
      <c r="A1132" t="s">
        <v>72</v>
      </c>
      <c r="B1132" t="s">
        <v>4406</v>
      </c>
      <c r="C1132">
        <v>5113</v>
      </c>
      <c r="D1132" t="s">
        <v>72</v>
      </c>
      <c r="E1132">
        <v>1</v>
      </c>
      <c r="F1132" t="s">
        <v>4337</v>
      </c>
      <c r="G1132" t="s">
        <v>1344</v>
      </c>
      <c r="H1132" t="s">
        <v>4414</v>
      </c>
      <c r="I1132" t="s">
        <v>4415</v>
      </c>
      <c r="K1132" t="s">
        <v>792</v>
      </c>
      <c r="L1132">
        <v>2</v>
      </c>
    </row>
    <row r="1133" spans="1:12" x14ac:dyDescent="0.25">
      <c r="A1133" t="s">
        <v>72</v>
      </c>
      <c r="B1133" t="s">
        <v>4406</v>
      </c>
      <c r="C1133">
        <v>5113</v>
      </c>
      <c r="D1133" t="s">
        <v>72</v>
      </c>
      <c r="E1133">
        <v>1</v>
      </c>
      <c r="F1133" t="s">
        <v>4337</v>
      </c>
      <c r="G1133" t="s">
        <v>1344</v>
      </c>
      <c r="H1133" t="s">
        <v>4416</v>
      </c>
      <c r="I1133" t="s">
        <v>4417</v>
      </c>
      <c r="K1133" t="s">
        <v>792</v>
      </c>
      <c r="L1133">
        <v>2</v>
      </c>
    </row>
    <row r="1134" spans="1:12" x14ac:dyDescent="0.25">
      <c r="A1134" t="s">
        <v>72</v>
      </c>
      <c r="B1134" t="s">
        <v>4418</v>
      </c>
      <c r="C1134">
        <v>5113</v>
      </c>
      <c r="D1134" t="s">
        <v>72</v>
      </c>
      <c r="E1134">
        <v>1</v>
      </c>
      <c r="F1134" t="s">
        <v>4419</v>
      </c>
      <c r="G1134" t="s">
        <v>4420</v>
      </c>
      <c r="H1134" t="s">
        <v>4421</v>
      </c>
      <c r="I1134" t="s">
        <v>4422</v>
      </c>
      <c r="K1134" t="s">
        <v>792</v>
      </c>
      <c r="L1134">
        <v>2</v>
      </c>
    </row>
    <row r="1135" spans="1:12" x14ac:dyDescent="0.25">
      <c r="A1135" t="s">
        <v>72</v>
      </c>
      <c r="B1135" t="s">
        <v>4418</v>
      </c>
      <c r="C1135">
        <v>5113</v>
      </c>
      <c r="D1135" t="s">
        <v>72</v>
      </c>
      <c r="E1135">
        <v>1</v>
      </c>
      <c r="F1135" t="s">
        <v>4419</v>
      </c>
      <c r="G1135" t="s">
        <v>4420</v>
      </c>
      <c r="H1135" t="s">
        <v>4423</v>
      </c>
      <c r="I1135" t="s">
        <v>4424</v>
      </c>
      <c r="K1135" t="s">
        <v>792</v>
      </c>
      <c r="L1135">
        <v>2</v>
      </c>
    </row>
    <row r="1136" spans="1:12" x14ac:dyDescent="0.25">
      <c r="A1136" t="s">
        <v>72</v>
      </c>
      <c r="B1136" t="s">
        <v>4418</v>
      </c>
      <c r="C1136">
        <v>5113</v>
      </c>
      <c r="D1136" t="s">
        <v>72</v>
      </c>
      <c r="E1136">
        <v>1</v>
      </c>
      <c r="F1136" t="s">
        <v>2203</v>
      </c>
      <c r="G1136" t="s">
        <v>1260</v>
      </c>
      <c r="H1136" t="s">
        <v>4425</v>
      </c>
      <c r="I1136" t="s">
        <v>4426</v>
      </c>
      <c r="K1136" t="s">
        <v>792</v>
      </c>
      <c r="L1136">
        <v>2</v>
      </c>
    </row>
    <row r="1137" spans="1:12" x14ac:dyDescent="0.25">
      <c r="A1137" t="s">
        <v>72</v>
      </c>
      <c r="B1137" t="s">
        <v>4418</v>
      </c>
      <c r="C1137">
        <v>5113</v>
      </c>
      <c r="D1137" t="s">
        <v>72</v>
      </c>
      <c r="E1137">
        <v>1</v>
      </c>
      <c r="F1137" t="s">
        <v>2203</v>
      </c>
      <c r="G1137" t="s">
        <v>1260</v>
      </c>
      <c r="H1137" t="s">
        <v>4427</v>
      </c>
      <c r="I1137" t="s">
        <v>4311</v>
      </c>
      <c r="K1137" t="s">
        <v>792</v>
      </c>
      <c r="L1137">
        <v>2</v>
      </c>
    </row>
    <row r="1138" spans="1:12" x14ac:dyDescent="0.25">
      <c r="A1138" t="s">
        <v>72</v>
      </c>
      <c r="B1138" t="s">
        <v>4428</v>
      </c>
      <c r="C1138">
        <v>5113</v>
      </c>
      <c r="D1138" t="s">
        <v>72</v>
      </c>
      <c r="E1138">
        <v>1</v>
      </c>
      <c r="F1138" t="s">
        <v>1378</v>
      </c>
      <c r="G1138" t="s">
        <v>4341</v>
      </c>
      <c r="H1138" t="s">
        <v>4429</v>
      </c>
      <c r="I1138" t="s">
        <v>4430</v>
      </c>
      <c r="K1138" t="s">
        <v>792</v>
      </c>
      <c r="L1138">
        <v>2</v>
      </c>
    </row>
    <row r="1139" spans="1:12" x14ac:dyDescent="0.25">
      <c r="A1139" t="s">
        <v>72</v>
      </c>
      <c r="B1139" t="s">
        <v>4428</v>
      </c>
      <c r="C1139">
        <v>5113</v>
      </c>
      <c r="D1139" t="s">
        <v>72</v>
      </c>
      <c r="E1139">
        <v>1</v>
      </c>
      <c r="F1139" t="s">
        <v>4431</v>
      </c>
      <c r="G1139" t="s">
        <v>4432</v>
      </c>
      <c r="H1139" t="s">
        <v>4433</v>
      </c>
      <c r="I1139" t="s">
        <v>4434</v>
      </c>
      <c r="K1139" t="s">
        <v>792</v>
      </c>
      <c r="L1139">
        <v>2</v>
      </c>
    </row>
    <row r="1140" spans="1:12" x14ac:dyDescent="0.25">
      <c r="A1140" t="s">
        <v>72</v>
      </c>
      <c r="B1140" t="s">
        <v>4428</v>
      </c>
      <c r="C1140">
        <v>5113</v>
      </c>
      <c r="D1140" t="s">
        <v>72</v>
      </c>
      <c r="E1140">
        <v>1</v>
      </c>
      <c r="F1140" t="s">
        <v>3260</v>
      </c>
      <c r="G1140" t="s">
        <v>4435</v>
      </c>
      <c r="H1140" t="s">
        <v>4436</v>
      </c>
      <c r="I1140" t="s">
        <v>4437</v>
      </c>
      <c r="K1140" t="s">
        <v>792</v>
      </c>
      <c r="L1140">
        <v>2</v>
      </c>
    </row>
    <row r="1141" spans="1:12" x14ac:dyDescent="0.25">
      <c r="A1141" t="s">
        <v>72</v>
      </c>
      <c r="B1141" t="s">
        <v>4438</v>
      </c>
      <c r="C1141">
        <v>5113</v>
      </c>
      <c r="D1141" t="s">
        <v>72</v>
      </c>
      <c r="E1141">
        <v>1</v>
      </c>
      <c r="F1141" t="s">
        <v>873</v>
      </c>
      <c r="G1141" t="s">
        <v>1340</v>
      </c>
      <c r="H1141" t="s">
        <v>4439</v>
      </c>
      <c r="I1141" t="s">
        <v>4440</v>
      </c>
      <c r="K1141" t="s">
        <v>792</v>
      </c>
      <c r="L1141">
        <v>2</v>
      </c>
    </row>
    <row r="1142" spans="1:12" x14ac:dyDescent="0.25">
      <c r="A1142" t="s">
        <v>72</v>
      </c>
      <c r="B1142" t="s">
        <v>4438</v>
      </c>
      <c r="C1142">
        <v>5113</v>
      </c>
      <c r="D1142" t="s">
        <v>72</v>
      </c>
      <c r="E1142">
        <v>1</v>
      </c>
      <c r="F1142" t="s">
        <v>953</v>
      </c>
      <c r="G1142" t="s">
        <v>1342</v>
      </c>
      <c r="H1142" t="s">
        <v>4441</v>
      </c>
      <c r="I1142" t="s">
        <v>4442</v>
      </c>
      <c r="K1142" t="s">
        <v>1255</v>
      </c>
      <c r="L1142">
        <v>1</v>
      </c>
    </row>
    <row r="1143" spans="1:12" x14ac:dyDescent="0.25">
      <c r="A1143" t="s">
        <v>4443</v>
      </c>
      <c r="B1143" t="s">
        <v>1622</v>
      </c>
      <c r="C1143">
        <v>1135</v>
      </c>
      <c r="D1143" t="s">
        <v>4443</v>
      </c>
      <c r="E1143">
        <v>1</v>
      </c>
      <c r="F1143" t="s">
        <v>4448</v>
      </c>
      <c r="G1143" t="s">
        <v>4445</v>
      </c>
      <c r="H1143" t="s">
        <v>4449</v>
      </c>
      <c r="I1143" t="s">
        <v>4450</v>
      </c>
      <c r="K1143" t="s">
        <v>792</v>
      </c>
      <c r="L1143">
        <v>2</v>
      </c>
    </row>
    <row r="1144" spans="1:12" x14ac:dyDescent="0.25">
      <c r="A1144" t="s">
        <v>4443</v>
      </c>
      <c r="B1144" t="s">
        <v>1622</v>
      </c>
      <c r="C1144">
        <v>1135</v>
      </c>
      <c r="D1144" t="s">
        <v>4443</v>
      </c>
      <c r="E1144">
        <v>1</v>
      </c>
      <c r="F1144" t="s">
        <v>873</v>
      </c>
      <c r="G1144" t="s">
        <v>1340</v>
      </c>
      <c r="H1144" t="s">
        <v>4451</v>
      </c>
      <c r="I1144" t="s">
        <v>4452</v>
      </c>
      <c r="K1144" t="s">
        <v>792</v>
      </c>
      <c r="L1144">
        <v>2</v>
      </c>
    </row>
    <row r="1145" spans="1:12" x14ac:dyDescent="0.25">
      <c r="A1145" t="s">
        <v>4443</v>
      </c>
      <c r="B1145" t="s">
        <v>1622</v>
      </c>
      <c r="C1145">
        <v>1135</v>
      </c>
      <c r="D1145" t="s">
        <v>4443</v>
      </c>
      <c r="E1145">
        <v>1</v>
      </c>
      <c r="F1145" t="s">
        <v>3837</v>
      </c>
      <c r="G1145" t="s">
        <v>4447</v>
      </c>
      <c r="H1145" t="s">
        <v>4453</v>
      </c>
      <c r="I1145" t="s">
        <v>4454</v>
      </c>
      <c r="K1145" t="s">
        <v>792</v>
      </c>
      <c r="L1145">
        <v>2</v>
      </c>
    </row>
    <row r="1146" spans="1:12" x14ac:dyDescent="0.25">
      <c r="A1146" t="s">
        <v>4443</v>
      </c>
      <c r="B1146" t="s">
        <v>1622</v>
      </c>
      <c r="C1146">
        <v>1135</v>
      </c>
      <c r="D1146" t="s">
        <v>4443</v>
      </c>
      <c r="E1146">
        <v>1</v>
      </c>
      <c r="F1146" t="s">
        <v>2215</v>
      </c>
      <c r="G1146" t="s">
        <v>2216</v>
      </c>
      <c r="H1146" t="s">
        <v>4455</v>
      </c>
      <c r="I1146" t="s">
        <v>4456</v>
      </c>
      <c r="K1146" t="s">
        <v>792</v>
      </c>
      <c r="L1146">
        <v>2</v>
      </c>
    </row>
    <row r="1147" spans="1:12" x14ac:dyDescent="0.25">
      <c r="A1147" t="s">
        <v>4443</v>
      </c>
      <c r="B1147" t="s">
        <v>1622</v>
      </c>
      <c r="C1147">
        <v>1135</v>
      </c>
      <c r="D1147" t="s">
        <v>4443</v>
      </c>
      <c r="E1147">
        <v>1</v>
      </c>
      <c r="F1147" t="s">
        <v>3142</v>
      </c>
      <c r="G1147" t="s">
        <v>4457</v>
      </c>
      <c r="H1147" t="s">
        <v>4458</v>
      </c>
      <c r="I1147" t="s">
        <v>4459</v>
      </c>
      <c r="K1147" t="s">
        <v>792</v>
      </c>
      <c r="L1147">
        <v>2</v>
      </c>
    </row>
    <row r="1148" spans="1:12" x14ac:dyDescent="0.25">
      <c r="A1148" t="s">
        <v>4443</v>
      </c>
      <c r="B1148" t="s">
        <v>4460</v>
      </c>
      <c r="C1148">
        <v>1135</v>
      </c>
      <c r="D1148" t="s">
        <v>4443</v>
      </c>
      <c r="E1148">
        <v>1</v>
      </c>
      <c r="F1148" t="s">
        <v>3962</v>
      </c>
      <c r="G1148" t="s">
        <v>3963</v>
      </c>
      <c r="H1148" t="s">
        <v>4461</v>
      </c>
      <c r="I1148" t="s">
        <v>4462</v>
      </c>
      <c r="K1148" t="s">
        <v>792</v>
      </c>
      <c r="L1148">
        <v>2</v>
      </c>
    </row>
    <row r="1149" spans="1:12" x14ac:dyDescent="0.25">
      <c r="A1149" t="s">
        <v>4443</v>
      </c>
      <c r="B1149" t="s">
        <v>4460</v>
      </c>
      <c r="C1149">
        <v>1135</v>
      </c>
      <c r="D1149" t="s">
        <v>4443</v>
      </c>
      <c r="E1149">
        <v>1</v>
      </c>
      <c r="F1149" t="s">
        <v>3962</v>
      </c>
      <c r="G1149" t="s">
        <v>3963</v>
      </c>
      <c r="H1149" t="s">
        <v>4463</v>
      </c>
      <c r="I1149" t="s">
        <v>4464</v>
      </c>
      <c r="K1149" t="s">
        <v>792</v>
      </c>
      <c r="L1149">
        <v>2</v>
      </c>
    </row>
    <row r="1150" spans="1:12" x14ac:dyDescent="0.25">
      <c r="A1150" t="s">
        <v>4443</v>
      </c>
      <c r="B1150" t="s">
        <v>4460</v>
      </c>
      <c r="C1150">
        <v>1135</v>
      </c>
      <c r="D1150" t="s">
        <v>4443</v>
      </c>
      <c r="E1150">
        <v>1</v>
      </c>
      <c r="F1150" t="s">
        <v>3962</v>
      </c>
      <c r="G1150" t="s">
        <v>3963</v>
      </c>
      <c r="H1150" t="s">
        <v>4465</v>
      </c>
      <c r="I1150" t="s">
        <v>4466</v>
      </c>
      <c r="K1150" t="s">
        <v>792</v>
      </c>
      <c r="L1150">
        <v>2</v>
      </c>
    </row>
    <row r="1151" spans="1:12" x14ac:dyDescent="0.25">
      <c r="A1151" t="s">
        <v>4443</v>
      </c>
      <c r="B1151" t="s">
        <v>4460</v>
      </c>
      <c r="C1151">
        <v>1135</v>
      </c>
      <c r="D1151" t="s">
        <v>4443</v>
      </c>
      <c r="E1151">
        <v>1</v>
      </c>
      <c r="F1151" t="s">
        <v>3962</v>
      </c>
      <c r="G1151" t="s">
        <v>3963</v>
      </c>
      <c r="H1151" t="s">
        <v>4467</v>
      </c>
      <c r="I1151" t="s">
        <v>898</v>
      </c>
      <c r="K1151" t="s">
        <v>792</v>
      </c>
      <c r="L1151">
        <v>2</v>
      </c>
    </row>
    <row r="1152" spans="1:12" x14ac:dyDescent="0.25">
      <c r="A1152" t="s">
        <v>4443</v>
      </c>
      <c r="B1152" t="s">
        <v>4460</v>
      </c>
      <c r="C1152">
        <v>1135</v>
      </c>
      <c r="D1152" t="s">
        <v>4443</v>
      </c>
      <c r="E1152">
        <v>1</v>
      </c>
      <c r="F1152" t="s">
        <v>3962</v>
      </c>
      <c r="G1152" t="s">
        <v>3963</v>
      </c>
      <c r="H1152" t="s">
        <v>4468</v>
      </c>
      <c r="I1152" t="s">
        <v>4469</v>
      </c>
      <c r="K1152" t="s">
        <v>792</v>
      </c>
      <c r="L1152">
        <v>2</v>
      </c>
    </row>
    <row r="1153" spans="1:12" x14ac:dyDescent="0.25">
      <c r="A1153" t="s">
        <v>4443</v>
      </c>
      <c r="B1153" t="s">
        <v>4470</v>
      </c>
      <c r="C1153">
        <v>1135</v>
      </c>
      <c r="D1153" t="s">
        <v>4443</v>
      </c>
      <c r="E1153">
        <v>1</v>
      </c>
      <c r="F1153" t="s">
        <v>2864</v>
      </c>
      <c r="G1153" t="s">
        <v>4444</v>
      </c>
      <c r="H1153" t="s">
        <v>4471</v>
      </c>
      <c r="I1153" t="s">
        <v>2700</v>
      </c>
      <c r="K1153" t="s">
        <v>792</v>
      </c>
      <c r="L1153">
        <v>2</v>
      </c>
    </row>
    <row r="1154" spans="1:12" x14ac:dyDescent="0.25">
      <c r="A1154" t="s">
        <v>4443</v>
      </c>
      <c r="B1154" t="s">
        <v>4470</v>
      </c>
      <c r="C1154">
        <v>1135</v>
      </c>
      <c r="D1154" t="s">
        <v>4443</v>
      </c>
      <c r="E1154">
        <v>1</v>
      </c>
      <c r="F1154" t="s">
        <v>2864</v>
      </c>
      <c r="G1154" t="s">
        <v>4444</v>
      </c>
      <c r="H1154" t="s">
        <v>4472</v>
      </c>
      <c r="I1154" t="s">
        <v>4473</v>
      </c>
      <c r="K1154" t="s">
        <v>792</v>
      </c>
      <c r="L1154">
        <v>2</v>
      </c>
    </row>
    <row r="1155" spans="1:12" x14ac:dyDescent="0.25">
      <c r="A1155" t="s">
        <v>4443</v>
      </c>
      <c r="B1155" t="s">
        <v>4470</v>
      </c>
      <c r="C1155">
        <v>1135</v>
      </c>
      <c r="D1155" t="s">
        <v>4443</v>
      </c>
      <c r="E1155">
        <v>1</v>
      </c>
      <c r="F1155" t="s">
        <v>2864</v>
      </c>
      <c r="G1155" t="s">
        <v>4444</v>
      </c>
      <c r="H1155" t="s">
        <v>4474</v>
      </c>
      <c r="I1155" t="s">
        <v>4475</v>
      </c>
      <c r="K1155" t="s">
        <v>792</v>
      </c>
      <c r="L1155">
        <v>2</v>
      </c>
    </row>
    <row r="1156" spans="1:12" x14ac:dyDescent="0.25">
      <c r="A1156" t="s">
        <v>4443</v>
      </c>
      <c r="B1156" t="s">
        <v>4470</v>
      </c>
      <c r="C1156">
        <v>1135</v>
      </c>
      <c r="D1156" t="s">
        <v>4443</v>
      </c>
      <c r="E1156">
        <v>1</v>
      </c>
      <c r="F1156" t="s">
        <v>2864</v>
      </c>
      <c r="G1156" t="s">
        <v>4444</v>
      </c>
      <c r="H1156" t="s">
        <v>4476</v>
      </c>
      <c r="I1156" t="s">
        <v>4477</v>
      </c>
      <c r="K1156" t="s">
        <v>792</v>
      </c>
      <c r="L1156">
        <v>2</v>
      </c>
    </row>
    <row r="1157" spans="1:12" x14ac:dyDescent="0.25">
      <c r="A1157" t="s">
        <v>4443</v>
      </c>
      <c r="B1157" t="s">
        <v>4446</v>
      </c>
      <c r="C1157">
        <v>1135</v>
      </c>
      <c r="D1157" t="s">
        <v>4443</v>
      </c>
      <c r="E1157">
        <v>1</v>
      </c>
      <c r="F1157" t="s">
        <v>3356</v>
      </c>
      <c r="G1157" t="s">
        <v>4446</v>
      </c>
      <c r="H1157" t="s">
        <v>4478</v>
      </c>
      <c r="I1157" t="s">
        <v>4479</v>
      </c>
      <c r="K1157" t="s">
        <v>792</v>
      </c>
      <c r="L1157">
        <v>2</v>
      </c>
    </row>
    <row r="1158" spans="1:12" x14ac:dyDescent="0.25">
      <c r="A1158" t="s">
        <v>4443</v>
      </c>
      <c r="B1158" t="s">
        <v>4446</v>
      </c>
      <c r="C1158">
        <v>1135</v>
      </c>
      <c r="D1158" t="s">
        <v>4443</v>
      </c>
      <c r="E1158">
        <v>1</v>
      </c>
      <c r="F1158" t="s">
        <v>3356</v>
      </c>
      <c r="G1158" t="s">
        <v>4446</v>
      </c>
      <c r="H1158" t="s">
        <v>4480</v>
      </c>
      <c r="I1158" t="s">
        <v>4481</v>
      </c>
      <c r="K1158" t="s">
        <v>792</v>
      </c>
      <c r="L1158">
        <v>2</v>
      </c>
    </row>
    <row r="1159" spans="1:12" x14ac:dyDescent="0.25">
      <c r="A1159" t="s">
        <v>4443</v>
      </c>
      <c r="B1159" t="s">
        <v>4446</v>
      </c>
      <c r="C1159">
        <v>1135</v>
      </c>
      <c r="D1159" t="s">
        <v>4443</v>
      </c>
      <c r="E1159">
        <v>1</v>
      </c>
      <c r="F1159" t="s">
        <v>3356</v>
      </c>
      <c r="G1159" t="s">
        <v>4446</v>
      </c>
      <c r="H1159" t="s">
        <v>4482</v>
      </c>
      <c r="I1159" t="s">
        <v>4343</v>
      </c>
      <c r="K1159" t="s">
        <v>792</v>
      </c>
      <c r="L1159">
        <v>2</v>
      </c>
    </row>
    <row r="1160" spans="1:12" x14ac:dyDescent="0.25">
      <c r="A1160" t="s">
        <v>4443</v>
      </c>
      <c r="B1160" t="s">
        <v>4446</v>
      </c>
      <c r="C1160">
        <v>1135</v>
      </c>
      <c r="D1160" t="s">
        <v>4443</v>
      </c>
      <c r="E1160">
        <v>1</v>
      </c>
      <c r="F1160" t="s">
        <v>3356</v>
      </c>
      <c r="G1160" t="s">
        <v>4446</v>
      </c>
      <c r="H1160" t="s">
        <v>4483</v>
      </c>
      <c r="I1160" t="s">
        <v>4484</v>
      </c>
      <c r="K1160" t="s">
        <v>792</v>
      </c>
      <c r="L1160">
        <v>2</v>
      </c>
    </row>
    <row r="1161" spans="1:12" x14ac:dyDescent="0.25">
      <c r="A1161" t="s">
        <v>4443</v>
      </c>
      <c r="B1161" t="s">
        <v>4485</v>
      </c>
      <c r="C1161">
        <v>1135</v>
      </c>
      <c r="D1161" t="s">
        <v>4443</v>
      </c>
      <c r="E1161">
        <v>1</v>
      </c>
      <c r="F1161" t="s">
        <v>953</v>
      </c>
      <c r="G1161" t="s">
        <v>1342</v>
      </c>
      <c r="H1161" t="s">
        <v>4486</v>
      </c>
      <c r="I1161" t="s">
        <v>4233</v>
      </c>
      <c r="K1161" t="s">
        <v>792</v>
      </c>
      <c r="L1161">
        <v>2</v>
      </c>
    </row>
    <row r="1162" spans="1:12" x14ac:dyDescent="0.25">
      <c r="A1162" t="s">
        <v>4443</v>
      </c>
      <c r="B1162" t="s">
        <v>4485</v>
      </c>
      <c r="C1162">
        <v>1135</v>
      </c>
      <c r="D1162" t="s">
        <v>4443</v>
      </c>
      <c r="E1162">
        <v>1</v>
      </c>
      <c r="F1162" t="s">
        <v>953</v>
      </c>
      <c r="G1162" t="s">
        <v>1342</v>
      </c>
      <c r="H1162" t="s">
        <v>4487</v>
      </c>
      <c r="I1162" t="s">
        <v>4488</v>
      </c>
      <c r="K1162" t="s">
        <v>792</v>
      </c>
      <c r="L1162">
        <v>2</v>
      </c>
    </row>
    <row r="1163" spans="1:12" x14ac:dyDescent="0.25">
      <c r="A1163" t="s">
        <v>4443</v>
      </c>
      <c r="B1163" t="s">
        <v>4485</v>
      </c>
      <c r="C1163">
        <v>1135</v>
      </c>
      <c r="D1163" t="s">
        <v>4443</v>
      </c>
      <c r="E1163">
        <v>1</v>
      </c>
      <c r="F1163" t="s">
        <v>953</v>
      </c>
      <c r="G1163" t="s">
        <v>1342</v>
      </c>
      <c r="H1163" t="s">
        <v>4489</v>
      </c>
      <c r="I1163" t="s">
        <v>4490</v>
      </c>
      <c r="K1163" t="s">
        <v>792</v>
      </c>
      <c r="L1163">
        <v>2</v>
      </c>
    </row>
    <row r="1164" spans="1:12" x14ac:dyDescent="0.25">
      <c r="A1164" t="s">
        <v>4443</v>
      </c>
      <c r="B1164" t="s">
        <v>4491</v>
      </c>
      <c r="C1164">
        <v>1135</v>
      </c>
      <c r="D1164" t="s">
        <v>4443</v>
      </c>
      <c r="E1164">
        <v>1</v>
      </c>
      <c r="F1164" t="s">
        <v>4492</v>
      </c>
      <c r="G1164" t="s">
        <v>2666</v>
      </c>
      <c r="H1164" t="s">
        <v>4493</v>
      </c>
      <c r="I1164" t="s">
        <v>2425</v>
      </c>
      <c r="K1164" t="s">
        <v>792</v>
      </c>
      <c r="L1164">
        <v>2</v>
      </c>
    </row>
    <row r="1165" spans="1:12" x14ac:dyDescent="0.25">
      <c r="A1165" t="s">
        <v>4443</v>
      </c>
      <c r="B1165" t="s">
        <v>4491</v>
      </c>
      <c r="C1165">
        <v>1135</v>
      </c>
      <c r="D1165" t="s">
        <v>4443</v>
      </c>
      <c r="E1165">
        <v>1</v>
      </c>
      <c r="F1165" t="s">
        <v>4494</v>
      </c>
      <c r="G1165" t="s">
        <v>4495</v>
      </c>
      <c r="H1165" t="s">
        <v>4496</v>
      </c>
      <c r="I1165" t="s">
        <v>4497</v>
      </c>
      <c r="K1165" t="s">
        <v>792</v>
      </c>
      <c r="L1165">
        <v>2</v>
      </c>
    </row>
    <row r="1166" spans="1:12" x14ac:dyDescent="0.25">
      <c r="A1166" t="s">
        <v>4443</v>
      </c>
      <c r="B1166" t="s">
        <v>4491</v>
      </c>
      <c r="C1166">
        <v>1135</v>
      </c>
      <c r="D1166" t="s">
        <v>4443</v>
      </c>
      <c r="E1166">
        <v>1</v>
      </c>
      <c r="F1166" t="s">
        <v>803</v>
      </c>
      <c r="G1166" t="s">
        <v>4498</v>
      </c>
      <c r="H1166" t="s">
        <v>4499</v>
      </c>
      <c r="I1166" t="s">
        <v>4500</v>
      </c>
      <c r="K1166" t="s">
        <v>792</v>
      </c>
      <c r="L1166">
        <v>2</v>
      </c>
    </row>
    <row r="1167" spans="1:12" x14ac:dyDescent="0.25">
      <c r="A1167" t="s">
        <v>4443</v>
      </c>
      <c r="B1167" t="s">
        <v>4491</v>
      </c>
      <c r="C1167">
        <v>1135</v>
      </c>
      <c r="D1167" t="s">
        <v>4443</v>
      </c>
      <c r="E1167">
        <v>1</v>
      </c>
      <c r="F1167" t="s">
        <v>1367</v>
      </c>
      <c r="G1167" t="s">
        <v>4227</v>
      </c>
      <c r="H1167" t="s">
        <v>4501</v>
      </c>
      <c r="I1167" t="s">
        <v>4502</v>
      </c>
      <c r="K1167" t="s">
        <v>792</v>
      </c>
      <c r="L1167">
        <v>2</v>
      </c>
    </row>
  </sheetData>
  <phoneticPr fontId="22"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BAB7E-F05B-4EF4-AD6E-A735EFEBC8DE}">
  <dimension ref="A2:C141"/>
  <sheetViews>
    <sheetView tabSelected="1" topLeftCell="A2" workbookViewId="0">
      <selection activeCell="A2" sqref="A2:C141"/>
    </sheetView>
  </sheetViews>
  <sheetFormatPr defaultRowHeight="15" x14ac:dyDescent="0.25"/>
  <sheetData>
    <row r="2" spans="1:3" ht="31.5" x14ac:dyDescent="0.25">
      <c r="C2" s="59" t="s">
        <v>1479</v>
      </c>
    </row>
    <row r="4" spans="1:3" ht="24" x14ac:dyDescent="0.25">
      <c r="A4" s="57" t="s">
        <v>1480</v>
      </c>
    </row>
    <row r="5" spans="1:3" x14ac:dyDescent="0.25">
      <c r="C5" t="s">
        <v>1481</v>
      </c>
    </row>
    <row r="6" spans="1:3" x14ac:dyDescent="0.25">
      <c r="B6" s="30" t="s">
        <v>1594</v>
      </c>
    </row>
    <row r="7" spans="1:3" x14ac:dyDescent="0.25">
      <c r="C7" s="21" t="s">
        <v>1540</v>
      </c>
    </row>
    <row r="8" spans="1:3" x14ac:dyDescent="0.25">
      <c r="C8" s="21" t="s">
        <v>1541</v>
      </c>
    </row>
    <row r="9" spans="1:3" x14ac:dyDescent="0.25">
      <c r="C9" s="21" t="s">
        <v>1542</v>
      </c>
    </row>
    <row r="10" spans="1:3" x14ac:dyDescent="0.25">
      <c r="C10" s="21" t="s">
        <v>1543</v>
      </c>
    </row>
    <row r="11" spans="1:3" x14ac:dyDescent="0.25">
      <c r="C11" s="21" t="s">
        <v>1544</v>
      </c>
    </row>
    <row r="12" spans="1:3" x14ac:dyDescent="0.25">
      <c r="C12" s="21" t="s">
        <v>1545</v>
      </c>
    </row>
    <row r="13" spans="1:3" ht="18" x14ac:dyDescent="0.25">
      <c r="B13" s="55" t="s">
        <v>1482</v>
      </c>
    </row>
    <row r="14" spans="1:3" x14ac:dyDescent="0.25">
      <c r="C14" s="21" t="s">
        <v>1483</v>
      </c>
    </row>
    <row r="15" spans="1:3" x14ac:dyDescent="0.25">
      <c r="C15" s="21" t="s">
        <v>1546</v>
      </c>
    </row>
    <row r="16" spans="1:3" x14ac:dyDescent="0.25">
      <c r="C16" s="21" t="s">
        <v>1547</v>
      </c>
    </row>
    <row r="17" spans="2:3" x14ac:dyDescent="0.25">
      <c r="C17" s="21" t="s">
        <v>1484</v>
      </c>
    </row>
    <row r="18" spans="2:3" x14ac:dyDescent="0.25">
      <c r="C18" s="21" t="s">
        <v>1485</v>
      </c>
    </row>
    <row r="19" spans="2:3" ht="18" x14ac:dyDescent="0.25">
      <c r="B19" s="55" t="s">
        <v>1486</v>
      </c>
    </row>
    <row r="20" spans="2:3" x14ac:dyDescent="0.25">
      <c r="C20" s="21" t="s">
        <v>1487</v>
      </c>
    </row>
    <row r="21" spans="2:3" x14ac:dyDescent="0.25">
      <c r="C21" s="21" t="s">
        <v>1488</v>
      </c>
    </row>
    <row r="22" spans="2:3" x14ac:dyDescent="0.25">
      <c r="C22" s="21" t="s">
        <v>1489</v>
      </c>
    </row>
    <row r="23" spans="2:3" x14ac:dyDescent="0.25">
      <c r="C23" s="21" t="s">
        <v>1490</v>
      </c>
    </row>
    <row r="24" spans="2:3" x14ac:dyDescent="0.25">
      <c r="C24" s="21" t="s">
        <v>1491</v>
      </c>
    </row>
    <row r="25" spans="2:3" ht="18" x14ac:dyDescent="0.25">
      <c r="B25" s="55" t="s">
        <v>1492</v>
      </c>
    </row>
    <row r="26" spans="2:3" x14ac:dyDescent="0.25">
      <c r="C26" s="21" t="s">
        <v>1493</v>
      </c>
    </row>
    <row r="27" spans="2:3" x14ac:dyDescent="0.25">
      <c r="C27" s="21" t="s">
        <v>1548</v>
      </c>
    </row>
    <row r="28" spans="2:3" x14ac:dyDescent="0.25">
      <c r="C28" s="21" t="s">
        <v>1549</v>
      </c>
    </row>
    <row r="29" spans="2:3" x14ac:dyDescent="0.25">
      <c r="C29" s="21" t="s">
        <v>1550</v>
      </c>
    </row>
    <row r="30" spans="2:3" x14ac:dyDescent="0.25">
      <c r="C30" s="21" t="s">
        <v>1494</v>
      </c>
    </row>
    <row r="31" spans="2:3" ht="18" x14ac:dyDescent="0.25">
      <c r="B31" s="55" t="s">
        <v>1495</v>
      </c>
    </row>
    <row r="32" spans="2:3" x14ac:dyDescent="0.25">
      <c r="C32" s="21" t="s">
        <v>1551</v>
      </c>
    </row>
    <row r="33" spans="1:3" x14ac:dyDescent="0.25">
      <c r="C33" s="21" t="s">
        <v>1552</v>
      </c>
    </row>
    <row r="34" spans="1:3" x14ac:dyDescent="0.25">
      <c r="C34" s="21"/>
    </row>
    <row r="35" spans="1:3" ht="24" x14ac:dyDescent="0.25">
      <c r="A35" s="57" t="s">
        <v>1496</v>
      </c>
    </row>
    <row r="36" spans="1:3" x14ac:dyDescent="0.25">
      <c r="C36" t="s">
        <v>1497</v>
      </c>
    </row>
    <row r="37" spans="1:3" x14ac:dyDescent="0.25">
      <c r="B37" s="30" t="s">
        <v>1593</v>
      </c>
    </row>
    <row r="38" spans="1:3" x14ac:dyDescent="0.25">
      <c r="C38" s="21" t="s">
        <v>1540</v>
      </c>
    </row>
    <row r="39" spans="1:3" x14ac:dyDescent="0.25">
      <c r="C39" s="21" t="s">
        <v>1541</v>
      </c>
    </row>
    <row r="40" spans="1:3" x14ac:dyDescent="0.25">
      <c r="C40" s="21" t="s">
        <v>1542</v>
      </c>
    </row>
    <row r="41" spans="1:3" x14ac:dyDescent="0.25">
      <c r="C41" s="21" t="s">
        <v>1543</v>
      </c>
    </row>
    <row r="42" spans="1:3" x14ac:dyDescent="0.25">
      <c r="C42" s="21" t="s">
        <v>1544</v>
      </c>
    </row>
    <row r="43" spans="1:3" x14ac:dyDescent="0.25">
      <c r="C43" s="21" t="s">
        <v>1545</v>
      </c>
    </row>
    <row r="44" spans="1:3" ht="18" x14ac:dyDescent="0.25">
      <c r="B44" s="55" t="s">
        <v>1498</v>
      </c>
    </row>
    <row r="45" spans="1:3" x14ac:dyDescent="0.25">
      <c r="C45" s="21" t="s">
        <v>1499</v>
      </c>
    </row>
    <row r="46" spans="1:3" x14ac:dyDescent="0.25">
      <c r="C46" s="21" t="s">
        <v>1500</v>
      </c>
    </row>
    <row r="47" spans="1:3" ht="18" x14ac:dyDescent="0.25">
      <c r="B47" s="55" t="s">
        <v>1501</v>
      </c>
    </row>
    <row r="48" spans="1:3" x14ac:dyDescent="0.25">
      <c r="C48" s="21" t="s">
        <v>1502</v>
      </c>
    </row>
    <row r="49" spans="2:3" x14ac:dyDescent="0.25">
      <c r="C49" s="21" t="s">
        <v>1503</v>
      </c>
    </row>
    <row r="50" spans="2:3" x14ac:dyDescent="0.25">
      <c r="C50" s="21" t="s">
        <v>1504</v>
      </c>
    </row>
    <row r="51" spans="2:3" ht="18" x14ac:dyDescent="0.25">
      <c r="B51" s="55" t="s">
        <v>1505</v>
      </c>
    </row>
    <row r="52" spans="2:3" x14ac:dyDescent="0.25">
      <c r="C52" s="21" t="s">
        <v>1506</v>
      </c>
    </row>
    <row r="53" spans="2:3" x14ac:dyDescent="0.25">
      <c r="C53" s="21" t="s">
        <v>1553</v>
      </c>
    </row>
    <row r="54" spans="2:3" x14ac:dyDescent="0.25">
      <c r="C54" s="21" t="s">
        <v>1554</v>
      </c>
    </row>
    <row r="55" spans="2:3" x14ac:dyDescent="0.25">
      <c r="C55" s="21" t="s">
        <v>1555</v>
      </c>
    </row>
    <row r="56" spans="2:3" x14ac:dyDescent="0.25">
      <c r="C56" s="21" t="s">
        <v>1556</v>
      </c>
    </row>
    <row r="57" spans="2:3" x14ac:dyDescent="0.25">
      <c r="C57" s="21" t="s">
        <v>1557</v>
      </c>
    </row>
    <row r="58" spans="2:3" ht="18" x14ac:dyDescent="0.25">
      <c r="B58" s="55" t="s">
        <v>1507</v>
      </c>
    </row>
    <row r="59" spans="2:3" x14ac:dyDescent="0.25">
      <c r="C59" s="21" t="s">
        <v>1508</v>
      </c>
    </row>
    <row r="60" spans="2:3" x14ac:dyDescent="0.25">
      <c r="C60" s="21" t="s">
        <v>1509</v>
      </c>
    </row>
    <row r="61" spans="2:3" ht="18" x14ac:dyDescent="0.25">
      <c r="B61" s="55" t="s">
        <v>1510</v>
      </c>
    </row>
    <row r="62" spans="2:3" x14ac:dyDescent="0.25">
      <c r="C62" s="21" t="s">
        <v>1511</v>
      </c>
    </row>
    <row r="63" spans="2:3" x14ac:dyDescent="0.25">
      <c r="C63" s="21" t="s">
        <v>1512</v>
      </c>
    </row>
    <row r="64" spans="2:3" x14ac:dyDescent="0.25">
      <c r="C64" s="21"/>
    </row>
    <row r="65" spans="1:3" ht="24" x14ac:dyDescent="0.25">
      <c r="A65" s="57" t="s">
        <v>1513</v>
      </c>
    </row>
    <row r="66" spans="1:3" x14ac:dyDescent="0.25">
      <c r="C66" t="s">
        <v>1514</v>
      </c>
    </row>
    <row r="67" spans="1:3" x14ac:dyDescent="0.25">
      <c r="B67" s="30" t="s">
        <v>1595</v>
      </c>
    </row>
    <row r="68" spans="1:3" x14ac:dyDescent="0.25">
      <c r="C68" s="21" t="s">
        <v>1540</v>
      </c>
    </row>
    <row r="69" spans="1:3" x14ac:dyDescent="0.25">
      <c r="C69" s="21" t="s">
        <v>1541</v>
      </c>
    </row>
    <row r="70" spans="1:3" x14ac:dyDescent="0.25">
      <c r="C70" s="21" t="s">
        <v>1542</v>
      </c>
    </row>
    <row r="71" spans="1:3" x14ac:dyDescent="0.25">
      <c r="C71" s="21" t="s">
        <v>1543</v>
      </c>
    </row>
    <row r="72" spans="1:3" x14ac:dyDescent="0.25">
      <c r="C72" s="21" t="s">
        <v>1544</v>
      </c>
    </row>
    <row r="73" spans="1:3" x14ac:dyDescent="0.25">
      <c r="C73" s="21" t="s">
        <v>1545</v>
      </c>
    </row>
    <row r="74" spans="1:3" ht="18" x14ac:dyDescent="0.25">
      <c r="B74" s="55" t="s">
        <v>1515</v>
      </c>
    </row>
    <row r="75" spans="1:3" x14ac:dyDescent="0.25">
      <c r="C75" s="21" t="s">
        <v>1516</v>
      </c>
    </row>
    <row r="76" spans="1:3" x14ac:dyDescent="0.25">
      <c r="C76" s="21" t="s">
        <v>1517</v>
      </c>
    </row>
    <row r="77" spans="1:3" ht="18" x14ac:dyDescent="0.25">
      <c r="B77" s="55" t="s">
        <v>1518</v>
      </c>
    </row>
    <row r="78" spans="1:3" x14ac:dyDescent="0.25">
      <c r="C78" s="21" t="s">
        <v>1558</v>
      </c>
    </row>
    <row r="79" spans="1:3" x14ac:dyDescent="0.25">
      <c r="C79" s="21" t="s">
        <v>1559</v>
      </c>
    </row>
    <row r="80" spans="1:3" x14ac:dyDescent="0.25">
      <c r="C80" s="21" t="s">
        <v>1560</v>
      </c>
    </row>
    <row r="81" spans="2:3" x14ac:dyDescent="0.25">
      <c r="C81" s="21" t="s">
        <v>1561</v>
      </c>
    </row>
    <row r="82" spans="2:3" x14ac:dyDescent="0.25">
      <c r="C82" s="21" t="s">
        <v>1562</v>
      </c>
    </row>
    <row r="83" spans="2:3" ht="18" x14ac:dyDescent="0.25">
      <c r="B83" s="55" t="s">
        <v>1519</v>
      </c>
    </row>
    <row r="84" spans="2:3" x14ac:dyDescent="0.25">
      <c r="C84" s="21" t="s">
        <v>1563</v>
      </c>
    </row>
    <row r="85" spans="2:3" x14ac:dyDescent="0.25">
      <c r="C85" s="21" t="s">
        <v>1564</v>
      </c>
    </row>
    <row r="86" spans="2:3" x14ac:dyDescent="0.25">
      <c r="C86" s="21" t="s">
        <v>1565</v>
      </c>
    </row>
    <row r="87" spans="2:3" x14ac:dyDescent="0.25">
      <c r="C87" s="21" t="s">
        <v>1566</v>
      </c>
    </row>
    <row r="88" spans="2:3" x14ac:dyDescent="0.25">
      <c r="C88" s="21" t="s">
        <v>1567</v>
      </c>
    </row>
    <row r="89" spans="2:3" x14ac:dyDescent="0.25">
      <c r="C89" s="21" t="s">
        <v>1520</v>
      </c>
    </row>
    <row r="90" spans="2:3" ht="18" x14ac:dyDescent="0.25">
      <c r="B90" s="55" t="s">
        <v>1521</v>
      </c>
    </row>
    <row r="91" spans="2:3" x14ac:dyDescent="0.25">
      <c r="C91" s="21" t="s">
        <v>1568</v>
      </c>
    </row>
    <row r="92" spans="2:3" x14ac:dyDescent="0.25">
      <c r="C92" s="21" t="s">
        <v>1569</v>
      </c>
    </row>
    <row r="93" spans="2:3" x14ac:dyDescent="0.25">
      <c r="C93" s="21" t="s">
        <v>1570</v>
      </c>
    </row>
    <row r="94" spans="2:3" x14ac:dyDescent="0.25">
      <c r="C94" s="21" t="s">
        <v>1522</v>
      </c>
    </row>
    <row r="95" spans="2:3" ht="18" x14ac:dyDescent="0.25">
      <c r="B95" s="55" t="s">
        <v>1523</v>
      </c>
    </row>
    <row r="96" spans="2:3" x14ac:dyDescent="0.25">
      <c r="C96" s="21" t="s">
        <v>1524</v>
      </c>
    </row>
    <row r="97" spans="1:3" x14ac:dyDescent="0.25">
      <c r="C97" s="21" t="s">
        <v>1525</v>
      </c>
    </row>
    <row r="98" spans="1:3" x14ac:dyDescent="0.25">
      <c r="C98" s="21" t="s">
        <v>1571</v>
      </c>
    </row>
    <row r="99" spans="1:3" x14ac:dyDescent="0.25">
      <c r="C99" s="21" t="s">
        <v>1572</v>
      </c>
    </row>
    <row r="100" spans="1:3" x14ac:dyDescent="0.25">
      <c r="C100" s="21" t="s">
        <v>1573</v>
      </c>
    </row>
    <row r="101" spans="1:3" x14ac:dyDescent="0.25">
      <c r="C101" s="21" t="s">
        <v>1574</v>
      </c>
    </row>
    <row r="102" spans="1:3" x14ac:dyDescent="0.25">
      <c r="C102" s="21" t="s">
        <v>1575</v>
      </c>
    </row>
    <row r="103" spans="1:3" x14ac:dyDescent="0.25">
      <c r="C103" s="21"/>
    </row>
    <row r="104" spans="1:3" ht="24" x14ac:dyDescent="0.25">
      <c r="A104" s="57" t="s">
        <v>1526</v>
      </c>
    </row>
    <row r="105" spans="1:3" x14ac:dyDescent="0.25">
      <c r="C105" t="s">
        <v>1527</v>
      </c>
    </row>
    <row r="106" spans="1:3" x14ac:dyDescent="0.25">
      <c r="B106" s="30" t="s">
        <v>1596</v>
      </c>
    </row>
    <row r="107" spans="1:3" x14ac:dyDescent="0.25">
      <c r="C107" s="21" t="s">
        <v>1540</v>
      </c>
    </row>
    <row r="108" spans="1:3" x14ac:dyDescent="0.25">
      <c r="C108" s="21" t="s">
        <v>1541</v>
      </c>
    </row>
    <row r="109" spans="1:3" x14ac:dyDescent="0.25">
      <c r="C109" s="21" t="s">
        <v>1542</v>
      </c>
    </row>
    <row r="110" spans="1:3" x14ac:dyDescent="0.25">
      <c r="C110" s="21" t="s">
        <v>1543</v>
      </c>
    </row>
    <row r="111" spans="1:3" x14ac:dyDescent="0.25">
      <c r="C111" s="21" t="s">
        <v>1544</v>
      </c>
    </row>
    <row r="112" spans="1:3" x14ac:dyDescent="0.25">
      <c r="C112" s="21" t="s">
        <v>1545</v>
      </c>
    </row>
    <row r="113" spans="2:3" ht="18" x14ac:dyDescent="0.25">
      <c r="B113" s="55" t="s">
        <v>1528</v>
      </c>
    </row>
    <row r="114" spans="2:3" x14ac:dyDescent="0.25">
      <c r="C114" s="21" t="s">
        <v>1529</v>
      </c>
    </row>
    <row r="115" spans="2:3" x14ac:dyDescent="0.25">
      <c r="C115" s="21" t="s">
        <v>1576</v>
      </c>
    </row>
    <row r="116" spans="2:3" x14ac:dyDescent="0.25">
      <c r="C116" s="21" t="s">
        <v>1577</v>
      </c>
    </row>
    <row r="117" spans="2:3" ht="18" x14ac:dyDescent="0.25">
      <c r="B117" s="55" t="s">
        <v>1530</v>
      </c>
    </row>
    <row r="118" spans="2:3" x14ac:dyDescent="0.25">
      <c r="C118" s="21" t="s">
        <v>1531</v>
      </c>
    </row>
    <row r="119" spans="2:3" x14ac:dyDescent="0.25">
      <c r="C119" s="21" t="s">
        <v>1532</v>
      </c>
    </row>
    <row r="120" spans="2:3" x14ac:dyDescent="0.25">
      <c r="C120" s="21" t="s">
        <v>1533</v>
      </c>
    </row>
    <row r="121" spans="2:3" ht="18" x14ac:dyDescent="0.25">
      <c r="B121" s="55" t="s">
        <v>1534</v>
      </c>
    </row>
    <row r="122" spans="2:3" x14ac:dyDescent="0.25">
      <c r="C122" s="21" t="s">
        <v>1578</v>
      </c>
    </row>
    <row r="123" spans="2:3" x14ac:dyDescent="0.25">
      <c r="C123" s="21" t="s">
        <v>1579</v>
      </c>
    </row>
    <row r="124" spans="2:3" x14ac:dyDescent="0.25">
      <c r="C124" s="21" t="s">
        <v>1580</v>
      </c>
    </row>
    <row r="125" spans="2:3" x14ac:dyDescent="0.25">
      <c r="C125" s="21" t="s">
        <v>1581</v>
      </c>
    </row>
    <row r="126" spans="2:3" ht="18" x14ac:dyDescent="0.25">
      <c r="B126" s="55" t="s">
        <v>1535</v>
      </c>
    </row>
    <row r="127" spans="2:3" x14ac:dyDescent="0.25">
      <c r="C127" s="21" t="s">
        <v>1582</v>
      </c>
    </row>
    <row r="128" spans="2:3" x14ac:dyDescent="0.25">
      <c r="C128" s="21" t="s">
        <v>1583</v>
      </c>
    </row>
    <row r="129" spans="2:3" x14ac:dyDescent="0.25">
      <c r="C129" s="21" t="s">
        <v>1584</v>
      </c>
    </row>
    <row r="130" spans="2:3" x14ac:dyDescent="0.25">
      <c r="C130" s="21" t="s">
        <v>1536</v>
      </c>
    </row>
    <row r="131" spans="2:3" ht="18" x14ac:dyDescent="0.25">
      <c r="B131" s="55" t="s">
        <v>1537</v>
      </c>
    </row>
    <row r="132" spans="2:3" x14ac:dyDescent="0.25">
      <c r="C132" s="21" t="s">
        <v>1538</v>
      </c>
    </row>
    <row r="133" spans="2:3" x14ac:dyDescent="0.25">
      <c r="C133" s="21" t="s">
        <v>1585</v>
      </c>
    </row>
    <row r="134" spans="2:3" x14ac:dyDescent="0.25">
      <c r="C134" s="21" t="s">
        <v>1586</v>
      </c>
    </row>
    <row r="135" spans="2:3" x14ac:dyDescent="0.25">
      <c r="C135" s="21" t="s">
        <v>1587</v>
      </c>
    </row>
    <row r="136" spans="2:3" x14ac:dyDescent="0.25">
      <c r="C136" s="21" t="s">
        <v>1588</v>
      </c>
    </row>
    <row r="137" spans="2:3" ht="18" x14ac:dyDescent="0.25">
      <c r="B137" s="55" t="s">
        <v>1539</v>
      </c>
    </row>
    <row r="138" spans="2:3" x14ac:dyDescent="0.25">
      <c r="C138" s="21" t="s">
        <v>1589</v>
      </c>
    </row>
    <row r="139" spans="2:3" x14ac:dyDescent="0.25">
      <c r="C139" s="21" t="s">
        <v>1590</v>
      </c>
    </row>
    <row r="140" spans="2:3" x14ac:dyDescent="0.25">
      <c r="C140" s="21" t="s">
        <v>1591</v>
      </c>
    </row>
    <row r="141" spans="2:3" x14ac:dyDescent="0.25">
      <c r="C141" s="21" t="s">
        <v>1592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89C420-34BF-4E81-87AA-785BE3A6A449}">
  <dimension ref="A1:B120"/>
  <sheetViews>
    <sheetView workbookViewId="0">
      <selection activeCell="M25" sqref="M25"/>
    </sheetView>
  </sheetViews>
  <sheetFormatPr defaultRowHeight="15" x14ac:dyDescent="0.25"/>
  <cols>
    <col min="1" max="1" width="80.7109375" bestFit="1" customWidth="1"/>
    <col min="2" max="2" width="12.28515625" customWidth="1"/>
  </cols>
  <sheetData>
    <row r="1" spans="1:2" ht="31.5" x14ac:dyDescent="0.25">
      <c r="A1" s="59" t="s">
        <v>2485</v>
      </c>
    </row>
    <row r="3" spans="1:2" x14ac:dyDescent="0.25">
      <c r="A3" t="s">
        <v>2486</v>
      </c>
    </row>
    <row r="7" spans="1:2" ht="24" x14ac:dyDescent="0.25">
      <c r="A7" s="57" t="s">
        <v>2487</v>
      </c>
    </row>
    <row r="9" spans="1:2" ht="30" x14ac:dyDescent="0.25">
      <c r="A9" s="60" t="s">
        <v>768</v>
      </c>
      <c r="B9" s="60" t="s">
        <v>2488</v>
      </c>
    </row>
    <row r="10" spans="1:2" x14ac:dyDescent="0.25">
      <c r="A10" s="20" t="s">
        <v>838</v>
      </c>
      <c r="B10" s="20" t="s">
        <v>1365</v>
      </c>
    </row>
    <row r="11" spans="1:2" x14ac:dyDescent="0.25">
      <c r="A11" s="20" t="s">
        <v>1366</v>
      </c>
      <c r="B11" s="20" t="s">
        <v>955</v>
      </c>
    </row>
    <row r="12" spans="1:2" x14ac:dyDescent="0.25">
      <c r="A12" s="20" t="s">
        <v>1232</v>
      </c>
      <c r="B12" s="20" t="s">
        <v>1367</v>
      </c>
    </row>
    <row r="13" spans="1:2" x14ac:dyDescent="0.25">
      <c r="A13" s="20" t="s">
        <v>1368</v>
      </c>
      <c r="B13" s="20" t="s">
        <v>1369</v>
      </c>
    </row>
    <row r="14" spans="1:2" x14ac:dyDescent="0.25">
      <c r="A14" s="20" t="s">
        <v>1370</v>
      </c>
      <c r="B14" s="20" t="s">
        <v>1371</v>
      </c>
    </row>
    <row r="15" spans="1:2" x14ac:dyDescent="0.25">
      <c r="A15" s="20" t="s">
        <v>804</v>
      </c>
      <c r="B15" s="20" t="s">
        <v>1372</v>
      </c>
    </row>
    <row r="18" spans="1:2" ht="24" x14ac:dyDescent="0.25">
      <c r="A18" s="57" t="s">
        <v>1373</v>
      </c>
    </row>
    <row r="20" spans="1:2" ht="30" x14ac:dyDescent="0.25">
      <c r="A20" s="60" t="s">
        <v>768</v>
      </c>
      <c r="B20" s="60" t="s">
        <v>2488</v>
      </c>
    </row>
    <row r="21" spans="1:2" x14ac:dyDescent="0.25">
      <c r="A21" s="20" t="s">
        <v>1374</v>
      </c>
      <c r="B21" s="20" t="s">
        <v>816</v>
      </c>
    </row>
    <row r="22" spans="1:2" x14ac:dyDescent="0.25">
      <c r="A22" s="20" t="s">
        <v>1375</v>
      </c>
      <c r="B22" s="20" t="s">
        <v>1376</v>
      </c>
    </row>
    <row r="23" spans="1:2" x14ac:dyDescent="0.25">
      <c r="A23" s="20" t="s">
        <v>1377</v>
      </c>
      <c r="B23" s="20" t="s">
        <v>1378</v>
      </c>
    </row>
    <row r="24" spans="1:2" x14ac:dyDescent="0.25">
      <c r="A24" s="20" t="s">
        <v>1379</v>
      </c>
      <c r="B24" s="20" t="s">
        <v>1380</v>
      </c>
    </row>
    <row r="25" spans="1:2" x14ac:dyDescent="0.25">
      <c r="A25" s="20" t="s">
        <v>823</v>
      </c>
      <c r="B25" s="20" t="s">
        <v>1381</v>
      </c>
    </row>
    <row r="26" spans="1:2" x14ac:dyDescent="0.25">
      <c r="A26" s="20" t="s">
        <v>1382</v>
      </c>
      <c r="B26" s="20" t="s">
        <v>1383</v>
      </c>
    </row>
    <row r="27" spans="1:2" x14ac:dyDescent="0.25">
      <c r="A27" s="20" t="s">
        <v>1219</v>
      </c>
      <c r="B27" s="20" t="s">
        <v>1384</v>
      </c>
    </row>
    <row r="30" spans="1:2" ht="24" x14ac:dyDescent="0.25">
      <c r="A30" s="57" t="s">
        <v>1385</v>
      </c>
    </row>
    <row r="32" spans="1:2" ht="30" x14ac:dyDescent="0.25">
      <c r="A32" s="60" t="s">
        <v>768</v>
      </c>
      <c r="B32" s="60" t="s">
        <v>2488</v>
      </c>
    </row>
    <row r="33" spans="1:2" x14ac:dyDescent="0.25">
      <c r="A33" s="20" t="s">
        <v>1386</v>
      </c>
      <c r="B33" s="20" t="s">
        <v>1387</v>
      </c>
    </row>
    <row r="34" spans="1:2" x14ac:dyDescent="0.25">
      <c r="A34" s="20" t="s">
        <v>1388</v>
      </c>
      <c r="B34" s="20" t="s">
        <v>1389</v>
      </c>
    </row>
    <row r="35" spans="1:2" x14ac:dyDescent="0.25">
      <c r="A35" s="20" t="s">
        <v>1390</v>
      </c>
      <c r="B35" s="20" t="s">
        <v>962</v>
      </c>
    </row>
    <row r="36" spans="1:2" x14ac:dyDescent="0.25">
      <c r="A36" s="20" t="s">
        <v>1391</v>
      </c>
      <c r="B36" s="20" t="s">
        <v>1392</v>
      </c>
    </row>
    <row r="37" spans="1:2" x14ac:dyDescent="0.25">
      <c r="A37" s="20" t="s">
        <v>1393</v>
      </c>
      <c r="B37" s="20" t="s">
        <v>1394</v>
      </c>
    </row>
    <row r="38" spans="1:2" x14ac:dyDescent="0.25">
      <c r="A38" s="20" t="s">
        <v>1395</v>
      </c>
      <c r="B38" s="20" t="s">
        <v>871</v>
      </c>
    </row>
    <row r="39" spans="1:2" x14ac:dyDescent="0.25">
      <c r="A39" s="20" t="s">
        <v>1396</v>
      </c>
      <c r="B39" s="20" t="s">
        <v>1397</v>
      </c>
    </row>
    <row r="42" spans="1:2" ht="24" x14ac:dyDescent="0.25">
      <c r="A42" s="57" t="s">
        <v>1398</v>
      </c>
    </row>
    <row r="44" spans="1:2" ht="30" x14ac:dyDescent="0.25">
      <c r="A44" s="60" t="s">
        <v>768</v>
      </c>
      <c r="B44" s="60" t="s">
        <v>2488</v>
      </c>
    </row>
    <row r="45" spans="1:2" x14ac:dyDescent="0.25">
      <c r="A45" s="20" t="s">
        <v>1268</v>
      </c>
      <c r="B45" s="20" t="s">
        <v>872</v>
      </c>
    </row>
    <row r="46" spans="1:2" x14ac:dyDescent="0.25">
      <c r="A46" s="20" t="s">
        <v>1399</v>
      </c>
      <c r="B46" s="20" t="s">
        <v>1400</v>
      </c>
    </row>
    <row r="47" spans="1:2" x14ac:dyDescent="0.25">
      <c r="A47" s="20" t="s">
        <v>1231</v>
      </c>
      <c r="B47" s="20" t="s">
        <v>1401</v>
      </c>
    </row>
    <row r="48" spans="1:2" x14ac:dyDescent="0.25">
      <c r="A48" s="20" t="s">
        <v>1325</v>
      </c>
      <c r="B48" s="20" t="s">
        <v>934</v>
      </c>
    </row>
    <row r="49" spans="1:2" x14ac:dyDescent="0.25">
      <c r="A49" s="20" t="s">
        <v>1402</v>
      </c>
      <c r="B49" s="20" t="s">
        <v>874</v>
      </c>
    </row>
    <row r="50" spans="1:2" x14ac:dyDescent="0.25">
      <c r="A50" s="20" t="s">
        <v>1403</v>
      </c>
      <c r="B50" s="20" t="s">
        <v>1404</v>
      </c>
    </row>
    <row r="51" spans="1:2" x14ac:dyDescent="0.25">
      <c r="A51" s="20" t="s">
        <v>1405</v>
      </c>
      <c r="B51" s="20" t="s">
        <v>1406</v>
      </c>
    </row>
    <row r="52" spans="1:2" x14ac:dyDescent="0.25">
      <c r="A52" s="20" t="s">
        <v>910</v>
      </c>
      <c r="B52" s="20" t="s">
        <v>1407</v>
      </c>
    </row>
    <row r="53" spans="1:2" x14ac:dyDescent="0.25">
      <c r="A53" s="20" t="s">
        <v>857</v>
      </c>
      <c r="B53" s="20" t="s">
        <v>1408</v>
      </c>
    </row>
    <row r="56" spans="1:2" ht="24" x14ac:dyDescent="0.25">
      <c r="A56" s="57" t="s">
        <v>1409</v>
      </c>
    </row>
    <row r="58" spans="1:2" ht="30" x14ac:dyDescent="0.25">
      <c r="A58" s="60" t="s">
        <v>768</v>
      </c>
      <c r="B58" s="60" t="s">
        <v>2488</v>
      </c>
    </row>
    <row r="59" spans="1:2" x14ac:dyDescent="0.25">
      <c r="A59" s="20" t="s">
        <v>1410</v>
      </c>
      <c r="B59" s="20" t="s">
        <v>873</v>
      </c>
    </row>
    <row r="60" spans="1:2" x14ac:dyDescent="0.25">
      <c r="A60" s="20" t="s">
        <v>833</v>
      </c>
      <c r="B60" s="20" t="s">
        <v>1411</v>
      </c>
    </row>
    <row r="61" spans="1:2" x14ac:dyDescent="0.25">
      <c r="A61" s="20" t="s">
        <v>1412</v>
      </c>
      <c r="B61" s="20" t="s">
        <v>961</v>
      </c>
    </row>
    <row r="62" spans="1:2" x14ac:dyDescent="0.25">
      <c r="A62" s="20" t="s">
        <v>1413</v>
      </c>
      <c r="B62" s="20" t="s">
        <v>965</v>
      </c>
    </row>
    <row r="63" spans="1:2" x14ac:dyDescent="0.25">
      <c r="A63" s="20" t="s">
        <v>1414</v>
      </c>
      <c r="B63" s="20" t="s">
        <v>1415</v>
      </c>
    </row>
    <row r="64" spans="1:2" x14ac:dyDescent="0.25">
      <c r="A64" s="20" t="s">
        <v>1416</v>
      </c>
      <c r="B64" s="20" t="s">
        <v>1417</v>
      </c>
    </row>
    <row r="65" spans="1:2" x14ac:dyDescent="0.25">
      <c r="A65" s="20" t="s">
        <v>1418</v>
      </c>
      <c r="B65" s="20" t="s">
        <v>1419</v>
      </c>
    </row>
    <row r="68" spans="1:2" ht="24" x14ac:dyDescent="0.25">
      <c r="A68" s="57" t="s">
        <v>1420</v>
      </c>
    </row>
    <row r="70" spans="1:2" ht="30" x14ac:dyDescent="0.25">
      <c r="A70" s="60" t="s">
        <v>768</v>
      </c>
      <c r="B70" s="60" t="s">
        <v>2488</v>
      </c>
    </row>
    <row r="71" spans="1:2" x14ac:dyDescent="0.25">
      <c r="A71" s="20" t="s">
        <v>1421</v>
      </c>
      <c r="B71" s="20" t="s">
        <v>947</v>
      </c>
    </row>
    <row r="72" spans="1:2" x14ac:dyDescent="0.25">
      <c r="A72" s="20" t="s">
        <v>1422</v>
      </c>
      <c r="B72" s="20" t="s">
        <v>1423</v>
      </c>
    </row>
    <row r="73" spans="1:2" x14ac:dyDescent="0.25">
      <c r="A73" s="20" t="s">
        <v>1424</v>
      </c>
      <c r="B73" s="20" t="s">
        <v>1237</v>
      </c>
    </row>
    <row r="74" spans="1:2" x14ac:dyDescent="0.25">
      <c r="A74" s="20" t="s">
        <v>1222</v>
      </c>
      <c r="B74" s="20" t="s">
        <v>1425</v>
      </c>
    </row>
    <row r="75" spans="1:2" x14ac:dyDescent="0.25">
      <c r="A75" s="20" t="s">
        <v>1426</v>
      </c>
      <c r="B75" s="20" t="s">
        <v>1427</v>
      </c>
    </row>
    <row r="76" spans="1:2" x14ac:dyDescent="0.25">
      <c r="A76" s="20" t="s">
        <v>1428</v>
      </c>
      <c r="B76" s="20" t="s">
        <v>1429</v>
      </c>
    </row>
    <row r="77" spans="1:2" x14ac:dyDescent="0.25">
      <c r="A77" s="20" t="s">
        <v>1430</v>
      </c>
      <c r="B77" s="20" t="s">
        <v>1431</v>
      </c>
    </row>
    <row r="80" spans="1:2" ht="24" x14ac:dyDescent="0.25">
      <c r="A80" s="57" t="s">
        <v>1432</v>
      </c>
    </row>
    <row r="82" spans="1:2" ht="30" x14ac:dyDescent="0.25">
      <c r="A82" s="60" t="s">
        <v>768</v>
      </c>
      <c r="B82" s="60" t="s">
        <v>2488</v>
      </c>
    </row>
    <row r="83" spans="1:2" x14ac:dyDescent="0.25">
      <c r="A83" s="20" t="s">
        <v>1209</v>
      </c>
      <c r="B83" s="20" t="s">
        <v>1433</v>
      </c>
    </row>
    <row r="84" spans="1:2" x14ac:dyDescent="0.25">
      <c r="A84" s="20" t="s">
        <v>1434</v>
      </c>
      <c r="B84" s="20" t="s">
        <v>1435</v>
      </c>
    </row>
    <row r="85" spans="1:2" x14ac:dyDescent="0.25">
      <c r="A85" s="20" t="s">
        <v>1211</v>
      </c>
      <c r="B85" s="20" t="s">
        <v>1436</v>
      </c>
    </row>
    <row r="86" spans="1:2" x14ac:dyDescent="0.25">
      <c r="A86" s="20" t="s">
        <v>1437</v>
      </c>
      <c r="B86" s="20" t="s">
        <v>1438</v>
      </c>
    </row>
    <row r="87" spans="1:2" x14ac:dyDescent="0.25">
      <c r="A87" s="20" t="s">
        <v>1233</v>
      </c>
      <c r="B87" s="20" t="s">
        <v>1439</v>
      </c>
    </row>
    <row r="88" spans="1:2" x14ac:dyDescent="0.25">
      <c r="A88" s="20" t="s">
        <v>1440</v>
      </c>
      <c r="B88" s="20" t="s">
        <v>1441</v>
      </c>
    </row>
    <row r="89" spans="1:2" x14ac:dyDescent="0.25">
      <c r="A89" s="20" t="s">
        <v>1262</v>
      </c>
      <c r="B89" s="20" t="s">
        <v>1442</v>
      </c>
    </row>
    <row r="90" spans="1:2" x14ac:dyDescent="0.25">
      <c r="A90" s="20" t="s">
        <v>1215</v>
      </c>
      <c r="B90" s="20" t="s">
        <v>1443</v>
      </c>
    </row>
    <row r="93" spans="1:2" ht="24" x14ac:dyDescent="0.25">
      <c r="A93" s="57" t="s">
        <v>1444</v>
      </c>
    </row>
    <row r="95" spans="1:2" ht="30" x14ac:dyDescent="0.25">
      <c r="A95" s="60" t="s">
        <v>768</v>
      </c>
      <c r="B95" s="60" t="s">
        <v>2488</v>
      </c>
    </row>
    <row r="96" spans="1:2" x14ac:dyDescent="0.25">
      <c r="A96" s="20" t="s">
        <v>1445</v>
      </c>
      <c r="B96" s="20" t="s">
        <v>1446</v>
      </c>
    </row>
    <row r="97" spans="1:2" x14ac:dyDescent="0.25">
      <c r="A97" s="20" t="s">
        <v>1447</v>
      </c>
      <c r="B97" s="20" t="s">
        <v>1448</v>
      </c>
    </row>
    <row r="98" spans="1:2" x14ac:dyDescent="0.25">
      <c r="A98" s="20" t="s">
        <v>1449</v>
      </c>
      <c r="B98" s="20" t="s">
        <v>1450</v>
      </c>
    </row>
    <row r="99" spans="1:2" x14ac:dyDescent="0.25">
      <c r="A99" s="20" t="s">
        <v>1451</v>
      </c>
      <c r="B99" s="20" t="s">
        <v>1452</v>
      </c>
    </row>
    <row r="100" spans="1:2" x14ac:dyDescent="0.25">
      <c r="A100" s="20" t="s">
        <v>1453</v>
      </c>
      <c r="B100" s="20" t="s">
        <v>1454</v>
      </c>
    </row>
    <row r="103" spans="1:2" ht="24" x14ac:dyDescent="0.25">
      <c r="A103" s="57" t="s">
        <v>1455</v>
      </c>
    </row>
    <row r="105" spans="1:2" ht="30" x14ac:dyDescent="0.25">
      <c r="A105" s="60" t="s">
        <v>768</v>
      </c>
      <c r="B105" s="60" t="s">
        <v>2488</v>
      </c>
    </row>
    <row r="106" spans="1:2" x14ac:dyDescent="0.25">
      <c r="A106" s="20" t="s">
        <v>1456</v>
      </c>
      <c r="B106" s="20" t="s">
        <v>1457</v>
      </c>
    </row>
    <row r="107" spans="1:2" x14ac:dyDescent="0.25">
      <c r="A107" s="20" t="s">
        <v>1458</v>
      </c>
      <c r="B107" s="20" t="s">
        <v>1459</v>
      </c>
    </row>
    <row r="108" spans="1:2" x14ac:dyDescent="0.25">
      <c r="A108" s="20" t="s">
        <v>1460</v>
      </c>
      <c r="B108" s="20" t="s">
        <v>1461</v>
      </c>
    </row>
    <row r="109" spans="1:2" x14ac:dyDescent="0.25">
      <c r="A109" s="20" t="s">
        <v>1462</v>
      </c>
      <c r="B109" s="20" t="s">
        <v>1463</v>
      </c>
    </row>
    <row r="110" spans="1:2" x14ac:dyDescent="0.25">
      <c r="A110" s="20" t="s">
        <v>1464</v>
      </c>
      <c r="B110" s="20" t="s">
        <v>1465</v>
      </c>
    </row>
    <row r="113" spans="1:2" ht="24" x14ac:dyDescent="0.25">
      <c r="A113" s="57" t="s">
        <v>1466</v>
      </c>
    </row>
    <row r="115" spans="1:2" ht="30" x14ac:dyDescent="0.25">
      <c r="A115" s="60" t="s">
        <v>768</v>
      </c>
      <c r="B115" s="60" t="s">
        <v>2488</v>
      </c>
    </row>
    <row r="116" spans="1:2" x14ac:dyDescent="0.25">
      <c r="A116" s="20" t="s">
        <v>1467</v>
      </c>
      <c r="B116" s="20" t="s">
        <v>1468</v>
      </c>
    </row>
    <row r="117" spans="1:2" x14ac:dyDescent="0.25">
      <c r="A117" s="20" t="s">
        <v>1469</v>
      </c>
      <c r="B117" s="20" t="s">
        <v>1470</v>
      </c>
    </row>
    <row r="118" spans="1:2" x14ac:dyDescent="0.25">
      <c r="A118" s="20" t="s">
        <v>1471</v>
      </c>
      <c r="B118" s="20" t="s">
        <v>1472</v>
      </c>
    </row>
    <row r="119" spans="1:2" x14ac:dyDescent="0.25">
      <c r="A119" s="20" t="s">
        <v>1473</v>
      </c>
      <c r="B119" s="20" t="s">
        <v>1474</v>
      </c>
    </row>
    <row r="120" spans="1:2" x14ac:dyDescent="0.25">
      <c r="A120" s="20" t="s">
        <v>1475</v>
      </c>
      <c r="B120" s="20" t="s">
        <v>1476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101923ab-64be-4f45-a638-92d1f0dad66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8A188B82158BC4B894594F4798BF2C2" ma:contentTypeVersion="19" ma:contentTypeDescription="Create a new document." ma:contentTypeScope="" ma:versionID="aa7426a2fd2bfa45258065d604133812">
  <xsd:schema xmlns:xsd="http://www.w3.org/2001/XMLSchema" xmlns:xs="http://www.w3.org/2001/XMLSchema" xmlns:p="http://schemas.microsoft.com/office/2006/metadata/properties" xmlns:ns3="87e9ad85-808f-4e89-b5f8-5ab611755b2d" xmlns:ns4="101923ab-64be-4f45-a638-92d1f0dad66f" targetNamespace="http://schemas.microsoft.com/office/2006/metadata/properties" ma:root="true" ma:fieldsID="f56482ef586ecbe84b1c5c759c7a0fd3" ns3:_="" ns4:_="">
    <xsd:import namespace="87e9ad85-808f-4e89-b5f8-5ab611755b2d"/>
    <xsd:import namespace="101923ab-64be-4f45-a638-92d1f0dad66f"/>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element ref="ns4:MediaLengthInSeconds" minOccurs="0"/>
                <xsd:element ref="ns4:_activity" minOccurs="0"/>
                <xsd:element ref="ns4:MediaServiceObjectDetectorVersions" minOccurs="0"/>
                <xsd:element ref="ns4:MediaServiceSystemTags" minOccurs="0"/>
                <xsd:element ref="ns4:MediaServiceSearchProperties" minOccurs="0"/>
                <xsd:element ref="ns4: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7e9ad85-808f-4e89-b5f8-5ab611755b2d"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01923ab-64be-4f45-a638-92d1f0dad66f"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dexed="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Location" ma:index="16" nillable="true" ma:displayName="Location" ma:description="" ma:indexed="true"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element name="_activity" ma:index="22" nillable="true" ma:displayName="_activity" ma:hidden="true" ma:internalName="_activity">
      <xsd:simpleType>
        <xsd:restriction base="dms:Note"/>
      </xsd:simple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ystemTags" ma:index="24" nillable="true" ma:displayName="MediaServiceSystemTags" ma:hidden="true" ma:internalName="MediaServiceSystemTags" ma:readOnly="true">
      <xsd:simpleType>
        <xsd:restriction base="dms:Note"/>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BillingMetadata" ma:index="26"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694B8480-FDB3-4B43-A3C9-AEECC20ECD2E}">
  <ds:schemaRefs>
    <ds:schemaRef ds:uri="http://www.w3.org/XML/1998/namespace"/>
    <ds:schemaRef ds:uri="http://schemas.microsoft.com/office/infopath/2007/PartnerControls"/>
    <ds:schemaRef ds:uri="http://schemas.microsoft.com/office/2006/documentManagement/types"/>
    <ds:schemaRef ds:uri="http://schemas.openxmlformats.org/package/2006/metadata/core-properties"/>
    <ds:schemaRef ds:uri="101923ab-64be-4f45-a638-92d1f0dad66f"/>
    <ds:schemaRef ds:uri="http://purl.org/dc/elements/1.1/"/>
    <ds:schemaRef ds:uri="87e9ad85-808f-4e89-b5f8-5ab611755b2d"/>
    <ds:schemaRef ds:uri="http://schemas.microsoft.com/office/2006/metadata/properties"/>
    <ds:schemaRef ds:uri="http://purl.org/dc/dcmitype/"/>
    <ds:schemaRef ds:uri="http://purl.org/dc/terms/"/>
  </ds:schemaRefs>
</ds:datastoreItem>
</file>

<file path=customXml/itemProps2.xml><?xml version="1.0" encoding="utf-8"?>
<ds:datastoreItem xmlns:ds="http://schemas.openxmlformats.org/officeDocument/2006/customXml" ds:itemID="{E8ED8271-C66D-471D-A657-E4143D3B3C29}">
  <ds:schemaRefs>
    <ds:schemaRef ds:uri="http://schemas.microsoft.com/sharepoint/v3/contenttype/forms"/>
  </ds:schemaRefs>
</ds:datastoreItem>
</file>

<file path=customXml/itemProps3.xml><?xml version="1.0" encoding="utf-8"?>
<ds:datastoreItem xmlns:ds="http://schemas.openxmlformats.org/officeDocument/2006/customXml" ds:itemID="{5B30B6C9-C66E-4642-9E70-126773D7902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7e9ad85-808f-4e89-b5f8-5ab611755b2d"/>
    <ds:schemaRef ds:uri="101923ab-64be-4f45-a638-92d1f0dad6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C5B1393-F3FE-41A6-9540-49DBE43B198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Employees</vt:lpstr>
      <vt:lpstr>JobCodeList</vt:lpstr>
      <vt:lpstr>JobCodePath</vt:lpstr>
      <vt:lpstr>JobCodeSkills</vt:lpstr>
      <vt:lpstr>SkillMasterSkill ID</vt:lpstr>
      <vt:lpstr>EmployeeSkills</vt:lpstr>
      <vt:lpstr>ReadinessCalc</vt:lpstr>
      <vt:lpstr>JobCodeTitles</vt:lpstr>
      <vt:lpstr>ExecRoleSkills</vt:lpstr>
      <vt:lpstr>Sheet1</vt:lpstr>
      <vt:lpstr>Sheet2</vt:lpstr>
      <vt:lpstr>SkillsList</vt:lpstr>
      <vt:lpstr>Position Capabilities</vt:lpstr>
      <vt:lpstr>Sheet5</vt:lpstr>
      <vt:lpstr>MASTER SKILLS</vt:lpstr>
      <vt:lpstr>SkillList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Tom Ewing</dc:creator>
  <cp:lastModifiedBy>Tom Ewing</cp:lastModifiedBy>
  <dcterms:created xsi:type="dcterms:W3CDTF">2025-12-10T14:48:55Z</dcterms:created>
  <dcterms:modified xsi:type="dcterms:W3CDTF">2026-02-05T13:47:24Z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0x01010058A188B82158BC4B894594F4798BF2C2</vt:lpwstr>
  </property>
</Properties>
</file>