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36" documentId="8_{57EC61D1-8A19-45CF-BA90-F9B2D68C9FCD}" xr6:coauthVersionLast="47" xr6:coauthVersionMax="47" xr10:uidLastSave="{5EB11EA2-BC4A-4FAD-93BF-AB1664B93453}"/>
  <bookViews>
    <workbookView xWindow="-7149" yWindow="-18617" windowWidth="33120" windowHeight="18000" xr2:uid="{69FF3315-ED80-4243-9184-2B6197D23BC8}"/>
  </bookViews>
  <sheets>
    <sheet name="Handling Excess Materials Tool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" i="1" l="1"/>
  <c r="C48" i="1"/>
  <c r="D48" i="1"/>
  <c r="D45" i="1"/>
  <c r="A13" i="1"/>
  <c r="A12" i="1"/>
  <c r="A11" i="1"/>
  <c r="B11" i="1" s="1"/>
  <c r="A9" i="1"/>
  <c r="A10" i="1"/>
  <c r="D36" i="1"/>
  <c r="D42" i="1"/>
  <c r="C42" i="1"/>
  <c r="B42" i="1"/>
  <c r="C39" i="1"/>
  <c r="D39" i="1"/>
  <c r="B39" i="1"/>
  <c r="C36" i="1"/>
  <c r="B36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<sst xmlns="http://schemas.openxmlformats.org/spreadsheetml/2006/main" count="43" uniqueCount="39">
  <si>
    <t>Handling Excess Materials Tool</t>
  </si>
  <si>
    <t>Dollar Value of Excess Material</t>
  </si>
  <si>
    <t>Vendor Questions</t>
  </si>
  <si>
    <t xml:space="preserve">Will you get a refund from the vendor? </t>
  </si>
  <si>
    <t>Scrapping Questions</t>
  </si>
  <si>
    <t>How much can you get for scrapping the material?</t>
  </si>
  <si>
    <t>When can you scrap the material?</t>
  </si>
  <si>
    <t>How convenient is it to scrap the material?</t>
  </si>
  <si>
    <t>Warehouse Questions</t>
  </si>
  <si>
    <t>Estimated cost of rehandling the material (truck to load and unload and warehouse inventory)</t>
  </si>
  <si>
    <t>Rate the likelihood of reusing the material in 3 months.</t>
  </si>
  <si>
    <t>When can you send the material to warehouse?</t>
  </si>
  <si>
    <t>How convenient is it to send the material to warehouse?</t>
  </si>
  <si>
    <t>Criteria Assessment</t>
  </si>
  <si>
    <t>On a scale from 1 to 10, with 10 being the highest, rate how important is the advantage in each of the following categories:</t>
  </si>
  <si>
    <t xml:space="preserve">Advanatage in cost </t>
  </si>
  <si>
    <t>Advanatage in time</t>
  </si>
  <si>
    <t xml:space="preserve">Advanatage in convenience </t>
  </si>
  <si>
    <t>Advanatage in reusage</t>
  </si>
  <si>
    <t>Alternative #1</t>
  </si>
  <si>
    <t>Alternative #2</t>
  </si>
  <si>
    <t>Alternative #3</t>
  </si>
  <si>
    <t>Send back to vendor</t>
  </si>
  <si>
    <t>Scrap it</t>
  </si>
  <si>
    <t>Send to warehouse</t>
  </si>
  <si>
    <t>Cost</t>
  </si>
  <si>
    <t>Advanatge in cost</t>
  </si>
  <si>
    <t>Advatange Importance</t>
  </si>
  <si>
    <t>Time</t>
  </si>
  <si>
    <t>Advanatge in time</t>
  </si>
  <si>
    <t>Convenience</t>
  </si>
  <si>
    <t>Advantage in convenience</t>
  </si>
  <si>
    <t>Reusage</t>
  </si>
  <si>
    <t>Never</t>
  </si>
  <si>
    <t>Advantage in Reusage</t>
  </si>
  <si>
    <t>TOTAL</t>
  </si>
  <si>
    <t>Developed by Hala Nassereddine, Ph.D.</t>
  </si>
  <si>
    <t>NCM Consulting, LLC.</t>
  </si>
  <si>
    <t>Cheaper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</si>
</sst>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b/>
      <sz val="11"/>
      <name val="Cambria"/>
      <family val="1"/>
    </font>
    <font>
      <sz val="12"/>
      <color theme="1"/>
      <name val="Cambria"/>
      <family val="1"/>
    </font>
    <font>
      <b/>
      <sz val="14"/>
      <color theme="1"/>
      <name val="Cambria"/>
      <family val="1"/>
    </font>
    <font>
      <b/>
      <sz val="11"/>
      <color theme="0"/>
      <name val="Cambria"/>
      <family val="1"/>
    </font>
    <font>
      <sz val="11"/>
      <color theme="0"/>
      <name val="Cambria"/>
      <family val="1"/>
    </font>
    <font>
      <b/>
      <sz val="14"/>
      <color theme="0"/>
      <name val="Cambria"/>
      <family val="1"/>
    </font>
    <font>
      <i/>
      <sz val="11"/>
      <color theme="0" tint="-0.499984740745262"/>
      <name val="Cambria"/>
      <family val="1"/>
    </font>
    <font>
      <b/>
      <sz val="16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11B2F"/>
        <bgColor indexed="64"/>
      </patternFill>
    </fill>
    <fill>
      <patternFill patternType="solid">
        <fgColor rgb="FF91EEE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0" xfId="0" applyFont="1" applyFill="1" applyAlignment="1" applyProtection="1">
      <alignment vertical="center"/>
      <protection locked="0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2" borderId="0" xfId="0" applyFont="1" applyFill="1" applyAlignment="1" applyProtection="1">
      <alignment vertical="center" wrapText="1"/>
      <protection locked="0"/>
    </xf>
    <xf numFmtId="0" fontId="1" fillId="3" borderId="0" xfId="0" applyFont="1" applyFill="1" applyAlignment="1" applyProtection="1">
      <alignment vertical="center" wrapText="1"/>
      <protection locked="0"/>
    </xf>
    <xf numFmtId="0" fontId="5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wrapText="1"/>
      <protection locked="0"/>
    </xf>
    <xf numFmtId="0" fontId="5" fillId="2" borderId="0" xfId="0" applyFont="1" applyFill="1" applyProtection="1">
      <protection locked="0"/>
    </xf>
    <xf numFmtId="0" fontId="1" fillId="3" borderId="0" xfId="0" applyFont="1" applyFill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44" fontId="4" fillId="2" borderId="4" xfId="0" applyNumberFormat="1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right"/>
      <protection locked="0"/>
    </xf>
    <xf numFmtId="0" fontId="6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1" fillId="4" borderId="0" xfId="0" applyFont="1" applyFill="1" applyProtection="1">
      <protection locked="0"/>
    </xf>
    <xf numFmtId="44" fontId="1" fillId="5" borderId="0" xfId="0" applyNumberFormat="1" applyFont="1" applyFill="1" applyAlignment="1" applyProtection="1">
      <alignment vertical="center"/>
      <protection locked="0"/>
    </xf>
    <xf numFmtId="0" fontId="1" fillId="5" borderId="0" xfId="0" applyFont="1" applyFill="1" applyAlignment="1" applyProtection="1">
      <alignment horizontal="center" vertical="center"/>
      <protection locked="0"/>
    </xf>
    <xf numFmtId="9" fontId="1" fillId="5" borderId="0" xfId="0" applyNumberFormat="1" applyFont="1" applyFill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8" fillId="2" borderId="0" xfId="0" applyFont="1" applyFill="1" applyProtection="1"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4" fontId="1" fillId="3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2" borderId="0" xfId="0" applyFont="1" applyFill="1" applyAlignment="1">
      <alignment wrapText="1"/>
    </xf>
    <xf numFmtId="44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4" fontId="4" fillId="6" borderId="4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7" fillId="7" borderId="0" xfId="0" applyFont="1" applyFill="1" applyAlignment="1" applyProtection="1">
      <alignment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8" fillId="7" borderId="0" xfId="0" applyFont="1" applyFill="1" applyProtection="1">
      <protection locked="0"/>
    </xf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B11B2F"/>
      <color rgb="FF91EEE2"/>
      <color rgb="FFFFF2CC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openxmlformats.org/officeDocument/2006/relationships/calcChain" Target="calcChain.xml"/><Relationship Id="rId5" Type="http://schemas.openxmlformats.org/officeDocument/2006/relationships/sheetMetadata" Target="metadata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548640</xdr:colOff>
      <xdr:row>32</xdr:row>
      <xdr:rowOff>60960</xdr:rowOff>
    </xdr:from>
    <xdr:to>
      <xdr:col>0</xdr:col>
      <xdr:colOff>1912620</xdr:colOff>
      <xdr:row>34</xdr:row>
      <xdr:rowOff>129540</xdr:rowOff>
    </xdr:to>
    <xdr:sp macro="[0]!compare_alternatives" textlink="">
      <xdr:nvSpPr>
        <xdr:cNvPr id="3" name="Rectangle 2">
          <a:extLst>
            <a:ext uri="{FF2B5EF4-FFF2-40B4-BE49-F238E27FC236}">
              <a16:creationId xmlns:a16="http://schemas.microsoft.com/office/drawing/2014/main" id="{18DA23D0-BCA5-54A1-7816-B146C40DCD31}"/>
            </a:ext>
          </a:extLst>
        </xdr:cNvPr>
        <xdr:cNvSpPr/>
      </xdr:nvSpPr>
      <xdr:spPr>
        <a:xfrm>
          <a:off x="548640" y="7170420"/>
          <a:ext cx="1363980" cy="4191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ambria" panose="02040503050406030204" pitchFamily="18" charset="0"/>
              <a:ea typeface="Cambria" panose="02040503050406030204" pitchFamily="18" charset="0"/>
            </a:rPr>
            <a:t>ANALYZE</a:t>
          </a:r>
        </a:p>
      </xdr:txBody>
    </xdr:sp>
    <xdr:clientData/>
  </xdr:twoCellAnchor>
  <xdr:twoCellAnchor>
    <xdr:from>
      <xdr:col>3</xdr:col>
      <xdr:colOff>1402080</xdr:colOff>
      <xdr:row>4</xdr:row>
      <xdr:rowOff>7620</xdr:rowOff>
    </xdr:from>
    <xdr:to>
      <xdr:col>4</xdr:col>
      <xdr:colOff>518160</xdr:colOff>
      <xdr:row>4</xdr:row>
      <xdr:rowOff>312420</xdr:rowOff>
    </xdr:to>
    <xdr:sp macro="[0]!clean_content" textlink="">
      <xdr:nvSpPr>
        <xdr:cNvPr id="4" name="Rectangle 3">
          <a:extLst>
            <a:ext uri="{FF2B5EF4-FFF2-40B4-BE49-F238E27FC236}">
              <a16:creationId xmlns:a16="http://schemas.microsoft.com/office/drawing/2014/main" id="{E8DE7A77-8C73-6759-CB90-0F212A575CB0}"/>
            </a:ext>
          </a:extLst>
        </xdr:cNvPr>
        <xdr:cNvSpPr/>
      </xdr:nvSpPr>
      <xdr:spPr>
        <a:xfrm>
          <a:off x="7284720" y="708660"/>
          <a:ext cx="815340" cy="304800"/>
        </a:xfrm>
        <a:prstGeom prst="rect">
          <a:avLst/>
        </a:prstGeom>
        <a:solidFill>
          <a:schemeClr val="tx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CLEAR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91F41-BB30-4C8C-8C8F-337F97CB2C14}">
  <sheetPr codeName="Sheet1"/>
  <dimension ref="A1:E58"/>
  <sheetViews>
    <sheetView tabSelected="1" zoomScale="70" zoomScaleNormal="70" workbookViewId="0">
      <selection activeCell="E29" sqref="E29"/>
    </sheetView>
  </sheetViews>
  <sheetFormatPr defaultColWidth="0" defaultRowHeight="14" zeroHeight="1" x14ac:dyDescent="0.3"/>
  <cols>
    <col min="1" max="1" width="36.1796875" style="3" bestFit="1" customWidth="1"/>
    <col min="2" max="4" width="24.81640625" style="3" customWidth="1"/>
    <col min="5" max="5" width="8.81640625" style="3" customWidth="1"/>
    <col min="6" max="16384" width="8.81640625" style="3" hidden="1"/>
  </cols>
  <sheetData>
    <row r="1" spans="1:5" s="25" customFormat="1" ht="24" customHeight="1" x14ac:dyDescent="0.3">
      <c r="A1" s="48" t="e" vm="1">
        <v>#VALUE!</v>
      </c>
      <c r="B1" s="46" t="s">
        <v>0</v>
      </c>
      <c r="C1" s="47"/>
      <c r="D1" s="47"/>
      <c r="E1" s="47"/>
    </row>
    <row r="2" spans="1:5" ht="21" customHeight="1" x14ac:dyDescent="0.3">
      <c r="A2" s="47"/>
      <c r="B2" s="47"/>
      <c r="C2" s="47"/>
      <c r="D2" s="47"/>
      <c r="E2" s="47"/>
    </row>
    <row r="3" spans="1:5" ht="24.5" customHeight="1" x14ac:dyDescent="0.3">
      <c r="A3" s="47"/>
      <c r="B3" s="47"/>
      <c r="C3" s="47"/>
      <c r="D3" s="47"/>
      <c r="E3" s="47"/>
    </row>
    <row r="4" spans="1:5" x14ac:dyDescent="0.3">
      <c r="A4" s="2"/>
      <c r="B4" s="2"/>
      <c r="C4" s="2"/>
      <c r="D4" s="2"/>
      <c r="E4" s="2"/>
    </row>
    <row r="5" spans="1:5" ht="27.65" customHeight="1" x14ac:dyDescent="0.3">
      <c r="A5" s="49" t="s">
        <v>1</v>
      </c>
      <c r="B5" s="26"/>
      <c r="C5" s="1"/>
      <c r="D5" s="1"/>
      <c r="E5" s="2"/>
    </row>
    <row r="6" spans="1:5" ht="13.9" customHeight="1" x14ac:dyDescent="0.3">
      <c r="A6" s="1"/>
      <c r="B6" s="1"/>
      <c r="C6" s="1"/>
      <c r="D6" s="1"/>
      <c r="E6" s="2"/>
    </row>
    <row r="7" spans="1:5" ht="27.65" customHeight="1" x14ac:dyDescent="0.3">
      <c r="A7" s="50" t="s">
        <v>2</v>
      </c>
      <c r="B7" s="50"/>
      <c r="C7" s="50"/>
      <c r="D7" s="50"/>
      <c r="E7" s="50"/>
    </row>
    <row r="8" spans="1:5" ht="16.899999999999999" customHeight="1" x14ac:dyDescent="0.3">
      <c r="A8" s="4" t="s">
        <v>3</v>
      </c>
      <c r="B8" s="27"/>
      <c r="C8" s="1"/>
      <c r="D8" s="1"/>
      <c r="E8" s="2"/>
    </row>
    <row r="9" spans="1:5" ht="16.899999999999999" customHeight="1" x14ac:dyDescent="0.3">
      <c r="A9" s="36" t="str">
        <f>IF(B8="Yes","Does the vendor have a restocking fee?","")</f>
        <v/>
      </c>
      <c r="B9" s="9"/>
      <c r="C9" s="1"/>
      <c r="D9" s="1"/>
      <c r="E9" s="2"/>
    </row>
    <row r="10" spans="1:5" ht="16.899999999999999" customHeight="1" x14ac:dyDescent="0.3">
      <c r="A10" s="37" t="str">
        <f>IF(B9="Yes","Insert the restocking fee as a percentage","")</f>
        <v/>
      </c>
      <c r="B10" s="28"/>
      <c r="C10" s="1"/>
      <c r="D10" s="1"/>
      <c r="E10" s="2"/>
    </row>
    <row r="11" spans="1:5" ht="26.5" customHeight="1" x14ac:dyDescent="0.3">
      <c r="A11" s="38" t="str">
        <f>IF(B9="Yes","Dollar value of the expected refund","")</f>
        <v/>
      </c>
      <c r="B11" s="35" t="str">
        <f>IF(A11&lt;&gt;"",(B5-(B10*B5)),"")</f>
        <v/>
      </c>
      <c r="C11" s="1"/>
      <c r="D11" s="1"/>
      <c r="E11" s="2"/>
    </row>
    <row r="12" spans="1:5" ht="26.5" customHeight="1" x14ac:dyDescent="0.3">
      <c r="A12" s="39" t="str">
        <f>IF(B8="Yes","When can the vendor pick up the material?","")</f>
        <v/>
      </c>
      <c r="B12" s="27"/>
      <c r="C12" s="1"/>
      <c r="D12" s="1"/>
      <c r="E12" s="2"/>
    </row>
    <row r="13" spans="1:5" x14ac:dyDescent="0.3">
      <c r="A13" s="40" t="str">
        <f>IF(B8="Yes","How convenient is it to return the material to the vendor?","")</f>
        <v/>
      </c>
      <c r="B13" s="9"/>
      <c r="C13" s="2"/>
      <c r="D13" s="2"/>
      <c r="E13" s="2"/>
    </row>
    <row r="14" spans="1:5" x14ac:dyDescent="0.3">
      <c r="A14" s="2"/>
      <c r="B14" s="2"/>
      <c r="C14" s="2"/>
      <c r="D14" s="2"/>
      <c r="E14" s="2"/>
    </row>
    <row r="15" spans="1:5" s="7" customFormat="1" ht="27.65" customHeight="1" x14ac:dyDescent="0.3">
      <c r="A15" s="50" t="s">
        <v>4</v>
      </c>
      <c r="B15" s="50"/>
      <c r="C15" s="50"/>
      <c r="D15" s="50"/>
      <c r="E15" s="50"/>
    </row>
    <row r="16" spans="1:5" ht="28" x14ac:dyDescent="0.3">
      <c r="A16" s="6" t="s">
        <v>5</v>
      </c>
      <c r="B16" s="26"/>
      <c r="C16" s="2"/>
      <c r="D16" s="2"/>
      <c r="E16" s="2"/>
    </row>
    <row r="17" spans="1:5" x14ac:dyDescent="0.3">
      <c r="A17" s="8" t="s">
        <v>6</v>
      </c>
      <c r="B17" s="9"/>
      <c r="C17" s="2"/>
      <c r="D17" s="2"/>
      <c r="E17" s="2"/>
    </row>
    <row r="18" spans="1:5" ht="28" x14ac:dyDescent="0.3">
      <c r="A18" s="6" t="s">
        <v>7</v>
      </c>
      <c r="B18" s="27"/>
      <c r="C18" s="2"/>
      <c r="D18" s="2"/>
      <c r="E18" s="2"/>
    </row>
    <row r="19" spans="1:5" s="2" customFormat="1" x14ac:dyDescent="0.3"/>
    <row r="20" spans="1:5" s="7" customFormat="1" ht="27.65" customHeight="1" x14ac:dyDescent="0.3">
      <c r="A20" s="50" t="s">
        <v>8</v>
      </c>
      <c r="B20" s="50"/>
      <c r="C20" s="50"/>
      <c r="D20" s="50"/>
      <c r="E20" s="50"/>
    </row>
    <row r="21" spans="1:5" ht="42" x14ac:dyDescent="0.3">
      <c r="A21" s="10" t="s">
        <v>9</v>
      </c>
      <c r="B21" s="26"/>
      <c r="C21" s="2"/>
      <c r="D21" s="2"/>
      <c r="E21" s="2"/>
    </row>
    <row r="22" spans="1:5" ht="28" x14ac:dyDescent="0.3">
      <c r="A22" s="5" t="s">
        <v>10</v>
      </c>
      <c r="B22" s="9"/>
      <c r="C22" s="2"/>
      <c r="D22" s="2"/>
      <c r="E22" s="2"/>
    </row>
    <row r="23" spans="1:5" ht="28" x14ac:dyDescent="0.3">
      <c r="A23" s="10" t="s">
        <v>11</v>
      </c>
      <c r="B23" s="27"/>
      <c r="C23" s="2"/>
      <c r="D23" s="2"/>
      <c r="E23" s="2"/>
    </row>
    <row r="24" spans="1:5" ht="28" x14ac:dyDescent="0.3">
      <c r="A24" s="8" t="s">
        <v>12</v>
      </c>
      <c r="B24" s="9"/>
      <c r="C24" s="2"/>
      <c r="D24" s="2"/>
      <c r="E24" s="2"/>
    </row>
    <row r="25" spans="1:5" s="2" customFormat="1" x14ac:dyDescent="0.3"/>
    <row r="26" spans="1:5" s="2" customFormat="1" ht="27.65" customHeight="1" x14ac:dyDescent="0.3">
      <c r="A26" s="50" t="s">
        <v>13</v>
      </c>
      <c r="B26" s="50"/>
      <c r="C26" s="50"/>
      <c r="D26" s="50"/>
      <c r="E26" s="50"/>
    </row>
    <row r="27" spans="1:5" s="11" customFormat="1" ht="15" x14ac:dyDescent="0.3">
      <c r="A27" s="11" t="s">
        <v>14</v>
      </c>
    </row>
    <row r="28" spans="1:5" ht="17.5" customHeight="1" x14ac:dyDescent="0.3">
      <c r="A28" s="30" t="s">
        <v>15</v>
      </c>
      <c r="B28" s="29"/>
      <c r="C28" s="2"/>
      <c r="D28" s="2"/>
      <c r="E28" s="2"/>
    </row>
    <row r="29" spans="1:5" ht="17.5" customHeight="1" x14ac:dyDescent="0.3">
      <c r="A29" s="31" t="s">
        <v>16</v>
      </c>
      <c r="B29" s="29"/>
      <c r="C29" s="2"/>
      <c r="D29" s="2"/>
      <c r="E29" s="2"/>
    </row>
    <row r="30" spans="1:5" ht="17.5" customHeight="1" x14ac:dyDescent="0.3">
      <c r="A30" s="30" t="s">
        <v>17</v>
      </c>
      <c r="B30" s="29"/>
      <c r="C30" s="2"/>
      <c r="D30" s="2"/>
      <c r="E30" s="2"/>
    </row>
    <row r="31" spans="1:5" ht="17.5" customHeight="1" x14ac:dyDescent="0.3">
      <c r="A31" s="30" t="s">
        <v>18</v>
      </c>
      <c r="B31" s="29"/>
      <c r="C31" s="2"/>
      <c r="D31" s="2"/>
      <c r="E31" s="2"/>
    </row>
    <row r="32" spans="1:5" s="2" customFormat="1" x14ac:dyDescent="0.3"/>
    <row r="33" spans="1:5" x14ac:dyDescent="0.3">
      <c r="A33" s="12"/>
      <c r="B33" s="12"/>
      <c r="C33" s="12"/>
      <c r="D33" s="12"/>
      <c r="E33" s="12"/>
    </row>
    <row r="34" spans="1:5" x14ac:dyDescent="0.3">
      <c r="A34" s="12"/>
      <c r="B34" s="13" t="s">
        <v>19</v>
      </c>
      <c r="C34" s="13" t="s">
        <v>20</v>
      </c>
      <c r="D34" s="13" t="s">
        <v>21</v>
      </c>
      <c r="E34" s="12"/>
    </row>
    <row r="35" spans="1:5" x14ac:dyDescent="0.3">
      <c r="A35" s="12"/>
      <c r="B35" s="14" t="s">
        <v>22</v>
      </c>
      <c r="C35" s="14" t="s">
        <v>23</v>
      </c>
      <c r="D35" s="14" t="s">
        <v>24</v>
      </c>
      <c r="E35" s="12"/>
    </row>
    <row r="36" spans="1:5" x14ac:dyDescent="0.3">
      <c r="A36" s="15" t="s">
        <v>25</v>
      </c>
      <c r="B36" s="41" t="str">
        <f>B11</f>
        <v/>
      </c>
      <c r="C36" s="41">
        <f>B16</f>
        <v>0</v>
      </c>
      <c r="D36" s="41">
        <f>-B21</f>
        <v>0</v>
      </c>
      <c r="E36" s="12"/>
    </row>
    <row r="37" spans="1:5" x14ac:dyDescent="0.3">
      <c r="A37" s="16" t="s">
        <v>26</v>
      </c>
      <c r="B37" s="44" t="s">
        <v>38</v>
      </c>
      <c r="C37" s="17"/>
      <c r="D37" s="17"/>
      <c r="E37" s="12"/>
    </row>
    <row r="38" spans="1:5" x14ac:dyDescent="0.3">
      <c r="A38" s="18" t="s">
        <v>27</v>
      </c>
      <c r="B38" s="16"/>
      <c r="C38" s="16"/>
      <c r="D38" s="16"/>
      <c r="E38" s="12"/>
    </row>
    <row r="39" spans="1:5" x14ac:dyDescent="0.3">
      <c r="A39" s="15" t="s">
        <v>28</v>
      </c>
      <c r="B39" s="42">
        <f>B12</f>
        <v>0</v>
      </c>
      <c r="C39" s="42">
        <f>B17</f>
        <v>0</v>
      </c>
      <c r="D39" s="42">
        <f>B23</f>
        <v>0</v>
      </c>
      <c r="E39" s="12"/>
    </row>
    <row r="40" spans="1:5" x14ac:dyDescent="0.3">
      <c r="A40" s="16" t="s">
        <v>29</v>
      </c>
      <c r="B40" s="19"/>
      <c r="C40" s="19"/>
      <c r="D40" s="19"/>
      <c r="E40" s="12"/>
    </row>
    <row r="41" spans="1:5" x14ac:dyDescent="0.3">
      <c r="A41" s="18" t="s">
        <v>27</v>
      </c>
      <c r="B41" s="20"/>
      <c r="C41" s="20"/>
      <c r="D41" s="20"/>
      <c r="E41" s="12"/>
    </row>
    <row r="42" spans="1:5" x14ac:dyDescent="0.3">
      <c r="A42" s="15" t="s">
        <v>30</v>
      </c>
      <c r="B42" s="42">
        <f>B13</f>
        <v>0</v>
      </c>
      <c r="C42" s="42">
        <f>B18</f>
        <v>0</v>
      </c>
      <c r="D42" s="42">
        <f>B24</f>
        <v>0</v>
      </c>
      <c r="E42" s="12"/>
    </row>
    <row r="43" spans="1:5" x14ac:dyDescent="0.3">
      <c r="A43" s="21" t="s">
        <v>31</v>
      </c>
      <c r="B43" s="19"/>
      <c r="C43" s="19"/>
      <c r="D43" s="19"/>
      <c r="E43" s="12"/>
    </row>
    <row r="44" spans="1:5" x14ac:dyDescent="0.3">
      <c r="A44" s="18" t="s">
        <v>27</v>
      </c>
      <c r="B44" s="20"/>
      <c r="C44" s="20"/>
      <c r="D44" s="20"/>
      <c r="E44" s="12"/>
    </row>
    <row r="45" spans="1:5" x14ac:dyDescent="0.3">
      <c r="A45" s="15" t="s">
        <v>32</v>
      </c>
      <c r="B45" s="33" t="s">
        <v>33</v>
      </c>
      <c r="C45" s="33" t="s">
        <v>33</v>
      </c>
      <c r="D45" s="42">
        <f>B22</f>
        <v>0</v>
      </c>
      <c r="E45" s="12"/>
    </row>
    <row r="46" spans="1:5" x14ac:dyDescent="0.3">
      <c r="A46" s="21" t="s">
        <v>34</v>
      </c>
      <c r="B46" s="19"/>
      <c r="C46" s="19"/>
      <c r="D46" s="19"/>
      <c r="E46" s="12"/>
    </row>
    <row r="47" spans="1:5" x14ac:dyDescent="0.3">
      <c r="A47" s="18" t="s">
        <v>27</v>
      </c>
      <c r="B47" s="20"/>
      <c r="C47" s="20"/>
      <c r="D47" s="20"/>
      <c r="E47" s="12"/>
    </row>
    <row r="48" spans="1:5" s="24" customFormat="1" ht="17.5" x14ac:dyDescent="0.35">
      <c r="A48" s="22" t="s">
        <v>35</v>
      </c>
      <c r="B48" s="43">
        <f>B44+B41+B38+B47</f>
        <v>0</v>
      </c>
      <c r="C48" s="43">
        <f>C44+C41+C38+C47</f>
        <v>0</v>
      </c>
      <c r="D48" s="43">
        <f>D44+D41+D38+D47</f>
        <v>0</v>
      </c>
      <c r="E48" s="23"/>
    </row>
    <row r="49" spans="1:5" x14ac:dyDescent="0.3">
      <c r="A49" s="12"/>
      <c r="B49" s="12"/>
      <c r="C49" s="12"/>
      <c r="D49" s="12"/>
      <c r="E49" s="12"/>
    </row>
    <row r="50" spans="1:5" x14ac:dyDescent="0.3">
      <c r="A50" s="51"/>
      <c r="B50" s="51"/>
      <c r="C50" s="51"/>
      <c r="D50" s="51"/>
      <c r="E50" s="51"/>
    </row>
    <row r="51" spans="1:5" x14ac:dyDescent="0.3">
      <c r="A51" s="32"/>
      <c r="B51" s="32"/>
      <c r="C51" s="32"/>
      <c r="D51" s="32"/>
      <c r="E51" s="32"/>
    </row>
    <row r="52" spans="1:5" x14ac:dyDescent="0.3">
      <c r="A52" s="32"/>
      <c r="B52" s="32"/>
      <c r="C52" s="32"/>
      <c r="D52" s="32"/>
      <c r="E52" s="32"/>
    </row>
    <row r="53" spans="1:5" x14ac:dyDescent="0.3">
      <c r="A53" s="32"/>
      <c r="B53" s="32"/>
      <c r="C53" s="32"/>
      <c r="D53" s="45" t="s">
        <v>36</v>
      </c>
      <c r="E53" s="45"/>
    </row>
    <row r="54" spans="1:5" x14ac:dyDescent="0.3">
      <c r="A54" s="32"/>
      <c r="B54" s="32"/>
      <c r="C54" s="32"/>
      <c r="D54" s="45" t="s">
        <v>37</v>
      </c>
      <c r="E54" s="45"/>
    </row>
    <row r="55" spans="1:5" x14ac:dyDescent="0.3">
      <c r="A55" s="51"/>
      <c r="B55" s="51"/>
      <c r="C55" s="51"/>
      <c r="D55" s="51"/>
      <c r="E55" s="51"/>
    </row>
    <row r="56" spans="1:5" hidden="1" x14ac:dyDescent="0.3">
      <c r="A56" s="32"/>
      <c r="B56" s="32"/>
      <c r="C56" s="32"/>
      <c r="D56" s="32"/>
      <c r="E56" s="32"/>
    </row>
    <row r="57" spans="1:5" ht="14.5" hidden="1" x14ac:dyDescent="0.35">
      <c r="A57" s="32"/>
      <c r="B57" s="32"/>
      <c r="C57" s="32"/>
      <c r="D57" s="34"/>
      <c r="E57" s="32"/>
    </row>
    <row r="58" spans="1:5" hidden="1" x14ac:dyDescent="0.3">
      <c r="A58" s="2"/>
      <c r="B58" s="2"/>
      <c r="C58" s="2"/>
      <c r="D58" s="2"/>
      <c r="E58" s="2"/>
    </row>
  </sheetData>
  <mergeCells count="8">
    <mergeCell ref="B1:E3"/>
    <mergeCell ref="A1:A3"/>
    <mergeCell ref="D54:E54"/>
    <mergeCell ref="D53:E53"/>
    <mergeCell ref="A7:E7"/>
    <mergeCell ref="A15:E15"/>
    <mergeCell ref="A20:E20"/>
    <mergeCell ref="A26:E26"/>
  </mergeCells>
  <conditionalFormatting sqref="B48:D48">
    <cfRule type="top10" dxfId="0" priority="1" rank="1"/>
  </conditionalFormatting>
  <dataValidations count="6">
    <dataValidation type="list" allowBlank="1" showInputMessage="1" showErrorMessage="1" sqref="B8:B9" xr:uid="{D60449FB-197B-49F5-A122-DF544998BBE7}">
      <formula1>"Yes, No"</formula1>
    </dataValidation>
    <dataValidation type="list" allowBlank="1" showInputMessage="1" showErrorMessage="1" sqref="B32" xr:uid="{A1C40BB0-B932-4C5D-B762-6CC44D494529}">
      <formula1>"Rank 1, Rank 2, Rank 3"</formula1>
    </dataValidation>
    <dataValidation type="list" allowBlank="1" showInputMessage="1" showErrorMessage="1" sqref="B28:B31" xr:uid="{C9542CAC-2BF2-406A-8C2B-91C4B1FA901A}">
      <formula1>"1, 2, 3, 4, 5, 6, 7, 8, 9, 10"</formula1>
    </dataValidation>
    <dataValidation type="list" allowBlank="1" showInputMessage="1" showErrorMessage="1" sqref="B24 B18 B13" xr:uid="{FA3F990B-67AD-4EE1-970B-F797230280A7}">
      <formula1>"Inconvenient, Somewhat Convenient, Very Convenient"</formula1>
    </dataValidation>
    <dataValidation type="list" allowBlank="1" showInputMessage="1" showErrorMessage="1" sqref="B17 B12 B23" xr:uid="{097CECCD-4E32-413E-B41D-038FB3B77902}">
      <formula1>"Soon, Later"</formula1>
    </dataValidation>
    <dataValidation type="list" allowBlank="1" showInputMessage="1" showErrorMessage="1" sqref="B22" xr:uid="{89D76DD5-6B36-4F77-8F8A-DAD18BCC1B91}">
      <formula1>"Unlikely, Moderately Likely, Highly Likely"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DCA4602FA0E8439F6696E7D984B478" ma:contentTypeVersion="18" ma:contentTypeDescription="Create a new document." ma:contentTypeScope="" ma:versionID="68f3de7abb1df7bcbff1a9682b87fd04">
  <xsd:schema xmlns:xsd="http://www.w3.org/2001/XMLSchema" xmlns:xs="http://www.w3.org/2001/XMLSchema" xmlns:p="http://schemas.microsoft.com/office/2006/metadata/properties" xmlns:ns2="5363f309-94eb-433c-a012-13c4c3ee690e" xmlns:ns3="a9e0da67-b2fb-4acd-910f-40f86cdf4d05" targetNamespace="http://schemas.microsoft.com/office/2006/metadata/properties" ma:root="true" ma:fieldsID="285076067547430b056a919c16521bbf" ns2:_="" ns3:_="">
    <xsd:import namespace="5363f309-94eb-433c-a012-13c4c3ee690e"/>
    <xsd:import namespace="a9e0da67-b2fb-4acd-910f-40f86cdf4d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63f309-94eb-433c-a012-13c4c3ee69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b4b81bd-9055-4266-bd2a-918a5aba10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da67-b2fb-4acd-910f-40f86cdf4d0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4b23f85-b490-4eba-887e-369691e311fb}" ma:internalName="TaxCatchAll" ma:showField="CatchAllData" ma:web="a9e0da67-b2fb-4acd-910f-40f86cdf4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9e0da67-b2fb-4acd-910f-40f86cdf4d05">
      <UserInfo>
        <DisplayName>Holmes, Laura (ELECTRI)</DisplayName>
        <AccountId>83</AccountId>
        <AccountType/>
      </UserInfo>
      <UserInfo>
        <DisplayName>Harbison, Amanda</DisplayName>
        <AccountId>24</AccountId>
        <AccountType/>
      </UserInfo>
      <UserInfo>
        <DisplayName>Holmes, Laura</DisplayName>
        <AccountId>13</AccountId>
        <AccountType/>
      </UserInfo>
      <UserInfo>
        <DisplayName>Harbison, Amanda (ELECTRI)</DisplayName>
        <AccountId>435</AccountId>
        <AccountType/>
      </UserInfo>
    </SharedWithUsers>
    <TaxCatchAll xmlns="a9e0da67-b2fb-4acd-910f-40f86cdf4d05" xsi:nil="true"/>
    <lcf76f155ced4ddcb4097134ff3c332f xmlns="5363f309-94eb-433c-a012-13c4c3ee69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CF9B7DB-36DF-4422-86E5-6A3F532DA7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CFC772-2633-46B6-939F-2E975FEAB8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63f309-94eb-433c-a012-13c4c3ee690e"/>
    <ds:schemaRef ds:uri="a9e0da67-b2fb-4acd-910f-40f86cdf4d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FF17EC-4C71-4BFE-8DDD-BB7DD28637F2}">
  <ds:schemaRefs>
    <ds:schemaRef ds:uri="http://schemas.microsoft.com/office/2006/metadata/properties"/>
    <ds:schemaRef ds:uri="http://schemas.microsoft.com/office/infopath/2007/PartnerControls"/>
    <ds:schemaRef ds:uri="a9e0da67-b2fb-4acd-910f-40f86cdf4d05"/>
    <ds:schemaRef ds:uri="5363f309-94eb-433c-a012-13c4c3ee69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Handling Excess Materials Tool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Nassereddine, Hala</dc:creator>
  <cp:keywords/>
  <dc:description/>
  <cp:lastModifiedBy>Tom Ewing</cp:lastModifiedBy>
  <cp:revision/>
  <dcterms:created xsi:type="dcterms:W3CDTF">2023-09-03T00:58:13Z</dcterms:created>
  <dcterms:modified xsi:type="dcterms:W3CDTF">2025-04-02T17:06:15Z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0x01010046DCA4602FA0E8439F6696E7D984B478</vt:lpwstr>
  </property>
  <property fmtid="{D5CDD505-2E9C-101B-9397-08002B2CF9AE}" pid="3" name="MediaServiceImageTags">
    <vt:lpwstr/>
  </property>
</Properties>
</file>