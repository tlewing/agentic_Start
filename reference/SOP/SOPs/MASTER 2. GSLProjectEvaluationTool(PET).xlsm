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slelectric8540-my.sharepoint.com/personal/tewing_gslelectric_com1/Documents/SOPs/"/>
    </mc:Choice>
  </mc:AlternateContent>
  <xr:revisionPtr revIDLastSave="590" documentId="8_{FF7D9630-2A6C-4A8C-BC86-0E77D1731DAF}" xr6:coauthVersionLast="47" xr6:coauthVersionMax="47" xr10:uidLastSave="{975607D2-2646-4FE4-B912-FB7253F2D077}"/>
  <bookViews>
    <workbookView xWindow="-110" yWindow="-110" windowWidth="24220" windowHeight="15500" xr2:uid="{D8625D63-DDB8-4099-8277-4BE0FD77B3E6}"/>
  </bookViews>
  <sheets>
    <sheet name="PET" sheetId="1" r:id="rId1"/>
    <sheet name="PET Database" sheetId="2" r:id="rId2"/>
  </sheets>
  <definedNames>
    <definedName name="_xlnm._FilterDatabase" localSheetId="1" hidden="1">'PET Database'!$A$3:$AQ$21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1" i="1" l="1"/>
  <c r="B53" i="1" s="1"/>
  <c r="C53" i="1" s="1"/>
  <c r="AF2" i="2"/>
  <c r="I28" i="1"/>
  <c r="G58" i="1" s="1"/>
  <c r="I9" i="1"/>
  <c r="B2" i="2"/>
  <c r="AK2" i="2"/>
  <c r="AJ2" i="2"/>
  <c r="J2" i="2"/>
  <c r="I2" i="2"/>
  <c r="H2" i="2"/>
  <c r="F2" i="2"/>
  <c r="E2" i="2"/>
  <c r="D2" i="2"/>
  <c r="C2" i="2"/>
  <c r="AQ2" i="2"/>
  <c r="AP2" i="2"/>
  <c r="AO2" i="2"/>
  <c r="AN2" i="2"/>
  <c r="AM2" i="2"/>
  <c r="AI2" i="2"/>
  <c r="AH2" i="2"/>
  <c r="AG2" i="2"/>
  <c r="AE2" i="2"/>
  <c r="AD2" i="2"/>
  <c r="AC2" i="2"/>
  <c r="AB2" i="2"/>
  <c r="AA2" i="2"/>
  <c r="Z2" i="2"/>
  <c r="X2" i="2"/>
  <c r="W2" i="2"/>
  <c r="V2" i="2"/>
  <c r="U2" i="2"/>
  <c r="T2" i="2"/>
  <c r="S2" i="2"/>
  <c r="R2" i="2"/>
  <c r="Q2" i="2"/>
  <c r="P2" i="2"/>
  <c r="O2" i="2"/>
  <c r="N2" i="2"/>
  <c r="M2" i="2"/>
  <c r="I45" i="1"/>
  <c r="B26" i="1"/>
  <c r="B43" i="1"/>
  <c r="I11" i="1" l="1"/>
  <c r="G56" i="1" s="1"/>
  <c r="G9" i="1"/>
  <c r="C43" i="1"/>
  <c r="C26" i="1"/>
</calcChain>
</file>

<file path=xl/sharedStrings.xml><?xml version="1.0" encoding="utf-8"?>
<sst xmlns="http://schemas.openxmlformats.org/spreadsheetml/2006/main" count="344" uniqueCount="234">
  <si>
    <t>Level 0</t>
  </si>
  <si>
    <t>Level 1</t>
  </si>
  <si>
    <t>Level 2</t>
  </si>
  <si>
    <t>Level 3</t>
  </si>
  <si>
    <t>Level 4</t>
  </si>
  <si>
    <t>Level 5</t>
  </si>
  <si>
    <t>Weight</t>
  </si>
  <si>
    <t>Assessment Level</t>
  </si>
  <si>
    <t>Factor</t>
  </si>
  <si>
    <t>Total Score</t>
  </si>
  <si>
    <t>INSTRUCTIONS</t>
  </si>
  <si>
    <t xml:space="preserve">2 | </t>
  </si>
  <si>
    <t xml:space="preserve">3 | </t>
  </si>
  <si>
    <t xml:space="preserve">4 | </t>
  </si>
  <si>
    <t>Select an Assessment Level for each factor</t>
  </si>
  <si>
    <t xml:space="preserve">5 | </t>
  </si>
  <si>
    <t>Get Score</t>
  </si>
  <si>
    <r>
      <t xml:space="preserve">* Click on </t>
    </r>
    <r>
      <rPr>
        <b/>
        <sz val="16"/>
        <color rgb="FFB11B2F"/>
        <rFont val="Cambria"/>
        <family val="1"/>
      </rPr>
      <t>Get Score</t>
    </r>
    <r>
      <rPr>
        <b/>
        <sz val="11"/>
        <color rgb="FFB11B2F"/>
        <rFont val="Cambria"/>
        <family val="1"/>
      </rPr>
      <t xml:space="preserve"> to compute your vendor's evaluation score.</t>
    </r>
  </si>
  <si>
    <t xml:space="preserve">6 | </t>
  </si>
  <si>
    <t>Transfer to Database</t>
  </si>
  <si>
    <t xml:space="preserve">7 | </t>
  </si>
  <si>
    <t>Save as PDF</t>
  </si>
  <si>
    <t>ENABLE MACROS</t>
  </si>
  <si>
    <r>
      <t xml:space="preserve">* Click on </t>
    </r>
    <r>
      <rPr>
        <b/>
        <sz val="16"/>
        <color rgb="FFB11B2F"/>
        <rFont val="Cambria"/>
        <family val="1"/>
      </rPr>
      <t>Reset</t>
    </r>
    <r>
      <rPr>
        <b/>
        <sz val="11"/>
        <color rgb="FFB11B2F"/>
        <rFont val="Cambria"/>
        <family val="1"/>
      </rPr>
      <t xml:space="preserve"> to clear your assessment and start a new one. </t>
    </r>
  </si>
  <si>
    <t>PROJECT MANAGER</t>
  </si>
  <si>
    <t>Project Evaluation Tool (PET)</t>
  </si>
  <si>
    <t>PROJECT NUMBER:</t>
  </si>
  <si>
    <t>PROJECT NAME:</t>
  </si>
  <si>
    <t>FOREMAN</t>
  </si>
  <si>
    <t xml:space="preserve">1a. | </t>
  </si>
  <si>
    <t>Provide Project Number</t>
  </si>
  <si>
    <t xml:space="preserve"> b. | </t>
  </si>
  <si>
    <t>Provide Project Name</t>
  </si>
  <si>
    <t xml:space="preserve"> c. | </t>
  </si>
  <si>
    <t>Provide Project Foreman's Name</t>
  </si>
  <si>
    <t>Provide Project Manager's Name</t>
  </si>
  <si>
    <t xml:space="preserve"> d. | </t>
  </si>
  <si>
    <t>Provide GC/Client's Name</t>
  </si>
  <si>
    <t xml:space="preserve"> e. | </t>
  </si>
  <si>
    <t>GC / CLIENT</t>
  </si>
  <si>
    <t>FOREMAN:</t>
  </si>
  <si>
    <t>PROJECT MANAGER:</t>
  </si>
  <si>
    <t>GC / CLIENT:</t>
  </si>
  <si>
    <t>* On a scale of 100%, how important is the Foreman's performance to the success of the project?</t>
  </si>
  <si>
    <t>* On a scale of 100%, how important is the Project Manager's performance to the success of the project?</t>
  </si>
  <si>
    <t>The combined total of all weights should total 100%</t>
  </si>
  <si>
    <t xml:space="preserve">* To select an assessment level, double click the corresponding cell. </t>
  </si>
  <si>
    <t xml:space="preserve">* For example, double clicking on D19 will highlight "No Information" </t>
  </si>
  <si>
    <t xml:space="preserve">* To "unselect" an assessment, right click the corresponding cell and the highlight will disappear. </t>
  </si>
  <si>
    <t>* Click on Transfer to Database to transfer your assessment to the Database Sheet</t>
  </si>
  <si>
    <t>PROJECT  ASSESSMENT</t>
  </si>
  <si>
    <t>Total Foreman Score</t>
  </si>
  <si>
    <t>Total Project Manager Score</t>
  </si>
  <si>
    <t>Total GC / Client Score</t>
  </si>
  <si>
    <t>Safety Leadership &amp; 
Risk Management</t>
  </si>
  <si>
    <t>Non-Existant</t>
  </si>
  <si>
    <t>Project Planning &amp; Time Management</t>
  </si>
  <si>
    <t>Quality Assurance &amp; Technical Expertise</t>
  </si>
  <si>
    <t>Effective Communication &amp; Collaboration</t>
  </si>
  <si>
    <t>Materials &amp; Resource Management</t>
  </si>
  <si>
    <t>Productivity Management</t>
  </si>
  <si>
    <t>Compliance &amp; Quality Management</t>
  </si>
  <si>
    <t>Crew Supervision, Leadership, &amp; Mentorship</t>
  </si>
  <si>
    <t>Change Order &amp; Cost Control Management</t>
  </si>
  <si>
    <t>Conflict Resolution &amp; Problem Solving</t>
  </si>
  <si>
    <t>Documentation &amp; Record Keeping</t>
  </si>
  <si>
    <t xml:space="preserve"> Project Planning and Scheduling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</si>
  <si>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Chaotic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</si>
  <si>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Inconsistent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</si>
  <si>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Efficient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</si>
  <si>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Efficient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</si>
  <si>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Highly Proactive</t>
    </r>
  </si>
  <si>
    <t xml:space="preserve">Budget and Cost Management 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</si>
  <si>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Uncontrolled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</si>
  <si>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Ineffective Tracking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</si>
  <si>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Consistent Control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</si>
  <si>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Consistent Control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</si>
  <si>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Optimal Management</t>
    </r>
  </si>
  <si>
    <t>Contract Administration and Compliance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</si>
  <si>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Non-Compliant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</si>
  <si>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Inconsistent Compliance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</si>
  <si>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Always Compliant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</si>
  <si>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Always Compliant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</si>
  <si>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Exemplary Compliance</t>
    </r>
  </si>
  <si>
    <t>Conflict Resolution and Problem Solving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</si>
  <si>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Avoidant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</si>
  <si>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Slow to Resolve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</si>
  <si>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Proactively Resolves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</si>
  <si>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Proactively Resolves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</si>
  <si>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Skilled Negotiator</t>
    </r>
  </si>
  <si>
    <t>Progress Tracking and Reporting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</si>
  <si>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Neglected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</si>
  <si>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Sporadic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</si>
  <si>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Consistently Tracked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</si>
  <si>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Consistently Tracked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</si>
  <si>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Real-Time Updates</t>
    </r>
  </si>
  <si>
    <t>Documentation and Record Keeping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</si>
  <si>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Incomplete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</si>
  <si>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Disorganized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</si>
  <si>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Thoroughly Documented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</si>
  <si>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Thoroughly Documented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</si>
  <si>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Exceptionally Detailed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</si>
  <si>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Proactively Managed</t>
    </r>
  </si>
  <si>
    <t>Issue Resolution and Decision Making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</si>
  <si>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Indecisive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</si>
  <si>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Slow to Act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</si>
  <si>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Proactively Addresses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</si>
  <si>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Swift and Effective</t>
    </r>
  </si>
  <si>
    <t xml:space="preserve">Procurement and Supply Chain Management 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</si>
  <si>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Disjointed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</si>
  <si>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Delayed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</si>
  <si>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Streamlined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</si>
  <si>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Streamlined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</si>
  <si>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Optimal Supply Chain</t>
    </r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</si>
  <si>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Resource Wastage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</si>
  <si>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Occasional Shortages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</si>
  <si>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Well-Managed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</si>
  <si>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Well-Managed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</si>
  <si>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Optimally Allocated</t>
    </r>
  </si>
  <si>
    <t>Client Relationship Management</t>
  </si>
  <si>
    <r>
      <t xml:space="preserve">Very 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Unresponsive</t>
    </r>
  </si>
  <si>
    <r>
      <t xml:space="preserve">Low: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Sporadic Communication</t>
    </r>
  </si>
  <si>
    <r>
      <t xml:space="preserve">Moderate: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Proactive Communication</t>
    </r>
  </si>
  <si>
    <r>
      <t xml:space="preserve">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Proactive Communication</t>
    </r>
  </si>
  <si>
    <r>
      <t xml:space="preserve">Very High: </t>
    </r>
    <r>
      <rPr>
        <sz val="10"/>
        <color theme="1"/>
        <rFont val="Calibri"/>
        <family val="2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Exceptional Client Relations</t>
    </r>
  </si>
  <si>
    <t>Project Closeout and Handover</t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</si>
  <si>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Chaotic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</si>
  <si>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Uncontrolled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</si>
  <si>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Non-Compliant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</si>
  <si>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Avoidant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</si>
  <si>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Neglected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</si>
  <si>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Incomplete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</si>
  <si>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Unprepared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</si>
  <si>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Indecisive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</si>
  <si>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Disjointed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</si>
  <si>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Resource Wastage</t>
    </r>
  </si>
  <si>
    <r>
      <t xml:space="preserve">Very Low: </t>
    </r>
    <r>
      <rPr>
        <sz val="11"/>
        <color theme="1"/>
        <rFont val="Cambria"/>
        <family val="1"/>
      </rPr>
      <t xml:space="preserve">
</t>
    </r>
    <r>
      <rPr>
        <i/>
        <sz val="11"/>
        <color theme="1"/>
        <rFont val="Cambria"/>
        <family val="1"/>
      </rPr>
      <t>Unresponsive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</si>
  <si>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Inconsistent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</si>
  <si>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Ineffective Tracking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</si>
  <si>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Inconsistent Compliance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</si>
  <si>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Slow to Resolve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</si>
  <si>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Sporadic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</si>
  <si>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Disorganized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</si>
  <si>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Slow to Act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</si>
  <si>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Delayed</t>
    </r>
  </si>
  <si>
    <r>
      <t xml:space="preserve">Low: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Occasional Shortages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</si>
  <si>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Organized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</si>
  <si>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On Track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</si>
  <si>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Generally Compliant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</si>
  <si>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Generally Effective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</si>
  <si>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Regularly Monitored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</si>
  <si>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Generally Accurate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</si>
  <si>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Risk-Aware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</si>
  <si>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Resolves Issues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</si>
  <si>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Coordinated</t>
    </r>
  </si>
  <si>
    <r>
      <t xml:space="preserve">Moderate: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Adequate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</si>
  <si>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Efficient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</si>
  <si>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Consistent Control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</si>
  <si>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Always Compliant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</si>
  <si>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Proactively Resolves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</si>
  <si>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Consistently Tracked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</si>
  <si>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Thoroughly Documented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</si>
  <si>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Proactively Managed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</si>
  <si>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Proactively Addresses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</si>
  <si>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Streamlined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</si>
  <si>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Well-Managed</t>
    </r>
  </si>
  <si>
    <r>
      <t xml:space="preserve">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Proactive Communication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</si>
  <si>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Highly Proactive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</si>
  <si>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Optimal Management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</si>
  <si>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Exemplary Compliance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</si>
  <si>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Skilled Negotiator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</si>
  <si>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Exceptionally Detailed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</si>
  <si>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Comprehensive Mitigation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</si>
  <si>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Swift and Effective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</si>
  <si>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Optimal Supply Chain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</si>
  <si>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Optimally Allocated</t>
    </r>
  </si>
  <si>
    <r>
      <t xml:space="preserve">Very High: 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Exceptional Client Relations</t>
    </r>
  </si>
  <si>
    <t>Low: 
Reactive</t>
  </si>
  <si>
    <t>DATE:</t>
  </si>
  <si>
    <t>Coordination with Trades</t>
  </si>
  <si>
    <t>Overall Grade</t>
  </si>
  <si>
    <t>B</t>
  </si>
  <si>
    <t>C</t>
  </si>
  <si>
    <t>D</t>
  </si>
  <si>
    <t>F</t>
  </si>
  <si>
    <t>A</t>
  </si>
  <si>
    <t>A+</t>
  </si>
  <si>
    <t>Colaboration &amp; Comunication</t>
  </si>
  <si>
    <t>Look Ahead Planning &amp; Scheduling</t>
  </si>
  <si>
    <t>Notes</t>
  </si>
  <si>
    <t>Manpower</t>
  </si>
  <si>
    <t>Assign a weight for FOREMAN, and PROJECT MANAGER</t>
  </si>
  <si>
    <t>Assign weights for each factor under FOREMAN,  and  PROJECT MANAGER</t>
  </si>
  <si>
    <t>*FOREMAN's weights, and PROJECT MANAGER's weights should each add up to 100%</t>
  </si>
  <si>
    <t xml:space="preserve">out of </t>
  </si>
  <si>
    <t>Assessment</t>
  </si>
  <si>
    <t>Very Low: 
Chaotic</t>
  </si>
  <si>
    <t>Low: 
Ineffective Tracking</t>
  </si>
  <si>
    <t>High: 
Proactively Resolves</t>
  </si>
  <si>
    <t>Moderate: 
Resolves Issues</t>
  </si>
  <si>
    <t>High: 
Streamlined</t>
  </si>
  <si>
    <t>High: 
Efficient</t>
  </si>
  <si>
    <t>Very High: 
Exceptionally Detailed</t>
  </si>
  <si>
    <t>Low: 
Inconsistent</t>
  </si>
  <si>
    <t>Moderate: 
Efficient</t>
  </si>
  <si>
    <t>Tommy</t>
  </si>
  <si>
    <t>ABC</t>
  </si>
  <si>
    <t>4/232/25</t>
  </si>
  <si>
    <t>Test</t>
  </si>
  <si>
    <t>Heather</t>
  </si>
  <si>
    <t>Very Low: 
Non-Compliant</t>
  </si>
  <si>
    <t>Very High: 
Skilled Negotiator</t>
  </si>
  <si>
    <t>High: 
Thoroughly Documented</t>
  </si>
  <si>
    <t>Moderate: 
Adequate</t>
  </si>
  <si>
    <t>Moderate: 
Generally Effective</t>
  </si>
  <si>
    <t>Moderate: 
Proactively Resolves</t>
  </si>
  <si>
    <t>High: 
Consistently Tracked</t>
  </si>
  <si>
    <t>Low: 
Slow to Act</t>
  </si>
  <si>
    <t>Very Low: 
Disjointed</t>
  </si>
  <si>
    <t>Low: 
Occasional Shortages</t>
  </si>
  <si>
    <t>Moderate: 
Proactive Communication</t>
  </si>
  <si>
    <t>Aaron</t>
  </si>
  <si>
    <t>Very Low: 
Uncontrolled</t>
  </si>
  <si>
    <t>Low: 
Inconsistent Compliance</t>
  </si>
  <si>
    <t>Moderate: 
Regularly Monitored</t>
  </si>
  <si>
    <t>Very Low: 
Incomplete</t>
  </si>
  <si>
    <t>Very Low: 
Unprepared</t>
  </si>
  <si>
    <t>Low: 
Delayed</t>
  </si>
  <si>
    <t>Very Low: 
Resource Wastage</t>
  </si>
  <si>
    <t>Low: 
Sporadic</t>
  </si>
  <si>
    <t>Moderate: 
Thoroughly Documented</t>
  </si>
  <si>
    <t>Moderate: 
Proactively Managed</t>
  </si>
  <si>
    <t>High: 
Well-Managed</t>
  </si>
  <si>
    <t>Low: 
Sporadic Communication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</si>
</sst>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/d/yy;@"/>
  </numFmts>
  <fonts count="30" x14ac:knownFonts="1">
    <font>
      <sz val="11"/>
      <color theme="1"/>
      <name val="Calibri"/>
      <family val="2"/>
      <scheme val="minor"/>
    </font>
    <font>
      <b/>
      <sz val="18"/>
      <color theme="0"/>
      <name val="Cambria"/>
      <family val="1"/>
    </font>
    <font>
      <sz val="11"/>
      <color theme="1"/>
      <name val="Cambria"/>
      <family val="1"/>
    </font>
    <font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12"/>
      <color theme="0"/>
      <name val="Cambria"/>
      <family val="1"/>
    </font>
    <font>
      <b/>
      <sz val="12"/>
      <name val="Cambria"/>
      <family val="1"/>
    </font>
    <font>
      <sz val="8"/>
      <name val="Calibri"/>
      <family val="2"/>
      <scheme val="minor"/>
    </font>
    <font>
      <sz val="12"/>
      <color theme="1"/>
      <name val="Cambria"/>
      <family val="1"/>
    </font>
    <font>
      <b/>
      <sz val="12"/>
      <color rgb="FFC00000"/>
      <name val="Cambria"/>
      <family val="1"/>
    </font>
    <font>
      <b/>
      <sz val="14"/>
      <color theme="0"/>
      <name val="Cambria"/>
      <family val="1"/>
    </font>
    <font>
      <b/>
      <sz val="16"/>
      <color theme="0"/>
      <name val="Cambria"/>
      <family val="1"/>
    </font>
    <font>
      <sz val="12"/>
      <color theme="0"/>
      <name val="Cambria"/>
      <family val="1"/>
    </font>
    <font>
      <b/>
      <sz val="11"/>
      <color theme="0"/>
      <name val="Cambria"/>
      <family val="1"/>
    </font>
    <font>
      <b/>
      <sz val="12"/>
      <color theme="1"/>
      <name val="Cambria"/>
      <family val="1"/>
    </font>
    <font>
      <b/>
      <sz val="11"/>
      <color rgb="FFB11B2F"/>
      <name val="Cambria"/>
      <family val="1"/>
    </font>
    <font>
      <b/>
      <sz val="16"/>
      <color rgb="FFB11B2F"/>
      <name val="Cambria"/>
      <family val="1"/>
    </font>
    <font>
      <i/>
      <sz val="11"/>
      <color theme="0" tint="-0.499984740745262"/>
      <name val="Cambria"/>
      <family val="1"/>
    </font>
    <font>
      <b/>
      <sz val="11"/>
      <color rgb="FFC00000"/>
      <name val="Cambria"/>
      <family val="1"/>
    </font>
    <font>
      <b/>
      <sz val="11"/>
      <color theme="1"/>
      <name val="Calibri"/>
      <family val="2"/>
      <scheme val="minor"/>
    </font>
    <font>
      <b/>
      <sz val="11"/>
      <color rgb="FFB11B2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name val="Cambria"/>
      <family val="1"/>
    </font>
    <font>
      <b/>
      <sz val="11"/>
      <name val="Cambria"/>
      <family val="1"/>
    </font>
    <font>
      <sz val="11"/>
      <color rgb="FFFFFFFF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lightGray">
        <fgColor theme="3" tint="-0.499984740745262"/>
        <bgColor theme="3" tint="0.39994506668294322"/>
      </patternFill>
    </fill>
    <fill>
      <patternFill patternType="lightGray">
        <fgColor theme="0"/>
        <bgColor theme="3" tint="0.3999450666829432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DC77F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rgb="FFFD7373"/>
        <bgColor indexed="64"/>
      </patternFill>
    </fill>
    <fill>
      <patternFill patternType="solid">
        <fgColor rgb="FFC3E09C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FE956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6" fillId="0" borderId="0" applyFon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3" borderId="0" xfId="0" applyFont="1" applyFill="1"/>
    <xf numFmtId="0" fontId="6" fillId="4" borderId="2" xfId="0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/>
    <xf numFmtId="0" fontId="9" fillId="5" borderId="4" xfId="0" applyFont="1" applyFill="1" applyBorder="1"/>
    <xf numFmtId="0" fontId="2" fillId="5" borderId="5" xfId="0" applyFont="1" applyFill="1" applyBorder="1"/>
    <xf numFmtId="0" fontId="2" fillId="5" borderId="6" xfId="0" applyFont="1" applyFill="1" applyBorder="1"/>
    <xf numFmtId="164" fontId="5" fillId="6" borderId="6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 applyProtection="1">
      <alignment vertical="center"/>
      <protection locked="0"/>
    </xf>
    <xf numFmtId="0" fontId="1" fillId="7" borderId="0" xfId="0" applyFont="1" applyFill="1" applyAlignment="1">
      <alignment vertical="center"/>
    </xf>
    <xf numFmtId="0" fontId="2" fillId="7" borderId="0" xfId="0" applyFont="1" applyFill="1"/>
    <xf numFmtId="0" fontId="4" fillId="7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3" fillId="7" borderId="0" xfId="0" applyFont="1" applyFill="1"/>
    <xf numFmtId="0" fontId="12" fillId="2" borderId="1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horizontal="center" vertical="center" wrapText="1"/>
    </xf>
    <xf numFmtId="0" fontId="2" fillId="4" borderId="0" xfId="0" applyFont="1" applyFill="1"/>
    <xf numFmtId="0" fontId="4" fillId="4" borderId="0" xfId="0" applyFont="1" applyFill="1" applyAlignment="1">
      <alignment vertical="center"/>
    </xf>
    <xf numFmtId="0" fontId="14" fillId="4" borderId="0" xfId="0" applyFont="1" applyFill="1" applyAlignment="1">
      <alignment horizontal="right" vertical="center"/>
    </xf>
    <xf numFmtId="0" fontId="18" fillId="4" borderId="0" xfId="0" applyFont="1" applyFill="1" applyAlignment="1">
      <alignment horizontal="right"/>
    </xf>
    <xf numFmtId="0" fontId="18" fillId="4" borderId="0" xfId="0" applyFont="1" applyFill="1"/>
    <xf numFmtId="0" fontId="4" fillId="4" borderId="0" xfId="0" applyFont="1" applyFill="1" applyAlignment="1">
      <alignment horizontal="left" vertical="center"/>
    </xf>
    <xf numFmtId="164" fontId="8" fillId="3" borderId="0" xfId="0" applyNumberFormat="1" applyFont="1" applyFill="1"/>
    <xf numFmtId="0" fontId="2" fillId="4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164" fontId="8" fillId="3" borderId="2" xfId="0" applyNumberFormat="1" applyFont="1" applyFill="1" applyBorder="1"/>
    <xf numFmtId="0" fontId="5" fillId="6" borderId="14" xfId="0" applyFont="1" applyFill="1" applyBorder="1" applyAlignment="1" applyProtection="1">
      <alignment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/>
    </xf>
    <xf numFmtId="0" fontId="9" fillId="3" borderId="0" xfId="0" applyFont="1" applyFill="1"/>
    <xf numFmtId="0" fontId="19" fillId="9" borderId="1" xfId="0" applyFont="1" applyFill="1" applyBorder="1" applyAlignment="1">
      <alignment horizontal="center" vertical="center" wrapText="1"/>
    </xf>
    <xf numFmtId="0" fontId="9" fillId="4" borderId="5" xfId="0" applyFont="1" applyFill="1" applyBorder="1"/>
    <xf numFmtId="0" fontId="9" fillId="4" borderId="6" xfId="0" applyFont="1" applyFill="1" applyBorder="1"/>
    <xf numFmtId="0" fontId="5" fillId="10" borderId="4" xfId="0" applyFont="1" applyFill="1" applyBorder="1" applyAlignment="1">
      <alignment vertical="center"/>
    </xf>
    <xf numFmtId="0" fontId="5" fillId="10" borderId="5" xfId="0" applyFont="1" applyFill="1" applyBorder="1" applyAlignment="1">
      <alignment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2" fillId="10" borderId="0" xfId="0" applyFont="1" applyFill="1"/>
    <xf numFmtId="0" fontId="4" fillId="10" borderId="0" xfId="0" applyFont="1" applyFill="1" applyAlignment="1">
      <alignment vertical="center"/>
    </xf>
    <xf numFmtId="0" fontId="3" fillId="10" borderId="0" xfId="0" applyFont="1" applyFill="1"/>
    <xf numFmtId="0" fontId="10" fillId="10" borderId="10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vertical="center"/>
    </xf>
    <xf numFmtId="0" fontId="10" fillId="10" borderId="11" xfId="0" applyFont="1" applyFill="1" applyBorder="1" applyAlignment="1">
      <alignment vertical="center"/>
    </xf>
    <xf numFmtId="0" fontId="4" fillId="9" borderId="1" xfId="0" applyFont="1" applyFill="1" applyBorder="1" applyAlignment="1">
      <alignment horizontal="center" vertical="center" wrapText="1"/>
    </xf>
    <xf numFmtId="0" fontId="5" fillId="11" borderId="13" xfId="0" applyFont="1" applyFill="1" applyBorder="1" applyAlignment="1" applyProtection="1">
      <alignment horizontal="center" vertical="center"/>
      <protection locked="0"/>
    </xf>
    <xf numFmtId="164" fontId="5" fillId="12" borderId="13" xfId="0" applyNumberFormat="1" applyFont="1" applyFill="1" applyBorder="1" applyAlignment="1" applyProtection="1">
      <alignment horizontal="center" vertical="center"/>
      <protection locked="0"/>
    </xf>
    <xf numFmtId="0" fontId="5" fillId="10" borderId="1" xfId="0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 wrapText="1"/>
    </xf>
    <xf numFmtId="0" fontId="27" fillId="3" borderId="0" xfId="0" applyFont="1" applyFill="1"/>
    <xf numFmtId="0" fontId="28" fillId="3" borderId="0" xfId="0" applyFont="1" applyFill="1" applyAlignment="1">
      <alignment vertical="center"/>
    </xf>
    <xf numFmtId="0" fontId="27" fillId="0" borderId="0" xfId="0" applyFont="1"/>
    <xf numFmtId="10" fontId="10" fillId="10" borderId="0" xfId="1" applyNumberFormat="1" applyFont="1" applyFill="1" applyAlignment="1">
      <alignment horizontal="center" vertical="center"/>
    </xf>
    <xf numFmtId="164" fontId="10" fillId="10" borderId="0" xfId="0" applyNumberFormat="1" applyFont="1" applyFill="1" applyAlignment="1">
      <alignment horizontal="left" vertical="center"/>
    </xf>
    <xf numFmtId="0" fontId="10" fillId="1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14" fontId="2" fillId="13" borderId="15" xfId="0" applyNumberFormat="1" applyFont="1" applyFill="1" applyBorder="1"/>
    <xf numFmtId="165" fontId="5" fillId="10" borderId="1" xfId="0" applyNumberFormat="1" applyFont="1" applyFill="1" applyBorder="1" applyAlignment="1">
      <alignment horizontal="center" vertical="center" wrapText="1"/>
    </xf>
    <xf numFmtId="0" fontId="5" fillId="6" borderId="5" xfId="0" applyFont="1" applyFill="1" applyBorder="1" applyAlignment="1" applyProtection="1">
      <alignment horizontal="left" vertical="center"/>
      <protection locked="0"/>
    </xf>
    <xf numFmtId="0" fontId="19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6" fillId="9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/>
    </xf>
    <xf numFmtId="164" fontId="2" fillId="9" borderId="2" xfId="0" applyNumberFormat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65" fontId="0" fillId="2" borderId="0" xfId="0" applyNumberFormat="1" applyFill="1" applyAlignment="1">
      <alignment wrapText="1"/>
    </xf>
    <xf numFmtId="1" fontId="0" fillId="2" borderId="0" xfId="0" applyNumberFormat="1" applyFill="1" applyAlignment="1">
      <alignment wrapText="1"/>
    </xf>
    <xf numFmtId="0" fontId="0" fillId="2" borderId="0" xfId="0" applyFill="1" applyAlignment="1">
      <alignment wrapText="1"/>
    </xf>
    <xf numFmtId="0" fontId="0" fillId="10" borderId="0" xfId="0" applyFill="1" applyAlignment="1">
      <alignment wrapText="1"/>
    </xf>
    <xf numFmtId="0" fontId="0" fillId="2" borderId="0" xfId="0" applyFill="1" applyAlignment="1">
      <alignment horizontal="center" vertical="center" wrapText="1"/>
    </xf>
    <xf numFmtId="9" fontId="0" fillId="2" borderId="0" xfId="0" applyNumberFormat="1" applyFill="1" applyAlignment="1">
      <alignment wrapText="1"/>
    </xf>
    <xf numFmtId="0" fontId="0" fillId="0" borderId="0" xfId="0" applyAlignment="1">
      <alignment horizontal="center" vertical="center" wrapText="1"/>
    </xf>
    <xf numFmtId="1" fontId="2" fillId="2" borderId="0" xfId="0" applyNumberFormat="1" applyFont="1" applyFill="1" applyAlignment="1">
      <alignment wrapText="1"/>
    </xf>
    <xf numFmtId="0" fontId="5" fillId="2" borderId="0" xfId="0" applyFont="1" applyFill="1" applyAlignment="1">
      <alignment wrapText="1"/>
    </xf>
    <xf numFmtId="165" fontId="0" fillId="5" borderId="3" xfId="0" applyNumberFormat="1" applyFill="1" applyBorder="1" applyAlignment="1">
      <alignment horizontal="center" vertical="center" wrapText="1"/>
    </xf>
    <xf numFmtId="1" fontId="0" fillId="5" borderId="3" xfId="0" applyNumberFormat="1" applyFill="1" applyBorder="1" applyAlignment="1">
      <alignment horizontal="center" vertical="center" wrapText="1"/>
    </xf>
    <xf numFmtId="9" fontId="0" fillId="5" borderId="3" xfId="0" applyNumberFormat="1" applyFill="1" applyBorder="1" applyAlignment="1">
      <alignment horizontal="center" vertical="center" wrapText="1"/>
    </xf>
    <xf numFmtId="9" fontId="5" fillId="2" borderId="0" xfId="0" applyNumberFormat="1" applyFont="1" applyFill="1" applyAlignment="1">
      <alignment vertical="center" wrapText="1"/>
    </xf>
    <xf numFmtId="9" fontId="0" fillId="0" borderId="0" xfId="0" applyNumberFormat="1" applyAlignment="1">
      <alignment wrapText="1"/>
    </xf>
    <xf numFmtId="165" fontId="0" fillId="0" borderId="2" xfId="0" applyNumberFormat="1" applyBorder="1" applyAlignment="1">
      <alignment horizontal="center" vertical="center" wrapText="1"/>
    </xf>
    <xf numFmtId="1" fontId="0" fillId="0" borderId="2" xfId="0" applyNumberFormat="1" applyBorder="1" applyAlignment="1">
      <alignment horizontal="center" vertical="center" wrapText="1"/>
    </xf>
    <xf numFmtId="9" fontId="0" fillId="0" borderId="2" xfId="0" applyNumberFormat="1" applyBorder="1" applyAlignment="1">
      <alignment horizontal="center" vertical="center" wrapText="1"/>
    </xf>
    <xf numFmtId="0" fontId="5" fillId="2" borderId="0" xfId="0" applyFont="1" applyFill="1" applyAlignment="1">
      <alignment vertical="center" wrapText="1"/>
    </xf>
    <xf numFmtId="165" fontId="0" fillId="0" borderId="0" xfId="0" applyNumberForma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0" xfId="0" applyFont="1" applyAlignment="1">
      <alignment wrapText="1"/>
    </xf>
    <xf numFmtId="1" fontId="5" fillId="10" borderId="1" xfId="0" applyNumberFormat="1" applyFont="1" applyFill="1" applyBorder="1" applyAlignment="1">
      <alignment horizontal="center" vertical="center" wrapText="1"/>
    </xf>
    <xf numFmtId="9" fontId="10" fillId="10" borderId="0" xfId="1" applyFont="1" applyFill="1" applyAlignment="1">
      <alignment horizontal="right" vertical="center"/>
    </xf>
    <xf numFmtId="0" fontId="10" fillId="10" borderId="0" xfId="0" applyFont="1" applyFill="1" applyAlignment="1">
      <alignment horizontal="right" vertical="center"/>
    </xf>
    <xf numFmtId="9" fontId="10" fillId="10" borderId="11" xfId="1" applyFont="1" applyFill="1" applyBorder="1" applyAlignment="1">
      <alignment horizontal="center" vertical="center"/>
    </xf>
    <xf numFmtId="165" fontId="29" fillId="0" borderId="2" xfId="0" applyNumberFormat="1" applyFont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center" vertical="center" wrapText="1"/>
    </xf>
    <xf numFmtId="9" fontId="29" fillId="0" borderId="2" xfId="0" applyNumberFormat="1" applyFont="1" applyBorder="1" applyAlignment="1">
      <alignment horizontal="center" vertical="center" wrapText="1"/>
    </xf>
    <xf numFmtId="9" fontId="0" fillId="16" borderId="2" xfId="0" applyNumberFormat="1" applyFill="1" applyBorder="1" applyAlignment="1">
      <alignment horizontal="center" vertical="center" wrapText="1"/>
    </xf>
    <xf numFmtId="9" fontId="0" fillId="14" borderId="2" xfId="0" applyNumberFormat="1" applyFill="1" applyBorder="1" applyAlignment="1">
      <alignment horizontal="center" vertical="center" wrapText="1"/>
    </xf>
    <xf numFmtId="9" fontId="0" fillId="15" borderId="2" xfId="0" applyNumberFormat="1" applyFill="1" applyBorder="1" applyAlignment="1">
      <alignment horizontal="center" vertical="center" wrapText="1"/>
    </xf>
    <xf numFmtId="9" fontId="0" fillId="17" borderId="2" xfId="0" applyNumberFormat="1" applyFill="1" applyBorder="1" applyAlignment="1">
      <alignment horizontal="center" vertical="center" wrapText="1"/>
    </xf>
    <xf numFmtId="9" fontId="0" fillId="18" borderId="2" xfId="0" applyNumberFormat="1" applyFill="1" applyBorder="1" applyAlignment="1">
      <alignment horizontal="center" vertical="center" wrapText="1"/>
    </xf>
    <xf numFmtId="9" fontId="0" fillId="19" borderId="2" xfId="0" applyNumberFormat="1" applyFill="1" applyBorder="1" applyAlignment="1">
      <alignment horizontal="center" vertical="center" wrapText="1"/>
    </xf>
    <xf numFmtId="0" fontId="14" fillId="4" borderId="0" xfId="0" applyFont="1" applyFill="1" applyAlignment="1">
      <alignment horizontal="right" vertical="center" wrapText="1"/>
    </xf>
    <xf numFmtId="0" fontId="4" fillId="4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5" fillId="4" borderId="0" xfId="0" applyFont="1" applyFill="1" applyAlignment="1">
      <alignment horizontal="left" vertical="top" wrapText="1"/>
    </xf>
    <xf numFmtId="0" fontId="2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15" fillId="4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11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10" fillId="10" borderId="9" xfId="0" applyFont="1" applyFill="1" applyBorder="1" applyAlignment="1">
      <alignment horizontal="center" vertical="center"/>
    </xf>
    <xf numFmtId="0" fontId="10" fillId="10" borderId="10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9" fillId="3" borderId="4" xfId="0" applyFont="1" applyFill="1" applyBorder="1" applyAlignment="1">
      <alignment horizontal="left" vertical="center" wrapText="1"/>
    </xf>
    <xf numFmtId="0" fontId="19" fillId="3" borderId="5" xfId="0" applyFont="1" applyFill="1" applyBorder="1" applyAlignment="1">
      <alignment horizontal="left" vertical="center" wrapText="1"/>
    </xf>
    <xf numFmtId="0" fontId="19" fillId="3" borderId="6" xfId="0" applyFont="1" applyFill="1" applyBorder="1" applyAlignment="1">
      <alignment horizontal="left" vertical="center" wrapText="1"/>
    </xf>
    <xf numFmtId="0" fontId="22" fillId="3" borderId="4" xfId="0" applyFont="1" applyFill="1" applyBorder="1" applyAlignment="1">
      <alignment horizontal="left" vertical="center" wrapText="1"/>
    </xf>
    <xf numFmtId="0" fontId="22" fillId="3" borderId="5" xfId="0" applyFont="1" applyFill="1" applyBorder="1" applyAlignment="1">
      <alignment horizontal="left" vertical="center" wrapText="1"/>
    </xf>
    <xf numFmtId="0" fontId="22" fillId="3" borderId="6" xfId="0" applyFont="1" applyFill="1" applyBorder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11" fillId="2" borderId="12" xfId="0" applyFont="1" applyFill="1" applyBorder="1" applyAlignment="1">
      <alignment horizontal="center" vertical="center" wrapText="1"/>
    </xf>
    <xf numFmtId="0" fontId="11" fillId="10" borderId="12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2"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11B2F"/>
      <color rgb="FFFD7373"/>
      <color rgb="FFFE9566"/>
      <color rgb="FFFDC77F"/>
      <color rgb="FFFFEB84"/>
      <color rgb="FFC3E09C"/>
      <color rgb="FF63BE7B"/>
      <color rgb="FFFDC795"/>
      <color rgb="FFFEA37A"/>
      <color rgb="FFFEB2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87833</xdr:rowOff>
    </xdr:from>
    <xdr:to>
      <xdr:col>2</xdr:col>
      <xdr:colOff>1022884</xdr:colOff>
      <xdr:row>9</xdr:row>
      <xdr:rowOff>204908</xdr:rowOff>
    </xdr:to>
    <xdr:sp macro="[0]!rest_sheet" textlink="">
      <xdr:nvSpPr>
        <xdr:cNvPr id="2" name="Rectangle 1">
          <a:extLst>
            <a:ext uri="{FF2B5EF4-FFF2-40B4-BE49-F238E27FC236}">
              <a16:creationId xmlns:a16="http://schemas.microsoft.com/office/drawing/2014/main" id="{7EE385A5-9E16-71CB-73D8-01B744D67F5A}"/>
            </a:ext>
          </a:extLst>
        </xdr:cNvPr>
        <xdr:cNvSpPr/>
      </xdr:nvSpPr>
      <xdr:spPr>
        <a:xfrm>
          <a:off x="461042" y="2546724"/>
          <a:ext cx="1644010" cy="42443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RESET</a:t>
          </a:r>
        </a:p>
      </xdr:txBody>
    </xdr:sp>
    <xdr:clientData/>
  </xdr:twoCellAnchor>
  <xdr:twoCellAnchor>
    <xdr:from>
      <xdr:col>8</xdr:col>
      <xdr:colOff>443432</xdr:colOff>
      <xdr:row>2</xdr:row>
      <xdr:rowOff>263445</xdr:rowOff>
    </xdr:from>
    <xdr:to>
      <xdr:col>8</xdr:col>
      <xdr:colOff>667765</xdr:colOff>
      <xdr:row>3</xdr:row>
      <xdr:rowOff>262032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FCA4C593-5846-9E7A-B11B-7C73ABC576F6}"/>
            </a:ext>
          </a:extLst>
        </xdr:cNvPr>
        <xdr:cNvSpPr/>
      </xdr:nvSpPr>
      <xdr:spPr>
        <a:xfrm>
          <a:off x="8044221" y="878167"/>
          <a:ext cx="224333" cy="305949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136247</xdr:rowOff>
    </xdr:from>
    <xdr:to>
      <xdr:col>1</xdr:col>
      <xdr:colOff>48376</xdr:colOff>
      <xdr:row>12</xdr:row>
      <xdr:rowOff>109353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7096739E-F900-4C83-A881-A855CC388DC2}"/>
            </a:ext>
          </a:extLst>
        </xdr:cNvPr>
        <xdr:cNvSpPr/>
      </xdr:nvSpPr>
      <xdr:spPr>
        <a:xfrm rot="16200000">
          <a:off x="-16153" y="2115671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8965</xdr:colOff>
      <xdr:row>28</xdr:row>
      <xdr:rowOff>127281</xdr:rowOff>
    </xdr:from>
    <xdr:to>
      <xdr:col>1</xdr:col>
      <xdr:colOff>57341</xdr:colOff>
      <xdr:row>29</xdr:row>
      <xdr:rowOff>100386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77CB589F-40FB-4300-908E-0249B64C9128}"/>
            </a:ext>
          </a:extLst>
        </xdr:cNvPr>
        <xdr:cNvSpPr/>
      </xdr:nvSpPr>
      <xdr:spPr>
        <a:xfrm rot="16200000">
          <a:off x="-7188" y="5585010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448451</xdr:colOff>
      <xdr:row>53</xdr:row>
      <xdr:rowOff>128336</xdr:rowOff>
    </xdr:from>
    <xdr:to>
      <xdr:col>3</xdr:col>
      <xdr:colOff>674035</xdr:colOff>
      <xdr:row>53</xdr:row>
      <xdr:rowOff>745781</xdr:rowOff>
    </xdr:to>
    <xdr:sp macro="[0]!compute_score" textlink="">
      <xdr:nvSpPr>
        <xdr:cNvPr id="9" name="Rectangle 8">
          <a:extLst>
            <a:ext uri="{FF2B5EF4-FFF2-40B4-BE49-F238E27FC236}">
              <a16:creationId xmlns:a16="http://schemas.microsoft.com/office/drawing/2014/main" id="{94601F20-9BF3-42F7-962F-9A13D04C3917}"/>
            </a:ext>
          </a:extLst>
        </xdr:cNvPr>
        <xdr:cNvSpPr/>
      </xdr:nvSpPr>
      <xdr:spPr>
        <a:xfrm>
          <a:off x="672569" y="27616365"/>
          <a:ext cx="2141790" cy="6174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Get Scores</a:t>
          </a:r>
        </a:p>
      </xdr:txBody>
    </xdr:sp>
    <xdr:clientData/>
  </xdr:twoCellAnchor>
  <xdr:twoCellAnchor>
    <xdr:from>
      <xdr:col>6</xdr:col>
      <xdr:colOff>354586</xdr:colOff>
      <xdr:row>53</xdr:row>
      <xdr:rowOff>138152</xdr:rowOff>
    </xdr:from>
    <xdr:to>
      <xdr:col>7</xdr:col>
      <xdr:colOff>932382</xdr:colOff>
      <xdr:row>53</xdr:row>
      <xdr:rowOff>753783</xdr:rowOff>
    </xdr:to>
    <xdr:sp macro="[0]!Transfer_Database" textlink="">
      <xdr:nvSpPr>
        <xdr:cNvPr id="10" name="Rectangle 9">
          <a:extLst>
            <a:ext uri="{FF2B5EF4-FFF2-40B4-BE49-F238E27FC236}">
              <a16:creationId xmlns:a16="http://schemas.microsoft.com/office/drawing/2014/main" id="{FA9F586D-43A5-487B-B407-9C99D5D27FDB}"/>
            </a:ext>
          </a:extLst>
        </xdr:cNvPr>
        <xdr:cNvSpPr/>
      </xdr:nvSpPr>
      <xdr:spPr>
        <a:xfrm>
          <a:off x="5848670" y="26744118"/>
          <a:ext cx="1595931" cy="61563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Transfer to Database</a:t>
          </a:r>
        </a:p>
      </xdr:txBody>
    </xdr:sp>
    <xdr:clientData/>
  </xdr:twoCellAnchor>
  <xdr:twoCellAnchor>
    <xdr:from>
      <xdr:col>8</xdr:col>
      <xdr:colOff>60673</xdr:colOff>
      <xdr:row>53</xdr:row>
      <xdr:rowOff>128069</xdr:rowOff>
    </xdr:from>
    <xdr:to>
      <xdr:col>8</xdr:col>
      <xdr:colOff>1034943</xdr:colOff>
      <xdr:row>53</xdr:row>
      <xdr:rowOff>758317</xdr:rowOff>
    </xdr:to>
    <xdr:sp macro="[0]!Print_PDF2" textlink="">
      <xdr:nvSpPr>
        <xdr:cNvPr id="11" name="Rectangle 10">
          <a:extLst>
            <a:ext uri="{FF2B5EF4-FFF2-40B4-BE49-F238E27FC236}">
              <a16:creationId xmlns:a16="http://schemas.microsoft.com/office/drawing/2014/main" id="{E40024FC-1C5C-4B30-A399-EB28C6F33F80}"/>
            </a:ext>
          </a:extLst>
        </xdr:cNvPr>
        <xdr:cNvSpPr/>
      </xdr:nvSpPr>
      <xdr:spPr>
        <a:xfrm>
          <a:off x="7661462" y="26734035"/>
          <a:ext cx="974270" cy="630248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Save as </a:t>
          </a:r>
          <a:b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PDF</a:t>
          </a:r>
        </a:p>
      </xdr:txBody>
    </xdr:sp>
    <xdr:clientData/>
  </xdr:twoCellAnchor>
  <xdr:twoCellAnchor>
    <xdr:from>
      <xdr:col>0</xdr:col>
      <xdr:colOff>8965</xdr:colOff>
      <xdr:row>45</xdr:row>
      <xdr:rowOff>127281</xdr:rowOff>
    </xdr:from>
    <xdr:to>
      <xdr:col>1</xdr:col>
      <xdr:colOff>57341</xdr:colOff>
      <xdr:row>46</xdr:row>
      <xdr:rowOff>100386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281C77BD-C7DB-41D7-BC40-4CBC5B5D903F}"/>
            </a:ext>
          </a:extLst>
        </xdr:cNvPr>
        <xdr:cNvSpPr/>
      </xdr:nvSpPr>
      <xdr:spPr>
        <a:xfrm rot="16200000">
          <a:off x="-88778" y="12708857"/>
          <a:ext cx="706717" cy="513046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48283-9BA0-4CE8-A22E-73873A3B0671}">
  <sheetPr codeName="Sheet1">
    <pageSetUpPr fitToPage="1"/>
  </sheetPr>
  <dimension ref="A1:U78"/>
  <sheetViews>
    <sheetView tabSelected="1" topLeftCell="A21" zoomScale="85" zoomScaleNormal="85" workbookViewId="0">
      <selection activeCell="B14" sqref="B14"/>
    </sheetView>
  </sheetViews>
  <sheetFormatPr defaultColWidth="0" defaultRowHeight="14" x14ac:dyDescent="0.3"/>
  <cols>
    <col min="1" max="1" width="3.1796875" style="1" bestFit="1" customWidth="1"/>
    <col min="2" max="2" width="8.81640625" style="1" customWidth="1"/>
    <col min="3" max="3" width="18.7265625" style="1" customWidth="1"/>
    <col min="4" max="4" width="18.81640625" style="1" bestFit="1" customWidth="1"/>
    <col min="5" max="6" width="15.54296875" style="1" customWidth="1"/>
    <col min="7" max="7" width="14.54296875" style="1" customWidth="1"/>
    <col min="8" max="9" width="15.54296875" style="1" customWidth="1"/>
    <col min="10" max="10" width="2.26953125" style="54" customWidth="1"/>
    <col min="11" max="11" width="3.54296875" style="2" customWidth="1"/>
    <col min="12" max="18" width="9.54296875" style="12" customWidth="1"/>
    <col min="19" max="16384" width="9.54296875" style="12" hidden="1"/>
  </cols>
  <sheetData>
    <row r="1" spans="1:21" ht="24" customHeight="1" thickBot="1" x14ac:dyDescent="0.35">
      <c r="A1" s="114" t="s">
        <v>25</v>
      </c>
      <c r="B1" s="114"/>
      <c r="C1" s="114"/>
      <c r="D1" s="114"/>
      <c r="E1" s="114"/>
      <c r="F1" s="114"/>
      <c r="G1" s="114"/>
      <c r="H1" s="114"/>
      <c r="I1" s="114"/>
      <c r="J1" s="114"/>
      <c r="K1" s="39"/>
      <c r="L1" s="113" t="s">
        <v>10</v>
      </c>
      <c r="M1" s="113"/>
      <c r="N1" s="113"/>
      <c r="O1" s="113"/>
      <c r="P1" s="113"/>
      <c r="Q1" s="113"/>
      <c r="R1" s="113"/>
      <c r="S1" s="11"/>
      <c r="T1" s="11"/>
      <c r="U1" s="11"/>
    </row>
    <row r="2" spans="1:21" ht="24" customHeight="1" thickBot="1" x14ac:dyDescent="0.35">
      <c r="A2" s="2"/>
      <c r="B2" s="2"/>
      <c r="C2" s="2"/>
      <c r="D2" s="2"/>
      <c r="E2" s="2"/>
      <c r="F2" s="2"/>
      <c r="G2" s="2"/>
      <c r="H2" s="58" t="s">
        <v>178</v>
      </c>
      <c r="I2" s="59"/>
      <c r="J2" s="52"/>
      <c r="K2" s="40"/>
      <c r="L2" s="115" t="s">
        <v>22</v>
      </c>
      <c r="M2" s="115"/>
      <c r="N2" s="115"/>
      <c r="O2" s="115"/>
      <c r="P2" s="115"/>
      <c r="Q2" s="115"/>
      <c r="R2" s="115"/>
    </row>
    <row r="3" spans="1:21" ht="24" customHeight="1" x14ac:dyDescent="0.3">
      <c r="A3" s="2"/>
      <c r="B3" s="2"/>
      <c r="C3" s="2"/>
      <c r="D3" s="2"/>
      <c r="E3" s="2"/>
      <c r="F3" s="2"/>
      <c r="G3" s="2"/>
      <c r="H3" s="2"/>
      <c r="I3" s="2"/>
      <c r="J3" s="52"/>
      <c r="K3" s="40"/>
      <c r="L3" s="21"/>
      <c r="M3" s="22"/>
      <c r="N3" s="18"/>
      <c r="O3" s="18"/>
      <c r="P3" s="18"/>
      <c r="Q3" s="18"/>
      <c r="R3" s="18"/>
    </row>
    <row r="4" spans="1:21" s="14" customFormat="1" ht="25.5" customHeight="1" thickBot="1" x14ac:dyDescent="0.35">
      <c r="A4" s="2"/>
      <c r="B4" s="35" t="s">
        <v>26</v>
      </c>
      <c r="C4" s="36"/>
      <c r="D4" s="61"/>
      <c r="E4" s="10"/>
      <c r="F4" s="10"/>
      <c r="G4" s="10"/>
      <c r="H4" s="10"/>
      <c r="I4" s="28"/>
      <c r="J4" s="53"/>
      <c r="K4" s="40"/>
      <c r="L4" s="20" t="s">
        <v>29</v>
      </c>
      <c r="M4" s="106" t="s">
        <v>30</v>
      </c>
      <c r="N4" s="106"/>
      <c r="O4" s="106"/>
      <c r="P4" s="106"/>
      <c r="Q4" s="106"/>
      <c r="R4" s="106"/>
      <c r="S4" s="13"/>
      <c r="T4" s="13"/>
      <c r="U4" s="13"/>
    </row>
    <row r="5" spans="1:21" ht="24" customHeight="1" thickTop="1" thickBot="1" x14ac:dyDescent="0.35">
      <c r="A5" s="2"/>
      <c r="B5" s="35" t="s">
        <v>27</v>
      </c>
      <c r="C5" s="36"/>
      <c r="D5" s="10"/>
      <c r="E5" s="10"/>
      <c r="F5" s="10"/>
      <c r="G5" s="10"/>
      <c r="H5" s="10"/>
      <c r="I5" s="48" t="s">
        <v>6</v>
      </c>
      <c r="J5" s="53"/>
      <c r="K5" s="40"/>
      <c r="L5" s="20" t="s">
        <v>31</v>
      </c>
      <c r="M5" s="106" t="s">
        <v>32</v>
      </c>
      <c r="N5" s="107"/>
      <c r="O5" s="107"/>
      <c r="P5" s="107"/>
      <c r="Q5" s="107"/>
      <c r="R5" s="107"/>
    </row>
    <row r="6" spans="1:21" ht="24" customHeight="1" thickTop="1" thickBot="1" x14ac:dyDescent="0.35">
      <c r="A6" s="2"/>
      <c r="B6" s="36" t="s">
        <v>40</v>
      </c>
      <c r="C6" s="36"/>
      <c r="D6" s="10"/>
      <c r="E6" s="10"/>
      <c r="F6" s="10"/>
      <c r="G6" s="10"/>
      <c r="H6" s="10"/>
      <c r="I6" s="49">
        <v>0.7</v>
      </c>
      <c r="J6" s="53"/>
      <c r="K6" s="40"/>
      <c r="L6" s="20" t="s">
        <v>33</v>
      </c>
      <c r="M6" s="106" t="s">
        <v>34</v>
      </c>
      <c r="N6" s="107"/>
      <c r="O6" s="107"/>
      <c r="P6" s="107"/>
      <c r="Q6" s="107"/>
      <c r="R6" s="107"/>
    </row>
    <row r="7" spans="1:21" ht="24" customHeight="1" thickTop="1" thickBot="1" x14ac:dyDescent="0.35">
      <c r="A7" s="2"/>
      <c r="B7" s="36" t="s">
        <v>41</v>
      </c>
      <c r="C7" s="36"/>
      <c r="D7" s="10"/>
      <c r="E7" s="10"/>
      <c r="F7" s="10"/>
      <c r="G7" s="10"/>
      <c r="H7" s="10"/>
      <c r="I7" s="49">
        <v>0.3</v>
      </c>
      <c r="J7" s="53"/>
      <c r="K7" s="40"/>
      <c r="L7" s="20" t="s">
        <v>36</v>
      </c>
      <c r="M7" s="106" t="s">
        <v>35</v>
      </c>
      <c r="N7" s="107"/>
      <c r="O7" s="107"/>
      <c r="P7" s="107"/>
      <c r="Q7" s="107"/>
      <c r="R7" s="107"/>
    </row>
    <row r="8" spans="1:21" ht="24" customHeight="1" thickTop="1" thickBot="1" x14ac:dyDescent="0.35">
      <c r="A8" s="2"/>
      <c r="B8" s="38" t="s">
        <v>42</v>
      </c>
      <c r="C8" s="36"/>
      <c r="D8" s="10"/>
      <c r="E8" s="10"/>
      <c r="F8" s="10"/>
      <c r="G8" s="10"/>
      <c r="H8" s="10"/>
      <c r="I8" s="49">
        <v>0</v>
      </c>
      <c r="J8" s="53"/>
      <c r="K8" s="40"/>
      <c r="L8" s="20" t="s">
        <v>38</v>
      </c>
      <c r="M8" s="106" t="s">
        <v>37</v>
      </c>
      <c r="N8" s="107"/>
      <c r="O8" s="107"/>
      <c r="P8" s="107"/>
      <c r="Q8" s="107"/>
      <c r="R8" s="107"/>
    </row>
    <row r="9" spans="1:21" s="14" customFormat="1" ht="24" customHeight="1" thickTop="1" x14ac:dyDescent="0.3">
      <c r="A9" s="2"/>
      <c r="B9" s="2"/>
      <c r="C9" s="2"/>
      <c r="D9" s="2"/>
      <c r="E9" s="2"/>
      <c r="F9" s="2"/>
      <c r="G9" s="30" t="str">
        <f>IF(I9&lt;1,"Total Sum of Weights must be equal to 100%",IF(E10&gt;1, "Total Sum of Weights must be equal to 100%",""))</f>
        <v/>
      </c>
      <c r="H9" s="2"/>
      <c r="I9" s="27">
        <f>SUM(I6:I8)</f>
        <v>1</v>
      </c>
      <c r="J9" s="52"/>
      <c r="K9" s="40"/>
      <c r="L9" s="20"/>
      <c r="M9" s="23"/>
      <c r="N9" s="23"/>
      <c r="O9" s="23"/>
      <c r="P9" s="23"/>
      <c r="Q9" s="23"/>
      <c r="R9" s="23"/>
      <c r="S9" s="13"/>
      <c r="T9" s="13"/>
      <c r="U9" s="13"/>
    </row>
    <row r="10" spans="1:21" ht="24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52"/>
      <c r="K10" s="40"/>
      <c r="L10" s="105" t="s">
        <v>11</v>
      </c>
      <c r="M10" s="106" t="s">
        <v>191</v>
      </c>
      <c r="N10" s="107"/>
      <c r="O10" s="107"/>
      <c r="P10" s="107"/>
      <c r="Q10" s="107"/>
      <c r="R10" s="107"/>
    </row>
    <row r="11" spans="1:21" ht="24" customHeight="1" x14ac:dyDescent="0.3">
      <c r="A11" s="2"/>
      <c r="B11" s="35" t="s">
        <v>40</v>
      </c>
      <c r="C11" s="36"/>
      <c r="D11" s="36"/>
      <c r="E11" s="36"/>
      <c r="F11" s="36"/>
      <c r="G11" s="36"/>
      <c r="H11" s="37" t="s">
        <v>6</v>
      </c>
      <c r="I11" s="9">
        <f>I6</f>
        <v>0.7</v>
      </c>
      <c r="J11" s="52"/>
      <c r="K11" s="41"/>
      <c r="L11" s="105"/>
      <c r="M11" s="107"/>
      <c r="N11" s="107"/>
      <c r="O11" s="107"/>
      <c r="P11" s="107"/>
      <c r="Q11" s="107"/>
      <c r="R11" s="107"/>
    </row>
    <row r="12" spans="1:21" ht="24" customHeight="1" x14ac:dyDescent="0.3">
      <c r="A12" s="2"/>
      <c r="B12" s="118"/>
      <c r="C12" s="118" t="s">
        <v>8</v>
      </c>
      <c r="D12" s="117" t="s">
        <v>7</v>
      </c>
      <c r="E12" s="117"/>
      <c r="F12" s="117"/>
      <c r="G12" s="117"/>
      <c r="H12" s="117"/>
      <c r="I12" s="117"/>
      <c r="J12" s="52"/>
      <c r="K12" s="42"/>
      <c r="L12" s="109"/>
      <c r="M12" s="111" t="s">
        <v>43</v>
      </c>
      <c r="N12" s="112"/>
      <c r="O12" s="112"/>
      <c r="P12" s="112"/>
      <c r="Q12" s="112"/>
      <c r="R12" s="112"/>
    </row>
    <row r="13" spans="1:21" ht="24" customHeight="1" x14ac:dyDescent="0.3">
      <c r="A13" s="2"/>
      <c r="B13" s="118"/>
      <c r="C13" s="118"/>
      <c r="D13" s="66" t="s">
        <v>0</v>
      </c>
      <c r="E13" s="66" t="s">
        <v>1</v>
      </c>
      <c r="F13" s="66" t="s">
        <v>2</v>
      </c>
      <c r="G13" s="66" t="s">
        <v>3</v>
      </c>
      <c r="H13" s="66" t="s">
        <v>4</v>
      </c>
      <c r="I13" s="66" t="s">
        <v>5</v>
      </c>
      <c r="J13" s="52"/>
      <c r="K13" s="42"/>
      <c r="L13" s="110"/>
      <c r="M13" s="112"/>
      <c r="N13" s="112"/>
      <c r="O13" s="112"/>
      <c r="P13" s="112"/>
      <c r="Q13" s="112"/>
      <c r="R13" s="112"/>
    </row>
    <row r="14" spans="1:21" ht="56.15" customHeight="1" x14ac:dyDescent="0.3">
      <c r="A14" s="2"/>
      <c r="B14" s="4"/>
      <c r="C14" s="32" t="s">
        <v>54</v>
      </c>
      <c r="D14" s="62" t="s">
        <v>55</v>
      </c>
      <c r="E14" s="63" t="s">
        <v>126</v>
      </c>
      <c r="F14" s="62" t="s">
        <v>137</v>
      </c>
      <c r="G14" s="62" t="s">
        <v>146</v>
      </c>
      <c r="H14" s="62" t="s">
        <v>156</v>
      </c>
      <c r="I14" s="62" t="s">
        <v>167</v>
      </c>
      <c r="J14" s="52"/>
      <c r="K14" s="40"/>
      <c r="L14" s="26"/>
      <c r="M14" s="111" t="s">
        <v>44</v>
      </c>
      <c r="N14" s="112"/>
      <c r="O14" s="112"/>
      <c r="P14" s="112"/>
      <c r="Q14" s="112"/>
      <c r="R14" s="112"/>
    </row>
    <row r="15" spans="1:21" ht="56.15" customHeight="1" x14ac:dyDescent="0.3">
      <c r="A15" s="2"/>
      <c r="B15" s="4"/>
      <c r="C15" s="32" t="s">
        <v>56</v>
      </c>
      <c r="D15" s="62" t="s">
        <v>55</v>
      </c>
      <c r="E15" s="63" t="s">
        <v>127</v>
      </c>
      <c r="F15" s="62" t="s">
        <v>138</v>
      </c>
      <c r="G15" s="62" t="s">
        <v>147</v>
      </c>
      <c r="H15" s="62" t="s">
        <v>157</v>
      </c>
      <c r="I15" s="62" t="s">
        <v>168</v>
      </c>
      <c r="J15" s="52"/>
      <c r="K15" s="40"/>
      <c r="L15" s="26"/>
      <c r="M15" s="108" t="s">
        <v>45</v>
      </c>
      <c r="N15" s="108"/>
      <c r="O15" s="108"/>
      <c r="P15" s="108"/>
      <c r="Q15" s="108"/>
      <c r="R15" s="108"/>
    </row>
    <row r="16" spans="1:21" s="14" customFormat="1" ht="56.15" customHeight="1" x14ac:dyDescent="0.3">
      <c r="A16" s="2"/>
      <c r="B16" s="4"/>
      <c r="C16" s="32" t="s">
        <v>57</v>
      </c>
      <c r="D16" s="62" t="s">
        <v>55</v>
      </c>
      <c r="E16" s="63" t="s">
        <v>128</v>
      </c>
      <c r="F16" s="62" t="s">
        <v>139</v>
      </c>
      <c r="G16" s="62" t="s">
        <v>148</v>
      </c>
      <c r="H16" s="62" t="s">
        <v>158</v>
      </c>
      <c r="I16" s="62" t="s">
        <v>169</v>
      </c>
      <c r="J16" s="52"/>
      <c r="K16" s="40"/>
      <c r="L16" s="25"/>
      <c r="M16" s="108"/>
      <c r="N16" s="108"/>
      <c r="O16" s="108"/>
      <c r="P16" s="108"/>
      <c r="Q16" s="108"/>
      <c r="R16" s="108"/>
      <c r="S16" s="13"/>
      <c r="T16" s="13"/>
      <c r="U16" s="13"/>
    </row>
    <row r="17" spans="1:21" ht="56.15" customHeight="1" x14ac:dyDescent="0.3">
      <c r="A17" s="2"/>
      <c r="B17" s="4"/>
      <c r="C17" s="32" t="s">
        <v>58</v>
      </c>
      <c r="D17" s="62" t="s">
        <v>55</v>
      </c>
      <c r="E17" s="63" t="s">
        <v>129</v>
      </c>
      <c r="F17" s="62" t="s">
        <v>140</v>
      </c>
      <c r="G17" s="62" t="s">
        <v>149</v>
      </c>
      <c r="H17" s="62" t="s">
        <v>159</v>
      </c>
      <c r="I17" s="62" t="s">
        <v>170</v>
      </c>
      <c r="J17" s="52"/>
      <c r="K17" s="40"/>
      <c r="L17" s="20" t="s">
        <v>12</v>
      </c>
      <c r="M17" s="106" t="s">
        <v>192</v>
      </c>
      <c r="N17" s="106"/>
      <c r="O17" s="106"/>
      <c r="P17" s="106"/>
      <c r="Q17" s="106"/>
      <c r="R17" s="106"/>
      <c r="S17" s="15"/>
      <c r="T17" s="15"/>
      <c r="U17" s="15"/>
    </row>
    <row r="18" spans="1:21" ht="56.15" customHeight="1" x14ac:dyDescent="0.3">
      <c r="A18" s="2"/>
      <c r="B18" s="4"/>
      <c r="C18" s="32" t="s">
        <v>59</v>
      </c>
      <c r="D18" s="62" t="s">
        <v>55</v>
      </c>
      <c r="E18" s="63" t="s">
        <v>130</v>
      </c>
      <c r="F18" s="62" t="s">
        <v>141</v>
      </c>
      <c r="G18" s="62" t="s">
        <v>150</v>
      </c>
      <c r="H18" s="62" t="s">
        <v>160</v>
      </c>
      <c r="I18" s="62" t="s">
        <v>170</v>
      </c>
      <c r="J18" s="52"/>
      <c r="K18" s="40"/>
      <c r="L18" s="25"/>
      <c r="M18" s="108" t="s">
        <v>193</v>
      </c>
      <c r="N18" s="108"/>
      <c r="O18" s="108"/>
      <c r="P18" s="108"/>
      <c r="Q18" s="108"/>
      <c r="R18" s="108"/>
      <c r="S18" s="15"/>
      <c r="T18" s="15"/>
      <c r="U18" s="15"/>
    </row>
    <row r="19" spans="1:21" ht="56.15" customHeight="1" x14ac:dyDescent="0.3">
      <c r="A19" s="2"/>
      <c r="B19" s="4"/>
      <c r="C19" s="32" t="s">
        <v>60</v>
      </c>
      <c r="D19" s="62" t="s">
        <v>55</v>
      </c>
      <c r="E19" s="63" t="s">
        <v>131</v>
      </c>
      <c r="F19" s="62" t="s">
        <v>142</v>
      </c>
      <c r="G19" s="62" t="s">
        <v>151</v>
      </c>
      <c r="H19" s="62" t="s">
        <v>161</v>
      </c>
      <c r="I19" s="62" t="s">
        <v>171</v>
      </c>
      <c r="J19" s="52"/>
      <c r="K19" s="40"/>
      <c r="L19" s="20" t="s">
        <v>13</v>
      </c>
      <c r="M19" s="106" t="s">
        <v>14</v>
      </c>
      <c r="N19" s="106"/>
      <c r="O19" s="106"/>
      <c r="P19" s="106"/>
      <c r="Q19" s="106"/>
      <c r="R19" s="106"/>
    </row>
    <row r="20" spans="1:21" ht="56.15" customHeight="1" x14ac:dyDescent="0.3">
      <c r="A20" s="2"/>
      <c r="B20" s="4"/>
      <c r="C20" s="32" t="s">
        <v>61</v>
      </c>
      <c r="D20" s="62" t="s">
        <v>55</v>
      </c>
      <c r="E20" s="63" t="s">
        <v>132</v>
      </c>
      <c r="F20" s="62" t="s">
        <v>177</v>
      </c>
      <c r="G20" s="62" t="s">
        <v>152</v>
      </c>
      <c r="H20" s="62" t="s">
        <v>162</v>
      </c>
      <c r="I20" s="62" t="s">
        <v>172</v>
      </c>
      <c r="J20" s="52"/>
      <c r="K20" s="40"/>
      <c r="L20" s="20"/>
      <c r="M20" s="108" t="s">
        <v>46</v>
      </c>
      <c r="N20" s="108"/>
      <c r="O20" s="108"/>
      <c r="P20" s="108"/>
      <c r="Q20" s="108"/>
      <c r="R20" s="108"/>
    </row>
    <row r="21" spans="1:21" ht="56.15" customHeight="1" x14ac:dyDescent="0.3">
      <c r="A21" s="2"/>
      <c r="B21" s="4"/>
      <c r="C21" s="32" t="s">
        <v>62</v>
      </c>
      <c r="D21" s="62" t="s">
        <v>55</v>
      </c>
      <c r="E21" s="63" t="s">
        <v>133</v>
      </c>
      <c r="F21" s="62" t="s">
        <v>143</v>
      </c>
      <c r="G21" s="62" t="s">
        <v>153</v>
      </c>
      <c r="H21" s="62" t="s">
        <v>163</v>
      </c>
      <c r="I21" s="62" t="s">
        <v>173</v>
      </c>
      <c r="J21" s="52"/>
      <c r="K21" s="40"/>
      <c r="L21" s="25"/>
      <c r="M21" s="108" t="s">
        <v>47</v>
      </c>
      <c r="N21" s="108"/>
      <c r="O21" s="108"/>
      <c r="P21" s="108"/>
      <c r="Q21" s="108"/>
      <c r="R21" s="108"/>
    </row>
    <row r="22" spans="1:21" ht="56.15" customHeight="1" x14ac:dyDescent="0.3">
      <c r="A22" s="2"/>
      <c r="B22" s="4"/>
      <c r="C22" s="32" t="s">
        <v>63</v>
      </c>
      <c r="D22" s="62" t="s">
        <v>55</v>
      </c>
      <c r="E22" s="63" t="s">
        <v>134</v>
      </c>
      <c r="F22" s="62" t="s">
        <v>144</v>
      </c>
      <c r="G22" s="62" t="s">
        <v>154</v>
      </c>
      <c r="H22" s="62" t="s">
        <v>164</v>
      </c>
      <c r="I22" s="62" t="s">
        <v>174</v>
      </c>
      <c r="J22" s="52"/>
      <c r="K22" s="40"/>
      <c r="L22" s="25"/>
      <c r="M22" s="108" t="s">
        <v>48</v>
      </c>
      <c r="N22" s="108"/>
      <c r="O22" s="108"/>
      <c r="P22" s="108"/>
      <c r="Q22" s="108"/>
      <c r="R22" s="108"/>
    </row>
    <row r="23" spans="1:21" ht="56.15" customHeight="1" x14ac:dyDescent="0.3">
      <c r="A23" s="2"/>
      <c r="B23" s="4"/>
      <c r="C23" s="32" t="s">
        <v>64</v>
      </c>
      <c r="D23" s="62" t="s">
        <v>55</v>
      </c>
      <c r="E23" s="63" t="s">
        <v>135</v>
      </c>
      <c r="F23" s="62" t="s">
        <v>145</v>
      </c>
      <c r="G23" s="62" t="s">
        <v>155</v>
      </c>
      <c r="H23" s="62" t="s">
        <v>165</v>
      </c>
      <c r="I23" s="62" t="s">
        <v>175</v>
      </c>
      <c r="J23" s="52"/>
      <c r="K23" s="40"/>
      <c r="L23" s="20" t="s">
        <v>13</v>
      </c>
      <c r="M23" s="106" t="s">
        <v>16</v>
      </c>
      <c r="N23" s="106"/>
      <c r="O23" s="106"/>
      <c r="P23" s="106"/>
      <c r="Q23" s="106"/>
      <c r="R23" s="106"/>
    </row>
    <row r="24" spans="1:21" ht="56.15" customHeight="1" x14ac:dyDescent="0.3">
      <c r="A24" s="2"/>
      <c r="B24" s="4"/>
      <c r="C24" s="32" t="s">
        <v>65</v>
      </c>
      <c r="D24" s="62" t="s">
        <v>55</v>
      </c>
      <c r="E24" s="63" t="s">
        <v>136</v>
      </c>
      <c r="F24" s="62" t="s">
        <v>141</v>
      </c>
      <c r="G24" s="62" t="s">
        <v>149</v>
      </c>
      <c r="H24" s="62" t="s">
        <v>166</v>
      </c>
      <c r="I24" s="62" t="s">
        <v>176</v>
      </c>
      <c r="J24" s="52"/>
      <c r="K24" s="41"/>
      <c r="L24" s="26"/>
      <c r="M24" s="108" t="s">
        <v>17</v>
      </c>
      <c r="N24" s="108"/>
      <c r="O24" s="108"/>
      <c r="P24" s="108"/>
      <c r="Q24" s="108"/>
      <c r="R24" s="108"/>
    </row>
    <row r="25" spans="1:21" ht="56.15" customHeight="1" x14ac:dyDescent="0.3">
      <c r="A25" s="2"/>
      <c r="B25" s="69"/>
      <c r="C25" s="32" t="s">
        <v>189</v>
      </c>
      <c r="D25" s="126"/>
      <c r="E25" s="127"/>
      <c r="F25" s="127"/>
      <c r="G25" s="127"/>
      <c r="H25" s="127"/>
      <c r="I25" s="128"/>
      <c r="J25" s="52"/>
      <c r="K25" s="42"/>
      <c r="L25" s="20" t="s">
        <v>15</v>
      </c>
      <c r="M25" s="106" t="s">
        <v>19</v>
      </c>
      <c r="N25" s="106"/>
      <c r="O25" s="106"/>
      <c r="P25" s="106"/>
      <c r="Q25" s="106"/>
      <c r="R25" s="106"/>
    </row>
    <row r="26" spans="1:21" ht="24" customHeight="1" x14ac:dyDescent="0.3">
      <c r="A26" s="2"/>
      <c r="B26" s="5">
        <f>SUM(B14:B25)</f>
        <v>0</v>
      </c>
      <c r="C26" s="6" t="str">
        <f>IF(B26&lt;1,"Total Sum of Weights must be equal to 100%",IF(B26&gt;1, "Total Sum of Weights must be equal to 100%",""))</f>
        <v>Total Sum of Weights must be equal to 100%</v>
      </c>
      <c r="D26" s="33"/>
      <c r="E26" s="33"/>
      <c r="F26" s="33"/>
      <c r="G26" s="33"/>
      <c r="H26" s="33"/>
      <c r="I26" s="34"/>
      <c r="J26" s="52"/>
      <c r="K26" s="42"/>
      <c r="L26" s="18"/>
      <c r="M26" s="108" t="s">
        <v>17</v>
      </c>
      <c r="N26" s="108"/>
      <c r="O26" s="108"/>
      <c r="P26" s="108"/>
      <c r="Q26" s="108"/>
      <c r="R26" s="108"/>
    </row>
    <row r="27" spans="1:21" ht="24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52"/>
      <c r="K27" s="40"/>
      <c r="L27" s="20" t="s">
        <v>18</v>
      </c>
      <c r="M27" s="106" t="s">
        <v>19</v>
      </c>
      <c r="N27" s="106"/>
      <c r="O27" s="106"/>
      <c r="P27" s="106"/>
      <c r="Q27" s="106"/>
      <c r="R27" s="106"/>
    </row>
    <row r="28" spans="1:21" ht="24" customHeight="1" x14ac:dyDescent="0.3">
      <c r="A28" s="2"/>
      <c r="B28" s="35" t="s">
        <v>41</v>
      </c>
      <c r="C28" s="36"/>
      <c r="D28" s="36"/>
      <c r="E28" s="36"/>
      <c r="F28" s="36"/>
      <c r="G28" s="36"/>
      <c r="H28" s="37" t="s">
        <v>6</v>
      </c>
      <c r="I28" s="9">
        <f>I7</f>
        <v>0.3</v>
      </c>
      <c r="J28" s="52"/>
      <c r="K28" s="40"/>
      <c r="L28" s="18"/>
      <c r="M28" s="108" t="s">
        <v>49</v>
      </c>
      <c r="N28" s="108"/>
      <c r="O28" s="108"/>
      <c r="P28" s="108"/>
      <c r="Q28" s="108"/>
      <c r="R28" s="108"/>
    </row>
    <row r="29" spans="1:21" ht="24" customHeight="1" x14ac:dyDescent="0.3">
      <c r="A29" s="2"/>
      <c r="B29" s="118"/>
      <c r="C29" s="119" t="s">
        <v>8</v>
      </c>
      <c r="D29" s="117" t="s">
        <v>7</v>
      </c>
      <c r="E29" s="117"/>
      <c r="F29" s="117"/>
      <c r="G29" s="117"/>
      <c r="H29" s="117"/>
      <c r="I29" s="117"/>
      <c r="J29" s="52"/>
      <c r="K29" s="40"/>
      <c r="L29" s="20"/>
      <c r="M29" s="136"/>
      <c r="N29" s="136"/>
      <c r="O29" s="136"/>
      <c r="P29" s="136"/>
      <c r="Q29" s="136"/>
      <c r="R29" s="136"/>
    </row>
    <row r="30" spans="1:21" ht="24" customHeight="1" x14ac:dyDescent="0.3">
      <c r="A30" s="2"/>
      <c r="B30" s="118"/>
      <c r="C30" s="120"/>
      <c r="D30" s="29" t="s">
        <v>0</v>
      </c>
      <c r="E30" s="29" t="s">
        <v>1</v>
      </c>
      <c r="F30" s="29" t="s">
        <v>2</v>
      </c>
      <c r="G30" s="29" t="s">
        <v>3</v>
      </c>
      <c r="H30" s="29" t="s">
        <v>4</v>
      </c>
      <c r="I30" s="29" t="s">
        <v>5</v>
      </c>
      <c r="J30" s="52"/>
      <c r="K30" s="40"/>
      <c r="L30" s="20" t="s">
        <v>20</v>
      </c>
      <c r="M30" s="106" t="s">
        <v>21</v>
      </c>
      <c r="N30" s="106"/>
      <c r="O30" s="106"/>
      <c r="P30" s="106"/>
      <c r="Q30" s="106"/>
      <c r="R30" s="106"/>
    </row>
    <row r="31" spans="1:21" ht="56.15" customHeight="1" x14ac:dyDescent="0.3">
      <c r="A31" s="2"/>
      <c r="B31" s="4"/>
      <c r="C31" s="47" t="s">
        <v>66</v>
      </c>
      <c r="D31" s="64" t="s">
        <v>55</v>
      </c>
      <c r="E31" s="64" t="s">
        <v>67</v>
      </c>
      <c r="F31" s="64" t="s">
        <v>68</v>
      </c>
      <c r="G31" s="64" t="s">
        <v>69</v>
      </c>
      <c r="H31" s="64" t="s">
        <v>70</v>
      </c>
      <c r="I31" s="64" t="s">
        <v>71</v>
      </c>
      <c r="J31" s="52"/>
      <c r="K31" s="40"/>
      <c r="L31" s="20"/>
      <c r="M31" s="108" t="s">
        <v>23</v>
      </c>
      <c r="N31" s="135"/>
      <c r="O31" s="135"/>
      <c r="P31" s="135"/>
      <c r="Q31" s="135"/>
      <c r="R31" s="135"/>
    </row>
    <row r="32" spans="1:21" ht="56.15" customHeight="1" x14ac:dyDescent="0.3">
      <c r="A32" s="2"/>
      <c r="B32" s="4"/>
      <c r="C32" s="47" t="s">
        <v>72</v>
      </c>
      <c r="D32" s="64" t="s">
        <v>55</v>
      </c>
      <c r="E32" s="64" t="s">
        <v>73</v>
      </c>
      <c r="F32" s="64" t="s">
        <v>74</v>
      </c>
      <c r="G32" s="64" t="s">
        <v>75</v>
      </c>
      <c r="H32" s="64" t="s">
        <v>76</v>
      </c>
      <c r="I32" s="64" t="s">
        <v>77</v>
      </c>
      <c r="J32" s="52"/>
      <c r="K32" s="40"/>
      <c r="L32" s="18"/>
      <c r="M32" s="135"/>
      <c r="N32" s="135"/>
      <c r="O32" s="135"/>
      <c r="P32" s="135"/>
      <c r="Q32" s="135"/>
      <c r="R32" s="135"/>
    </row>
    <row r="33" spans="1:21" s="14" customFormat="1" ht="56.15" customHeight="1" x14ac:dyDescent="0.3">
      <c r="A33" s="2"/>
      <c r="B33" s="4"/>
      <c r="C33" s="47" t="s">
        <v>78</v>
      </c>
      <c r="D33" s="64" t="s">
        <v>55</v>
      </c>
      <c r="E33" s="64" t="s">
        <v>79</v>
      </c>
      <c r="F33" s="64" t="s">
        <v>80</v>
      </c>
      <c r="G33" s="64" t="s">
        <v>81</v>
      </c>
      <c r="H33" s="64" t="s">
        <v>82</v>
      </c>
      <c r="I33" s="64" t="s">
        <v>83</v>
      </c>
      <c r="J33" s="52"/>
      <c r="K33" s="40"/>
      <c r="L33" s="18"/>
      <c r="M33" s="18"/>
      <c r="N33" s="18"/>
      <c r="O33" s="18"/>
      <c r="P33" s="18"/>
      <c r="Q33" s="18"/>
      <c r="R33" s="18"/>
      <c r="S33" s="13"/>
      <c r="T33" s="13"/>
      <c r="U33" s="13"/>
    </row>
    <row r="34" spans="1:21" s="14" customFormat="1" ht="56.15" customHeight="1" x14ac:dyDescent="0.3">
      <c r="A34" s="2"/>
      <c r="B34" s="4"/>
      <c r="C34" s="47" t="s">
        <v>84</v>
      </c>
      <c r="D34" s="64" t="s">
        <v>55</v>
      </c>
      <c r="E34" s="64" t="s">
        <v>85</v>
      </c>
      <c r="F34" s="64" t="s">
        <v>86</v>
      </c>
      <c r="G34" s="64" t="s">
        <v>87</v>
      </c>
      <c r="H34" s="64" t="s">
        <v>88</v>
      </c>
      <c r="I34" s="64" t="s">
        <v>89</v>
      </c>
      <c r="J34" s="52"/>
      <c r="K34" s="40"/>
      <c r="L34" s="18"/>
      <c r="M34" s="18"/>
      <c r="N34" s="18"/>
      <c r="O34" s="18"/>
      <c r="P34" s="18"/>
      <c r="Q34" s="18"/>
      <c r="R34" s="18"/>
      <c r="S34" s="13"/>
      <c r="T34" s="13"/>
      <c r="U34" s="13"/>
    </row>
    <row r="35" spans="1:21" s="14" customFormat="1" ht="56.15" customHeight="1" x14ac:dyDescent="0.3">
      <c r="A35" s="2"/>
      <c r="B35" s="4"/>
      <c r="C35" s="47" t="s">
        <v>90</v>
      </c>
      <c r="D35" s="64" t="s">
        <v>55</v>
      </c>
      <c r="E35" s="64" t="s">
        <v>91</v>
      </c>
      <c r="F35" s="64" t="s">
        <v>92</v>
      </c>
      <c r="G35" s="64" t="s">
        <v>93</v>
      </c>
      <c r="H35" s="64" t="s">
        <v>94</v>
      </c>
      <c r="I35" s="64" t="s">
        <v>95</v>
      </c>
      <c r="J35" s="52"/>
      <c r="K35" s="40"/>
      <c r="L35" s="18"/>
      <c r="M35" s="18"/>
      <c r="N35" s="18"/>
      <c r="O35" s="18"/>
      <c r="P35" s="18"/>
      <c r="Q35" s="18"/>
      <c r="R35" s="18"/>
      <c r="S35" s="13"/>
      <c r="T35" s="13"/>
      <c r="U35" s="13"/>
    </row>
    <row r="36" spans="1:21" s="14" customFormat="1" ht="56.15" customHeight="1" x14ac:dyDescent="0.3">
      <c r="A36" s="2"/>
      <c r="B36" s="4"/>
      <c r="C36" s="47" t="s">
        <v>96</v>
      </c>
      <c r="D36" s="64" t="s">
        <v>55</v>
      </c>
      <c r="E36" s="64" t="s">
        <v>97</v>
      </c>
      <c r="F36" s="64" t="s">
        <v>98</v>
      </c>
      <c r="G36" s="64" t="s">
        <v>99</v>
      </c>
      <c r="H36" s="64" t="s">
        <v>100</v>
      </c>
      <c r="I36" s="64" t="s">
        <v>101</v>
      </c>
      <c r="J36" s="52"/>
      <c r="K36" s="40"/>
      <c r="L36" s="18"/>
      <c r="M36" s="18"/>
      <c r="N36" s="18"/>
      <c r="O36" s="18"/>
      <c r="P36" s="18"/>
      <c r="Q36" s="18"/>
      <c r="R36" s="18"/>
      <c r="S36" s="13"/>
      <c r="T36" s="13"/>
      <c r="U36" s="13"/>
    </row>
    <row r="37" spans="1:21" ht="56.15" customHeight="1" x14ac:dyDescent="0.3">
      <c r="A37" s="2"/>
      <c r="B37" s="4"/>
      <c r="C37" s="47" t="s">
        <v>119</v>
      </c>
      <c r="D37" s="64" t="s">
        <v>55</v>
      </c>
      <c r="E37" s="64" t="s">
        <v>97</v>
      </c>
      <c r="F37" s="64" t="s">
        <v>98</v>
      </c>
      <c r="G37" s="64" t="s">
        <v>99</v>
      </c>
      <c r="H37" s="64" t="s">
        <v>100</v>
      </c>
      <c r="I37" s="64" t="s">
        <v>101</v>
      </c>
      <c r="J37" s="52"/>
      <c r="K37" s="40"/>
      <c r="L37" s="18"/>
      <c r="M37" s="18"/>
      <c r="N37" s="18"/>
      <c r="O37" s="18"/>
      <c r="P37" s="18"/>
      <c r="Q37" s="18"/>
      <c r="R37" s="18"/>
    </row>
    <row r="38" spans="1:21" ht="56.15" customHeight="1" x14ac:dyDescent="0.3">
      <c r="A38" s="2"/>
      <c r="B38" s="4"/>
      <c r="C38" s="47" t="s">
        <v>103</v>
      </c>
      <c r="D38" s="64" t="s">
        <v>55</v>
      </c>
      <c r="E38" s="64" t="s">
        <v>104</v>
      </c>
      <c r="F38" s="64" t="s">
        <v>105</v>
      </c>
      <c r="G38" s="64" t="s">
        <v>102</v>
      </c>
      <c r="H38" s="64" t="s">
        <v>106</v>
      </c>
      <c r="I38" s="64" t="s">
        <v>107</v>
      </c>
      <c r="J38" s="52"/>
      <c r="K38" s="40"/>
      <c r="L38" s="18"/>
      <c r="M38" s="18"/>
      <c r="N38" s="18"/>
      <c r="O38" s="18"/>
      <c r="P38" s="18"/>
      <c r="Q38" s="18"/>
      <c r="R38" s="18"/>
    </row>
    <row r="39" spans="1:21" ht="56.15" customHeight="1" x14ac:dyDescent="0.3">
      <c r="A39" s="2"/>
      <c r="B39" s="4"/>
      <c r="C39" s="47" t="s">
        <v>108</v>
      </c>
      <c r="D39" s="64" t="s">
        <v>55</v>
      </c>
      <c r="E39" s="64" t="s">
        <v>109</v>
      </c>
      <c r="F39" s="64" t="s">
        <v>110</v>
      </c>
      <c r="G39" s="64" t="s">
        <v>111</v>
      </c>
      <c r="H39" s="64" t="s">
        <v>112</v>
      </c>
      <c r="I39" s="64" t="s">
        <v>113</v>
      </c>
      <c r="J39" s="52"/>
      <c r="K39" s="40"/>
      <c r="L39" s="19"/>
      <c r="M39" s="19"/>
      <c r="N39" s="19"/>
      <c r="O39" s="19"/>
      <c r="P39" s="19"/>
      <c r="Q39" s="19"/>
      <c r="R39" s="19"/>
    </row>
    <row r="40" spans="1:21" ht="56.15" customHeight="1" x14ac:dyDescent="0.3">
      <c r="A40" s="2"/>
      <c r="B40" s="4"/>
      <c r="C40" s="47" t="s">
        <v>125</v>
      </c>
      <c r="D40" s="64" t="s">
        <v>55</v>
      </c>
      <c r="E40" s="64" t="s">
        <v>114</v>
      </c>
      <c r="F40" s="64" t="s">
        <v>115</v>
      </c>
      <c r="G40" s="64" t="s">
        <v>116</v>
      </c>
      <c r="H40" s="64" t="s">
        <v>117</v>
      </c>
      <c r="I40" s="64" t="s">
        <v>118</v>
      </c>
      <c r="J40" s="52"/>
      <c r="K40" s="40"/>
      <c r="L40" s="19"/>
      <c r="M40" s="19"/>
      <c r="N40" s="19"/>
      <c r="O40" s="19"/>
      <c r="P40" s="19"/>
      <c r="Q40" s="19"/>
      <c r="R40" s="19"/>
    </row>
    <row r="41" spans="1:21" ht="56.15" customHeight="1" x14ac:dyDescent="0.3">
      <c r="A41" s="2"/>
      <c r="B41" s="4"/>
      <c r="C41" s="70" t="s">
        <v>190</v>
      </c>
      <c r="D41" s="64" t="s">
        <v>55</v>
      </c>
      <c r="E41" s="64" t="s">
        <v>120</v>
      </c>
      <c r="F41" s="64" t="s">
        <v>121</v>
      </c>
      <c r="G41" s="64" t="s">
        <v>122</v>
      </c>
      <c r="H41" s="64" t="s">
        <v>123</v>
      </c>
      <c r="I41" s="64" t="s">
        <v>124</v>
      </c>
      <c r="J41" s="52"/>
      <c r="K41" s="40"/>
      <c r="L41" s="19"/>
      <c r="M41" s="19"/>
      <c r="N41" s="19"/>
      <c r="O41" s="19"/>
      <c r="P41" s="19"/>
      <c r="Q41" s="19"/>
      <c r="R41" s="19"/>
    </row>
    <row r="42" spans="1:21" ht="56.15" customHeight="1" x14ac:dyDescent="0.3">
      <c r="A42" s="2"/>
      <c r="B42" s="69"/>
      <c r="C42" s="47" t="s">
        <v>189</v>
      </c>
      <c r="D42" s="129"/>
      <c r="E42" s="130"/>
      <c r="F42" s="130"/>
      <c r="G42" s="130"/>
      <c r="H42" s="130"/>
      <c r="I42" s="131"/>
      <c r="J42" s="52"/>
      <c r="K42" s="41"/>
      <c r="L42" s="19"/>
      <c r="M42" s="19"/>
      <c r="N42" s="19"/>
      <c r="O42" s="19"/>
      <c r="P42" s="19"/>
      <c r="Q42" s="19"/>
      <c r="R42" s="19"/>
    </row>
    <row r="43" spans="1:21" ht="15" x14ac:dyDescent="0.3">
      <c r="A43" s="2"/>
      <c r="B43" s="5">
        <f>SUM(B31:B42)</f>
        <v>0</v>
      </c>
      <c r="C43" s="6" t="str">
        <f>IF(B43&lt;1,"Total Sum of Weights must be equal to 100%",IF(B43&gt;1, "Total Sum of Weights must be equal to 100%",""))</f>
        <v>Total Sum of Weights must be equal to 100%</v>
      </c>
      <c r="D43" s="7"/>
      <c r="E43" s="7"/>
      <c r="F43" s="7"/>
      <c r="G43" s="7"/>
      <c r="H43" s="7"/>
      <c r="I43" s="8"/>
      <c r="J43" s="52"/>
      <c r="K43" s="41"/>
      <c r="L43" s="18"/>
      <c r="M43" s="18"/>
      <c r="N43" s="18"/>
      <c r="O43" s="18"/>
      <c r="P43" s="18"/>
      <c r="Q43" s="18"/>
      <c r="R43" s="18"/>
    </row>
    <row r="44" spans="1:21" ht="15" x14ac:dyDescent="0.3">
      <c r="A44" s="2"/>
      <c r="B44" s="24"/>
      <c r="C44" s="31"/>
      <c r="D44" s="2"/>
      <c r="E44" s="2"/>
      <c r="F44" s="2"/>
      <c r="G44" s="2"/>
      <c r="H44" s="2"/>
      <c r="I44" s="2"/>
      <c r="J44" s="52"/>
      <c r="K44" s="41"/>
      <c r="L44" s="18"/>
      <c r="M44" s="18"/>
      <c r="N44" s="18"/>
      <c r="O44" s="18"/>
      <c r="P44" s="18"/>
      <c r="Q44" s="18"/>
      <c r="R44" s="18"/>
    </row>
    <row r="45" spans="1:21" ht="22" customHeight="1" x14ac:dyDescent="0.3">
      <c r="A45" s="2"/>
      <c r="B45" s="35" t="s">
        <v>42</v>
      </c>
      <c r="C45" s="36"/>
      <c r="D45" s="36"/>
      <c r="E45" s="36"/>
      <c r="F45" s="36"/>
      <c r="G45" s="36"/>
      <c r="H45" s="37" t="s">
        <v>6</v>
      </c>
      <c r="I45" s="9">
        <f>I8</f>
        <v>0</v>
      </c>
      <c r="J45" s="52"/>
      <c r="K45" s="41"/>
      <c r="L45" s="18"/>
      <c r="M45" s="18"/>
      <c r="N45" s="18"/>
      <c r="O45" s="18"/>
      <c r="P45" s="18"/>
      <c r="Q45" s="18"/>
      <c r="R45" s="18"/>
    </row>
    <row r="46" spans="1:21" ht="15" x14ac:dyDescent="0.3">
      <c r="A46" s="2"/>
      <c r="B46" s="118" t="s">
        <v>6</v>
      </c>
      <c r="C46" s="119" t="s">
        <v>8</v>
      </c>
      <c r="D46" s="117" t="s">
        <v>7</v>
      </c>
      <c r="E46" s="117"/>
      <c r="F46" s="117"/>
      <c r="G46" s="117"/>
      <c r="H46" s="117"/>
      <c r="I46" s="117"/>
      <c r="J46" s="53"/>
      <c r="K46" s="40"/>
      <c r="L46" s="18"/>
      <c r="M46" s="18"/>
      <c r="N46" s="18"/>
      <c r="O46" s="18"/>
      <c r="P46" s="18"/>
      <c r="Q46" s="18"/>
      <c r="R46" s="18"/>
    </row>
    <row r="47" spans="1:21" ht="15" x14ac:dyDescent="0.3">
      <c r="A47" s="2"/>
      <c r="B47" s="118"/>
      <c r="C47" s="120"/>
      <c r="D47" s="3" t="s">
        <v>0</v>
      </c>
      <c r="E47" s="3" t="s">
        <v>1</v>
      </c>
      <c r="F47" s="3" t="s">
        <v>2</v>
      </c>
      <c r="G47" s="3" t="s">
        <v>3</v>
      </c>
      <c r="H47" s="3" t="s">
        <v>4</v>
      </c>
      <c r="I47" s="3" t="s">
        <v>5</v>
      </c>
      <c r="J47" s="53"/>
      <c r="K47" s="40"/>
      <c r="L47" s="18"/>
      <c r="M47" s="18"/>
      <c r="N47" s="18"/>
      <c r="O47" s="18"/>
      <c r="P47" s="18"/>
      <c r="Q47" s="18"/>
      <c r="R47" s="18"/>
    </row>
    <row r="48" spans="1:21" ht="56.15" customHeight="1" x14ac:dyDescent="0.3">
      <c r="A48" s="2"/>
      <c r="B48" s="68"/>
      <c r="C48" s="67" t="s">
        <v>188</v>
      </c>
      <c r="D48" s="64" t="s">
        <v>55</v>
      </c>
      <c r="E48" s="64" t="s">
        <v>67</v>
      </c>
      <c r="F48" s="64" t="s">
        <v>68</v>
      </c>
      <c r="G48" s="64" t="s">
        <v>69</v>
      </c>
      <c r="H48" s="64" t="s">
        <v>70</v>
      </c>
      <c r="I48" s="64" t="s">
        <v>71</v>
      </c>
      <c r="J48" s="53"/>
      <c r="K48" s="40"/>
      <c r="L48" s="18"/>
      <c r="M48" s="18"/>
      <c r="N48" s="18"/>
      <c r="O48" s="18"/>
      <c r="P48" s="18"/>
      <c r="Q48" s="18"/>
      <c r="R48" s="18"/>
    </row>
    <row r="49" spans="1:18" ht="56.15" customHeight="1" x14ac:dyDescent="0.3">
      <c r="A49" s="2"/>
      <c r="B49" s="68"/>
      <c r="C49" s="67" t="s">
        <v>179</v>
      </c>
      <c r="D49" s="64" t="s">
        <v>55</v>
      </c>
      <c r="E49" s="64" t="s">
        <v>67</v>
      </c>
      <c r="F49" s="64" t="s">
        <v>68</v>
      </c>
      <c r="G49" s="64" t="s">
        <v>69</v>
      </c>
      <c r="H49" s="64" t="s">
        <v>70</v>
      </c>
      <c r="I49" s="64" t="s">
        <v>71</v>
      </c>
      <c r="J49" s="53"/>
      <c r="K49" s="40"/>
      <c r="L49" s="18"/>
      <c r="M49" s="18"/>
      <c r="N49" s="18"/>
      <c r="O49" s="18"/>
      <c r="P49" s="18"/>
      <c r="Q49" s="18"/>
      <c r="R49" s="18"/>
    </row>
    <row r="50" spans="1:18" ht="56.15" customHeight="1" x14ac:dyDescent="0.3">
      <c r="A50" s="2"/>
      <c r="B50" s="68"/>
      <c r="C50" s="67" t="s">
        <v>187</v>
      </c>
      <c r="D50" s="64" t="s">
        <v>55</v>
      </c>
      <c r="E50" s="64" t="s">
        <v>67</v>
      </c>
      <c r="F50" s="64" t="s">
        <v>68</v>
      </c>
      <c r="G50" s="64" t="s">
        <v>69</v>
      </c>
      <c r="H50" s="64" t="s">
        <v>70</v>
      </c>
      <c r="I50" s="64" t="s">
        <v>71</v>
      </c>
      <c r="J50" s="52"/>
      <c r="K50" s="40"/>
      <c r="L50" s="18"/>
      <c r="M50" s="18"/>
      <c r="N50" s="18"/>
      <c r="O50" s="18"/>
      <c r="P50" s="18"/>
      <c r="Q50" s="18"/>
      <c r="R50" s="18"/>
    </row>
    <row r="51" spans="1:18" ht="56.15" customHeight="1" x14ac:dyDescent="0.3">
      <c r="A51" s="2"/>
      <c r="B51" s="68">
        <f>1 - B48 - B49 - B50</f>
        <v>1</v>
      </c>
      <c r="C51" s="67" t="s">
        <v>180</v>
      </c>
      <c r="D51" s="63" t="s">
        <v>184</v>
      </c>
      <c r="E51" s="63" t="s">
        <v>183</v>
      </c>
      <c r="F51" s="63" t="s">
        <v>182</v>
      </c>
      <c r="G51" s="63" t="s">
        <v>181</v>
      </c>
      <c r="H51" s="63" t="s">
        <v>185</v>
      </c>
      <c r="I51" s="63" t="s">
        <v>186</v>
      </c>
      <c r="J51" s="52"/>
      <c r="K51" s="40"/>
      <c r="L51" s="18"/>
      <c r="M51" s="18"/>
      <c r="N51" s="18"/>
      <c r="O51" s="18"/>
      <c r="P51" s="18"/>
      <c r="Q51" s="18"/>
      <c r="R51" s="18"/>
    </row>
    <row r="52" spans="1:18" ht="56.15" customHeight="1" x14ac:dyDescent="0.3">
      <c r="A52" s="2"/>
      <c r="B52" s="68"/>
      <c r="C52" s="67" t="s">
        <v>189</v>
      </c>
      <c r="D52" s="132"/>
      <c r="E52" s="133"/>
      <c r="F52" s="133"/>
      <c r="G52" s="133"/>
      <c r="H52" s="133"/>
      <c r="I52" s="134"/>
      <c r="J52" s="52"/>
      <c r="K52" s="40"/>
      <c r="L52" s="18"/>
      <c r="M52" s="18"/>
      <c r="N52" s="18"/>
      <c r="O52" s="18"/>
      <c r="P52" s="18"/>
      <c r="Q52" s="18"/>
      <c r="R52" s="18"/>
    </row>
    <row r="53" spans="1:18" ht="24" customHeight="1" x14ac:dyDescent="0.3">
      <c r="A53" s="2"/>
      <c r="B53" s="5">
        <f>SUM(B48:B52)</f>
        <v>1</v>
      </c>
      <c r="C53" s="6" t="str">
        <f>IF(B53&lt;1,"Total Sum of Weights must be equal to 100%",IF(B53&gt;1, "Total Sum of Weights must be equal to 100%",""))</f>
        <v/>
      </c>
      <c r="D53" s="7"/>
      <c r="E53" s="7"/>
      <c r="F53" s="7"/>
      <c r="G53" s="7"/>
      <c r="H53" s="7"/>
      <c r="I53" s="8"/>
      <c r="J53" s="52"/>
      <c r="K53" s="40"/>
      <c r="L53" s="18"/>
      <c r="M53" s="18"/>
      <c r="N53" s="18"/>
      <c r="O53" s="18"/>
      <c r="P53" s="18"/>
      <c r="Q53" s="18"/>
      <c r="R53" s="18"/>
    </row>
    <row r="54" spans="1:18" ht="68.150000000000006" customHeight="1" thickBot="1" x14ac:dyDescent="0.35">
      <c r="A54" s="2"/>
      <c r="B54" s="2"/>
      <c r="C54" s="2"/>
      <c r="D54" s="2"/>
      <c r="E54" s="2"/>
      <c r="F54" s="2"/>
      <c r="G54" s="2"/>
      <c r="H54" s="2"/>
      <c r="I54" s="2"/>
      <c r="J54" s="52"/>
      <c r="K54" s="40"/>
      <c r="L54" s="18"/>
      <c r="M54" s="18"/>
      <c r="N54" s="18"/>
      <c r="O54" s="18"/>
      <c r="P54" s="18"/>
      <c r="Q54" s="18"/>
      <c r="R54" s="18"/>
    </row>
    <row r="55" spans="1:18" ht="17.5" x14ac:dyDescent="0.3">
      <c r="A55" s="2"/>
      <c r="B55" s="121" t="s">
        <v>50</v>
      </c>
      <c r="C55" s="122"/>
      <c r="D55" s="122"/>
      <c r="E55" s="122"/>
      <c r="F55" s="122"/>
      <c r="G55" s="122"/>
      <c r="H55" s="122"/>
      <c r="I55" s="123"/>
      <c r="J55" s="52"/>
      <c r="K55" s="40"/>
      <c r="L55" s="18"/>
      <c r="M55" s="18"/>
      <c r="N55" s="18"/>
      <c r="O55" s="18"/>
      <c r="P55" s="18"/>
      <c r="Q55" s="18"/>
      <c r="R55" s="18"/>
    </row>
    <row r="56" spans="1:18" ht="17.5" x14ac:dyDescent="0.3">
      <c r="A56" s="2"/>
      <c r="B56" s="124" t="s">
        <v>51</v>
      </c>
      <c r="C56" s="125"/>
      <c r="D56" s="125"/>
      <c r="E56" s="93"/>
      <c r="F56" s="55" t="s">
        <v>194</v>
      </c>
      <c r="G56" s="56">
        <f>I11</f>
        <v>0.7</v>
      </c>
      <c r="H56" s="57"/>
      <c r="I56" s="46" t="s">
        <v>9</v>
      </c>
      <c r="J56" s="52"/>
      <c r="K56" s="40"/>
      <c r="L56" s="18"/>
      <c r="M56" s="18"/>
      <c r="N56" s="18"/>
      <c r="O56" s="18"/>
      <c r="P56" s="18"/>
      <c r="Q56" s="18"/>
      <c r="R56" s="18"/>
    </row>
    <row r="57" spans="1:18" ht="17.5" x14ac:dyDescent="0.3">
      <c r="A57" s="2"/>
      <c r="B57" s="43"/>
      <c r="C57" s="44"/>
      <c r="D57" s="44"/>
      <c r="E57" s="94"/>
      <c r="F57" s="44"/>
      <c r="G57" s="44"/>
      <c r="H57" s="45"/>
      <c r="I57" s="46"/>
      <c r="J57" s="52"/>
      <c r="K57" s="40"/>
      <c r="L57" s="18"/>
      <c r="M57" s="18"/>
      <c r="N57" s="18"/>
      <c r="O57" s="18"/>
      <c r="P57" s="18"/>
      <c r="Q57" s="18"/>
      <c r="R57" s="18"/>
    </row>
    <row r="58" spans="1:18" ht="17.5" x14ac:dyDescent="0.3">
      <c r="A58" s="2"/>
      <c r="B58" s="124" t="s">
        <v>52</v>
      </c>
      <c r="C58" s="125"/>
      <c r="D58" s="125"/>
      <c r="E58" s="93"/>
      <c r="F58" s="55" t="s">
        <v>194</v>
      </c>
      <c r="G58" s="56">
        <f>I28</f>
        <v>0.3</v>
      </c>
      <c r="H58" s="45"/>
      <c r="I58" s="95"/>
      <c r="J58" s="52"/>
      <c r="K58" s="40"/>
      <c r="L58" s="18"/>
      <c r="M58" s="18"/>
      <c r="N58" s="18"/>
      <c r="O58" s="18"/>
      <c r="P58" s="18"/>
      <c r="Q58" s="18"/>
      <c r="R58" s="18"/>
    </row>
    <row r="59" spans="1:18" ht="17.5" x14ac:dyDescent="0.3">
      <c r="A59" s="2"/>
      <c r="B59" s="43"/>
      <c r="C59" s="44"/>
      <c r="D59" s="44"/>
      <c r="E59" s="94"/>
      <c r="F59" s="44"/>
      <c r="G59" s="44"/>
      <c r="H59" s="45"/>
      <c r="I59" s="46"/>
      <c r="J59" s="52"/>
      <c r="K59" s="40"/>
      <c r="L59" s="18"/>
      <c r="M59" s="18"/>
      <c r="N59" s="18"/>
      <c r="O59" s="18"/>
      <c r="P59" s="18"/>
      <c r="Q59" s="18"/>
      <c r="R59" s="18"/>
    </row>
    <row r="60" spans="1:18" ht="17.5" x14ac:dyDescent="0.3">
      <c r="A60" s="2"/>
      <c r="B60" s="124" t="s">
        <v>53</v>
      </c>
      <c r="C60" s="125"/>
      <c r="D60" s="125"/>
      <c r="E60" s="93"/>
      <c r="F60" s="55"/>
      <c r="G60" s="56"/>
      <c r="H60" s="45"/>
      <c r="I60" s="46"/>
      <c r="J60" s="52"/>
      <c r="K60" s="40"/>
      <c r="L60" s="18"/>
      <c r="M60" s="18"/>
      <c r="N60" s="18"/>
      <c r="O60" s="18"/>
      <c r="P60" s="18"/>
      <c r="Q60" s="18"/>
      <c r="R60" s="18"/>
    </row>
    <row r="61" spans="1:18" ht="17.5" x14ac:dyDescent="0.3">
      <c r="A61" s="2"/>
      <c r="B61" s="43"/>
      <c r="C61" s="44"/>
      <c r="D61" s="44"/>
      <c r="E61" s="45"/>
      <c r="F61" s="44"/>
      <c r="G61" s="44"/>
      <c r="H61" s="45"/>
      <c r="I61" s="46"/>
      <c r="J61" s="52"/>
      <c r="K61" s="40"/>
      <c r="L61" s="18"/>
      <c r="M61" s="18"/>
      <c r="N61" s="18"/>
      <c r="O61" s="18"/>
      <c r="P61" s="18"/>
      <c r="Q61" s="18"/>
      <c r="R61" s="18"/>
    </row>
    <row r="62" spans="1:18" x14ac:dyDescent="0.3">
      <c r="A62" s="2"/>
      <c r="B62" s="2"/>
      <c r="C62" s="2"/>
      <c r="D62" s="2"/>
      <c r="E62" s="2"/>
      <c r="F62" s="2"/>
      <c r="G62" s="2"/>
      <c r="H62" s="2"/>
      <c r="I62" s="2"/>
    </row>
    <row r="64" spans="1:18" x14ac:dyDescent="0.3">
      <c r="A64" s="2"/>
      <c r="B64" s="2"/>
      <c r="C64" s="2"/>
      <c r="D64" s="2"/>
      <c r="E64" s="2"/>
      <c r="F64" s="2"/>
      <c r="G64" s="2"/>
      <c r="H64" s="2"/>
      <c r="I64" s="2"/>
    </row>
    <row r="65" spans="1:9" x14ac:dyDescent="0.3">
      <c r="A65" s="2"/>
      <c r="B65" s="2"/>
      <c r="C65" s="2"/>
      <c r="D65" s="2"/>
      <c r="E65" s="2"/>
      <c r="F65" s="2"/>
      <c r="G65" s="2"/>
      <c r="H65" s="116"/>
      <c r="I65" s="116"/>
    </row>
    <row r="66" spans="1:9" x14ac:dyDescent="0.3">
      <c r="A66" s="2"/>
      <c r="B66" s="2"/>
      <c r="C66" s="2"/>
      <c r="D66" s="2"/>
      <c r="E66" s="2"/>
      <c r="F66" s="2"/>
      <c r="G66" s="2"/>
      <c r="H66" s="116"/>
      <c r="I66" s="116"/>
    </row>
    <row r="67" spans="1:9" x14ac:dyDescent="0.3">
      <c r="A67" s="2"/>
      <c r="B67" s="2"/>
      <c r="C67" s="2"/>
      <c r="D67" s="2"/>
      <c r="E67" s="2"/>
      <c r="F67" s="2"/>
      <c r="G67" s="2"/>
      <c r="H67" s="2"/>
      <c r="I67" s="2"/>
    </row>
    <row r="68" spans="1:9" x14ac:dyDescent="0.3">
      <c r="A68" s="2"/>
      <c r="B68" s="2"/>
      <c r="C68" s="2"/>
      <c r="D68" s="2"/>
      <c r="E68" s="2"/>
      <c r="F68" s="2"/>
      <c r="G68" s="2"/>
      <c r="H68" s="2"/>
      <c r="I68" s="2"/>
    </row>
    <row r="69" spans="1:9" x14ac:dyDescent="0.3">
      <c r="A69" s="2"/>
      <c r="B69" s="2"/>
      <c r="C69" s="2"/>
      <c r="D69" s="2"/>
      <c r="E69" s="2"/>
      <c r="F69" s="2"/>
      <c r="G69" s="2"/>
      <c r="H69" s="2"/>
      <c r="I69" s="2"/>
    </row>
    <row r="70" spans="1:9" x14ac:dyDescent="0.3">
      <c r="A70" s="2"/>
      <c r="B70" s="2"/>
      <c r="C70" s="2"/>
      <c r="D70" s="2"/>
      <c r="E70" s="2"/>
      <c r="F70" s="2"/>
      <c r="G70" s="2"/>
      <c r="H70" s="2"/>
      <c r="I70" s="2"/>
    </row>
    <row r="71" spans="1:9" x14ac:dyDescent="0.3">
      <c r="A71" s="2"/>
      <c r="B71" s="2"/>
      <c r="C71" s="2"/>
      <c r="D71" s="2"/>
      <c r="E71" s="2"/>
      <c r="F71" s="2"/>
      <c r="G71" s="2"/>
      <c r="H71" s="2"/>
      <c r="I71" s="2"/>
    </row>
    <row r="72" spans="1:9" x14ac:dyDescent="0.3">
      <c r="A72" s="2"/>
      <c r="B72" s="2"/>
      <c r="C72" s="2"/>
      <c r="D72" s="2"/>
      <c r="E72" s="2"/>
      <c r="F72" s="2"/>
      <c r="G72" s="2"/>
      <c r="H72" s="2"/>
      <c r="I72" s="2"/>
    </row>
    <row r="73" spans="1:9" x14ac:dyDescent="0.3">
      <c r="A73" s="2"/>
      <c r="B73" s="2"/>
      <c r="C73" s="2"/>
      <c r="D73" s="2"/>
      <c r="E73" s="2"/>
      <c r="F73" s="2"/>
      <c r="G73" s="2"/>
      <c r="H73" s="2"/>
      <c r="I73" s="2"/>
    </row>
    <row r="74" spans="1:9" x14ac:dyDescent="0.3">
      <c r="A74" s="2"/>
      <c r="B74" s="2"/>
      <c r="C74" s="2"/>
      <c r="D74" s="2"/>
      <c r="E74" s="2"/>
      <c r="F74" s="2"/>
      <c r="G74" s="2"/>
      <c r="H74" s="2"/>
      <c r="I74" s="2"/>
    </row>
    <row r="75" spans="1:9" x14ac:dyDescent="0.3">
      <c r="A75" s="2"/>
      <c r="B75" s="2"/>
      <c r="C75" s="2"/>
      <c r="D75" s="2"/>
      <c r="E75" s="2"/>
      <c r="F75" s="2"/>
      <c r="G75" s="2"/>
      <c r="H75" s="2"/>
      <c r="I75" s="2"/>
    </row>
    <row r="76" spans="1:9" x14ac:dyDescent="0.3">
      <c r="A76" s="2"/>
      <c r="B76" s="2"/>
      <c r="C76" s="2"/>
      <c r="D76" s="2"/>
      <c r="E76" s="2"/>
      <c r="F76" s="2"/>
      <c r="G76" s="2"/>
      <c r="H76" s="2"/>
      <c r="I76" s="2"/>
    </row>
    <row r="77" spans="1:9" x14ac:dyDescent="0.3">
      <c r="A77" s="2"/>
      <c r="B77" s="2"/>
      <c r="C77" s="2"/>
      <c r="D77" s="2"/>
      <c r="E77" s="2"/>
      <c r="F77" s="2"/>
      <c r="G77" s="2"/>
      <c r="H77" s="2"/>
      <c r="I77" s="2"/>
    </row>
    <row r="78" spans="1:9" x14ac:dyDescent="0.3">
      <c r="A78" s="2"/>
      <c r="B78" s="2"/>
      <c r="C78" s="2"/>
      <c r="D78" s="2"/>
      <c r="E78" s="2"/>
      <c r="F78" s="2"/>
      <c r="G78" s="2"/>
      <c r="H78" s="2"/>
      <c r="I78" s="2"/>
    </row>
  </sheetData>
  <mergeCells count="47">
    <mergeCell ref="M20:R20"/>
    <mergeCell ref="M31:R32"/>
    <mergeCell ref="M28:R29"/>
    <mergeCell ref="B58:D58"/>
    <mergeCell ref="B60:D60"/>
    <mergeCell ref="M22:R22"/>
    <mergeCell ref="M23:R23"/>
    <mergeCell ref="M24:R24"/>
    <mergeCell ref="M21:R21"/>
    <mergeCell ref="M30:R30"/>
    <mergeCell ref="M25:R25"/>
    <mergeCell ref="M26:R26"/>
    <mergeCell ref="M27:R27"/>
    <mergeCell ref="H66:I66"/>
    <mergeCell ref="D12:I12"/>
    <mergeCell ref="D29:I29"/>
    <mergeCell ref="C12:C13"/>
    <mergeCell ref="B12:B13"/>
    <mergeCell ref="H65:I65"/>
    <mergeCell ref="B46:B47"/>
    <mergeCell ref="C46:C47"/>
    <mergeCell ref="D46:I46"/>
    <mergeCell ref="B55:I55"/>
    <mergeCell ref="B56:D56"/>
    <mergeCell ref="B29:B30"/>
    <mergeCell ref="C29:C30"/>
    <mergeCell ref="D25:I25"/>
    <mergeCell ref="D42:I42"/>
    <mergeCell ref="D52:I52"/>
    <mergeCell ref="L1:R1"/>
    <mergeCell ref="M4:R4"/>
    <mergeCell ref="M8:R8"/>
    <mergeCell ref="A1:J1"/>
    <mergeCell ref="L2:R2"/>
    <mergeCell ref="M5:R5"/>
    <mergeCell ref="M6:R6"/>
    <mergeCell ref="M7:R7"/>
    <mergeCell ref="L10:L11"/>
    <mergeCell ref="M10:R11"/>
    <mergeCell ref="M19:R19"/>
    <mergeCell ref="M15:R15"/>
    <mergeCell ref="M17:R17"/>
    <mergeCell ref="M18:R18"/>
    <mergeCell ref="L12:L13"/>
    <mergeCell ref="M12:R13"/>
    <mergeCell ref="M14:R14"/>
    <mergeCell ref="M16:R16"/>
  </mergeCells>
  <phoneticPr fontId="7" type="noConversion"/>
  <conditionalFormatting sqref="B43">
    <cfRule type="cellIs" dxfId="11" priority="10" operator="greaterThan">
      <formula>1</formula>
    </cfRule>
    <cfRule type="cellIs" dxfId="10" priority="12" operator="lessThan">
      <formula>1</formula>
    </cfRule>
    <cfRule type="cellIs" dxfId="9" priority="13" operator="equal">
      <formula>1</formula>
    </cfRule>
  </conditionalFormatting>
  <conditionalFormatting sqref="I9">
    <cfRule type="cellIs" dxfId="8" priority="7" operator="greaterThan">
      <formula>1</formula>
    </cfRule>
    <cfRule type="cellIs" dxfId="7" priority="8" operator="lessThan">
      <formula>1</formula>
    </cfRule>
    <cfRule type="cellIs" dxfId="6" priority="9" operator="equal">
      <formula>1</formula>
    </cfRule>
  </conditionalFormatting>
  <conditionalFormatting sqref="B53">
    <cfRule type="cellIs" dxfId="5" priority="4" operator="greaterThan">
      <formula>1</formula>
    </cfRule>
    <cfRule type="cellIs" dxfId="4" priority="5" operator="lessThan">
      <formula>1</formula>
    </cfRule>
    <cfRule type="cellIs" dxfId="3" priority="6" operator="equal">
      <formula>1</formula>
    </cfRule>
  </conditionalFormatting>
  <conditionalFormatting sqref="B26">
    <cfRule type="cellIs" dxfId="2" priority="1" operator="greaterThan">
      <formula>1</formula>
    </cfRule>
    <cfRule type="cellIs" dxfId="1" priority="2" operator="lessThan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scale="46" fitToHeight="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1447E-038F-4FF3-A8C1-18F65626D6AC}">
  <sheetPr codeName="Sheet2"/>
  <dimension ref="A1:AQ1010"/>
  <sheetViews>
    <sheetView zoomScale="85" zoomScaleNormal="85" workbookViewId="0">
      <selection activeCell="C9" sqref="C9"/>
    </sheetView>
  </sheetViews>
  <sheetFormatPr defaultColWidth="9.1796875" defaultRowHeight="14.5" x14ac:dyDescent="0.35"/>
  <cols>
    <col min="1" max="1" width="12.1796875" style="89" customWidth="1"/>
    <col min="2" max="2" width="14.7265625" style="90" customWidth="1"/>
    <col min="3" max="3" width="37.26953125" style="91" customWidth="1"/>
    <col min="4" max="4" width="31" style="91" customWidth="1"/>
    <col min="5" max="6" width="29.1796875" style="91" customWidth="1"/>
    <col min="7" max="7" width="13.453125" style="65" bestFit="1" customWidth="1"/>
    <col min="8" max="11" width="15.1796875" style="65" customWidth="1"/>
    <col min="12" max="12" width="1.81640625" style="73" customWidth="1"/>
    <col min="13" max="23" width="22.1796875" style="65" customWidth="1"/>
    <col min="24" max="24" width="42.1796875" style="65" customWidth="1"/>
    <col min="25" max="25" width="1.453125" style="73" customWidth="1"/>
    <col min="26" max="36" width="22.1796875" style="65" customWidth="1"/>
    <col min="37" max="37" width="38.54296875" style="65" customWidth="1"/>
    <col min="38" max="38" width="1.7265625" style="73" customWidth="1"/>
    <col min="39" max="43" width="22.1796875" style="65" customWidth="1"/>
    <col min="44" max="16384" width="9.1796875" style="65"/>
  </cols>
  <sheetData>
    <row r="1" spans="1:43" ht="12" customHeight="1" x14ac:dyDescent="0.35">
      <c r="A1" s="71"/>
      <c r="B1" s="72"/>
      <c r="C1" s="73"/>
      <c r="D1" s="73"/>
      <c r="E1" s="73"/>
      <c r="F1" s="73"/>
      <c r="G1" s="137"/>
      <c r="H1" s="137"/>
      <c r="I1" s="73"/>
      <c r="J1" s="73"/>
      <c r="K1" s="73"/>
      <c r="M1" s="138" t="s">
        <v>28</v>
      </c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74"/>
      <c r="Z1" s="138" t="s">
        <v>24</v>
      </c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M1" s="138" t="s">
        <v>39</v>
      </c>
      <c r="AN1" s="138"/>
      <c r="AO1" s="138"/>
      <c r="AP1" s="138"/>
      <c r="AQ1" s="138"/>
    </row>
    <row r="2" spans="1:43" s="77" customFormat="1" ht="46.5" customHeight="1" x14ac:dyDescent="0.35">
      <c r="A2" s="60" t="s">
        <v>178</v>
      </c>
      <c r="B2" s="92" t="str">
        <f>PET!B4</f>
        <v>PROJECT NUMBER:</v>
      </c>
      <c r="C2" s="50" t="str">
        <f>PET!B5</f>
        <v>PROJECT NAME:</v>
      </c>
      <c r="D2" s="50" t="str">
        <f>PET!B6</f>
        <v>FOREMAN:</v>
      </c>
      <c r="E2" s="50" t="str">
        <f>PET!B7</f>
        <v>PROJECT MANAGER:</v>
      </c>
      <c r="F2" s="50" t="str">
        <f>PET!B8</f>
        <v>GC / CLIENT:</v>
      </c>
      <c r="G2" s="16"/>
      <c r="H2" s="50" t="str">
        <f>PET!B56</f>
        <v>Total Foreman Score</v>
      </c>
      <c r="I2" s="50" t="str">
        <f>PET!B58</f>
        <v>Total Project Manager Score</v>
      </c>
      <c r="J2" s="50" t="str">
        <f>PET!B60</f>
        <v>Total GC / Client Score</v>
      </c>
      <c r="K2" s="50" t="s">
        <v>9</v>
      </c>
      <c r="L2" s="75"/>
      <c r="M2" s="51" t="str">
        <f>PET!C14</f>
        <v>Safety Leadership &amp; 
Risk Management</v>
      </c>
      <c r="N2" s="51" t="str">
        <f>PET!C15</f>
        <v>Project Planning &amp; Time Management</v>
      </c>
      <c r="O2" s="51" t="str">
        <f>PET!C16</f>
        <v>Quality Assurance &amp; Technical Expertise</v>
      </c>
      <c r="P2" s="51" t="str">
        <f>PET!C17</f>
        <v>Effective Communication &amp; Collaboration</v>
      </c>
      <c r="Q2" s="51" t="str">
        <f>PET!C18</f>
        <v>Materials &amp; Resource Management</v>
      </c>
      <c r="R2" s="51" t="str">
        <f>PET!C19</f>
        <v>Productivity Management</v>
      </c>
      <c r="S2" s="51" t="str">
        <f>PET!C20</f>
        <v>Compliance &amp; Quality Management</v>
      </c>
      <c r="T2" s="51" t="str">
        <f>PET!C21</f>
        <v>Crew Supervision, Leadership, &amp; Mentorship</v>
      </c>
      <c r="U2" s="51" t="str">
        <f>PET!C22</f>
        <v>Change Order &amp; Cost Control Management</v>
      </c>
      <c r="V2" s="51" t="str">
        <f>PET!C23</f>
        <v>Conflict Resolution &amp; Problem Solving</v>
      </c>
      <c r="W2" s="51" t="str">
        <f>PET!C24</f>
        <v>Documentation &amp; Record Keeping</v>
      </c>
      <c r="X2" s="51" t="str">
        <f>PET!C25</f>
        <v>Notes</v>
      </c>
      <c r="Y2" s="76"/>
      <c r="Z2" s="51" t="str">
        <f>PET!C31</f>
        <v xml:space="preserve"> Project Planning and Scheduling</v>
      </c>
      <c r="AA2" s="51" t="str">
        <f>PET!C32</f>
        <v xml:space="preserve">Budget and Cost Management </v>
      </c>
      <c r="AB2" s="51" t="str">
        <f>PET!C33</f>
        <v>Contract Administration and Compliance</v>
      </c>
      <c r="AC2" s="51" t="str">
        <f>PET!C34</f>
        <v>Conflict Resolution and Problem Solving</v>
      </c>
      <c r="AD2" s="51" t="str">
        <f>PET!C35</f>
        <v>Progress Tracking and Reporting</v>
      </c>
      <c r="AE2" s="51" t="str">
        <f>PET!C36</f>
        <v>Documentation and Record Keeping</v>
      </c>
      <c r="AF2" s="51" t="str">
        <f>PET!C37</f>
        <v>Client Relationship Management</v>
      </c>
      <c r="AG2" s="51" t="str">
        <f>PET!C38</f>
        <v>Issue Resolution and Decision Making</v>
      </c>
      <c r="AH2" s="51" t="str">
        <f>PET!C39</f>
        <v xml:space="preserve">Procurement and Supply Chain Management </v>
      </c>
      <c r="AI2" s="51" t="str">
        <f>PET!C37</f>
        <v>Client Relationship Management</v>
      </c>
      <c r="AJ2" s="51" t="str">
        <f>PET!C40</f>
        <v>Project Closeout and Handover</v>
      </c>
      <c r="AK2" s="51" t="str">
        <f>PET!C42</f>
        <v>Notes</v>
      </c>
      <c r="AL2" s="75"/>
      <c r="AM2" s="51" t="str">
        <f>PET!C48</f>
        <v>Look Ahead Planning &amp; Scheduling</v>
      </c>
      <c r="AN2" s="51" t="str">
        <f>PET!C49</f>
        <v>Coordination with Trades</v>
      </c>
      <c r="AO2" s="51" t="str">
        <f>PET!C50</f>
        <v>Colaboration &amp; Comunication</v>
      </c>
      <c r="AP2" s="51" t="str">
        <f>PET!C51</f>
        <v>Overall Grade</v>
      </c>
      <c r="AQ2" s="51" t="str">
        <f>PET!C52</f>
        <v>Notes</v>
      </c>
    </row>
    <row r="3" spans="1:43" ht="19.5" customHeight="1" x14ac:dyDescent="0.35">
      <c r="A3" s="71">
        <v>1</v>
      </c>
      <c r="B3" s="78">
        <v>1</v>
      </c>
      <c r="C3" s="71">
        <v>1</v>
      </c>
      <c r="D3" s="78">
        <v>1</v>
      </c>
      <c r="E3" s="71">
        <v>1</v>
      </c>
      <c r="F3" s="78">
        <v>1</v>
      </c>
      <c r="G3" s="79"/>
      <c r="H3" s="73"/>
      <c r="I3" s="73"/>
      <c r="J3" s="73"/>
      <c r="K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M3" s="73"/>
      <c r="AN3" s="73"/>
      <c r="AO3" s="73"/>
      <c r="AP3" s="73"/>
      <c r="AQ3" s="73"/>
    </row>
    <row r="4" spans="1:43" s="84" customFormat="1" ht="15" x14ac:dyDescent="0.35">
      <c r="A4" s="80" t="s">
        <v>207</v>
      </c>
      <c r="B4" s="81">
        <v>12354</v>
      </c>
      <c r="C4" s="82" t="s">
        <v>208</v>
      </c>
      <c r="D4" s="82" t="s">
        <v>209</v>
      </c>
      <c r="E4" s="82" t="s">
        <v>205</v>
      </c>
      <c r="F4" s="82" t="s">
        <v>206</v>
      </c>
      <c r="G4" s="83" t="s">
        <v>6</v>
      </c>
      <c r="H4" s="82">
        <v>0.7</v>
      </c>
      <c r="I4" s="82">
        <v>0.3</v>
      </c>
      <c r="J4" s="82">
        <v>0</v>
      </c>
      <c r="K4" s="82">
        <v>1</v>
      </c>
      <c r="L4" s="76"/>
      <c r="M4" s="82">
        <v>0</v>
      </c>
      <c r="N4" s="82">
        <v>0.1</v>
      </c>
      <c r="O4" s="82">
        <v>0.1</v>
      </c>
      <c r="P4" s="82">
        <v>0.15</v>
      </c>
      <c r="Q4" s="82">
        <v>0.2</v>
      </c>
      <c r="R4" s="82">
        <v>0</v>
      </c>
      <c r="S4" s="82">
        <v>0</v>
      </c>
      <c r="T4" s="82">
        <v>0</v>
      </c>
      <c r="U4" s="82">
        <v>0.1</v>
      </c>
      <c r="V4" s="82">
        <v>0.25</v>
      </c>
      <c r="W4" s="82">
        <v>0.1</v>
      </c>
      <c r="X4" s="82"/>
      <c r="Y4" s="76"/>
      <c r="Z4" s="82">
        <v>0</v>
      </c>
      <c r="AA4" s="82">
        <v>0.1</v>
      </c>
      <c r="AB4" s="82">
        <v>0.1</v>
      </c>
      <c r="AC4" s="82">
        <v>0.15</v>
      </c>
      <c r="AD4" s="82">
        <v>0.2</v>
      </c>
      <c r="AE4" s="82">
        <v>0</v>
      </c>
      <c r="AF4" s="82">
        <v>0</v>
      </c>
      <c r="AG4" s="82">
        <v>0</v>
      </c>
      <c r="AH4" s="82">
        <v>0.1</v>
      </c>
      <c r="AI4" s="82">
        <v>0.25</v>
      </c>
      <c r="AJ4" s="82">
        <v>0.1</v>
      </c>
      <c r="AK4" s="82"/>
      <c r="AL4" s="76"/>
      <c r="AM4" s="82"/>
      <c r="AN4" s="82"/>
      <c r="AO4" s="82">
        <v>1</v>
      </c>
      <c r="AP4" s="82"/>
      <c r="AQ4" s="82">
        <v>1</v>
      </c>
    </row>
    <row r="5" spans="1:43" ht="43.5" x14ac:dyDescent="0.35">
      <c r="A5" s="96" t="s">
        <v>207</v>
      </c>
      <c r="B5" s="97">
        <v>12354</v>
      </c>
      <c r="C5" s="98" t="s">
        <v>208</v>
      </c>
      <c r="D5" s="98" t="s">
        <v>209</v>
      </c>
      <c r="E5" s="98" t="s">
        <v>205</v>
      </c>
      <c r="F5" s="98" t="s">
        <v>206</v>
      </c>
      <c r="G5" s="88" t="s">
        <v>195</v>
      </c>
      <c r="H5" s="87">
        <v>0.46899999999999992</v>
      </c>
      <c r="I5" s="87">
        <v>0.14700000000000002</v>
      </c>
      <c r="J5" s="87" t="s">
        <v>182</v>
      </c>
      <c r="K5" s="87">
        <v>0.61599999999999988</v>
      </c>
      <c r="M5" s="102" t="s">
        <v>201</v>
      </c>
      <c r="N5" s="100" t="s">
        <v>197</v>
      </c>
      <c r="O5" s="99" t="s">
        <v>210</v>
      </c>
      <c r="P5" s="102" t="s">
        <v>198</v>
      </c>
      <c r="Q5" s="103" t="s">
        <v>211</v>
      </c>
      <c r="R5" s="102" t="s">
        <v>212</v>
      </c>
      <c r="S5" s="100" t="s">
        <v>177</v>
      </c>
      <c r="T5" s="101" t="s">
        <v>199</v>
      </c>
      <c r="U5" s="102" t="s">
        <v>200</v>
      </c>
      <c r="V5" s="101" t="s">
        <v>213</v>
      </c>
      <c r="W5" s="101" t="s">
        <v>214</v>
      </c>
      <c r="X5" s="17"/>
      <c r="Z5" s="101" t="s">
        <v>204</v>
      </c>
      <c r="AA5" s="100" t="s">
        <v>197</v>
      </c>
      <c r="AB5" s="99" t="s">
        <v>210</v>
      </c>
      <c r="AC5" s="101" t="s">
        <v>215</v>
      </c>
      <c r="AD5" s="102" t="s">
        <v>216</v>
      </c>
      <c r="AE5" s="103" t="s">
        <v>202</v>
      </c>
      <c r="AF5" s="102" t="s">
        <v>212</v>
      </c>
      <c r="AG5" s="100" t="s">
        <v>217</v>
      </c>
      <c r="AH5" s="99" t="s">
        <v>218</v>
      </c>
      <c r="AI5" s="100" t="s">
        <v>219</v>
      </c>
      <c r="AJ5" s="101" t="s">
        <v>220</v>
      </c>
      <c r="AK5" s="17"/>
      <c r="AM5" s="104" t="s">
        <v>55</v>
      </c>
      <c r="AN5" s="99" t="s">
        <v>196</v>
      </c>
      <c r="AO5" s="100" t="s">
        <v>203</v>
      </c>
      <c r="AP5" s="100" t="s">
        <v>182</v>
      </c>
      <c r="AQ5" s="17"/>
    </row>
    <row r="6" spans="1:43" s="84" customFormat="1" ht="15" x14ac:dyDescent="0.35">
      <c r="A6" s="80">
        <v>45776</v>
      </c>
      <c r="B6" s="81">
        <v>1234</v>
      </c>
      <c r="C6" s="82" t="s">
        <v>208</v>
      </c>
      <c r="D6" s="82" t="s">
        <v>221</v>
      </c>
      <c r="E6" s="82" t="s">
        <v>205</v>
      </c>
      <c r="F6" s="82"/>
      <c r="G6" s="83" t="s">
        <v>6</v>
      </c>
      <c r="H6" s="82">
        <v>0.7</v>
      </c>
      <c r="I6" s="82">
        <v>0.3</v>
      </c>
      <c r="J6" s="82">
        <v>0</v>
      </c>
      <c r="K6" s="82">
        <v>1</v>
      </c>
      <c r="L6" s="76"/>
      <c r="M6" s="82">
        <v>0</v>
      </c>
      <c r="N6" s="82">
        <v>0.1</v>
      </c>
      <c r="O6" s="82">
        <v>0.15</v>
      </c>
      <c r="P6" s="82">
        <v>0.05</v>
      </c>
      <c r="Q6" s="82">
        <v>0</v>
      </c>
      <c r="R6" s="82">
        <v>0.6</v>
      </c>
      <c r="S6" s="82">
        <v>0.05</v>
      </c>
      <c r="T6" s="82">
        <v>0.05</v>
      </c>
      <c r="U6" s="82">
        <v>0</v>
      </c>
      <c r="V6" s="82">
        <v>0</v>
      </c>
      <c r="W6" s="82">
        <v>0</v>
      </c>
      <c r="X6" s="82"/>
      <c r="Y6" s="76"/>
      <c r="Z6" s="82">
        <v>0</v>
      </c>
      <c r="AA6" s="82">
        <v>0.1</v>
      </c>
      <c r="AB6" s="82">
        <v>0.15</v>
      </c>
      <c r="AC6" s="82">
        <v>0.05</v>
      </c>
      <c r="AD6" s="82">
        <v>0</v>
      </c>
      <c r="AE6" s="82">
        <v>0.6</v>
      </c>
      <c r="AF6" s="82">
        <v>0.05</v>
      </c>
      <c r="AG6" s="82">
        <v>0.05</v>
      </c>
      <c r="AH6" s="82">
        <v>0</v>
      </c>
      <c r="AI6" s="82">
        <v>0</v>
      </c>
      <c r="AJ6" s="82">
        <v>0</v>
      </c>
      <c r="AK6" s="82"/>
      <c r="AL6" s="76"/>
      <c r="AM6" s="82"/>
      <c r="AN6" s="82"/>
      <c r="AO6" s="82">
        <v>1</v>
      </c>
      <c r="AP6" s="82"/>
      <c r="AQ6" s="82">
        <v>1</v>
      </c>
    </row>
    <row r="7" spans="1:43" ht="29" x14ac:dyDescent="0.35">
      <c r="A7" s="96">
        <v>45776</v>
      </c>
      <c r="B7" s="97">
        <v>1234</v>
      </c>
      <c r="C7" s="98" t="s">
        <v>208</v>
      </c>
      <c r="D7" s="98" t="s">
        <v>221</v>
      </c>
      <c r="E7" s="98" t="s">
        <v>205</v>
      </c>
      <c r="F7" s="98"/>
      <c r="G7" s="88" t="s">
        <v>195</v>
      </c>
      <c r="H7" s="87">
        <v>0.19600000000000004</v>
      </c>
      <c r="I7" s="87">
        <v>0.17100000000000001</v>
      </c>
      <c r="J7" s="87" t="s">
        <v>181</v>
      </c>
      <c r="K7" s="87">
        <v>0.36700000000000005</v>
      </c>
      <c r="M7" s="100" t="s">
        <v>203</v>
      </c>
      <c r="N7" s="99" t="s">
        <v>222</v>
      </c>
      <c r="O7" s="100" t="s">
        <v>223</v>
      </c>
      <c r="P7" s="102" t="s">
        <v>198</v>
      </c>
      <c r="Q7" s="101" t="s">
        <v>224</v>
      </c>
      <c r="R7" s="99" t="s">
        <v>225</v>
      </c>
      <c r="S7" s="99" t="s">
        <v>226</v>
      </c>
      <c r="T7" s="101" t="s">
        <v>199</v>
      </c>
      <c r="U7" s="100" t="s">
        <v>227</v>
      </c>
      <c r="V7" s="99" t="s">
        <v>228</v>
      </c>
      <c r="W7" s="100" t="s">
        <v>229</v>
      </c>
      <c r="X7" s="17"/>
      <c r="Z7" s="101" t="s">
        <v>204</v>
      </c>
      <c r="AA7" s="100" t="s">
        <v>197</v>
      </c>
      <c r="AB7" s="100" t="s">
        <v>223</v>
      </c>
      <c r="AC7" s="102" t="s">
        <v>198</v>
      </c>
      <c r="AD7" s="100" t="s">
        <v>229</v>
      </c>
      <c r="AE7" s="101" t="s">
        <v>230</v>
      </c>
      <c r="AF7" s="102" t="s">
        <v>212</v>
      </c>
      <c r="AG7" s="101" t="s">
        <v>231</v>
      </c>
      <c r="AH7" s="99" t="s">
        <v>218</v>
      </c>
      <c r="AI7" s="102" t="s">
        <v>232</v>
      </c>
      <c r="AJ7" s="100" t="s">
        <v>233</v>
      </c>
      <c r="AK7" s="17"/>
      <c r="AM7" s="17"/>
      <c r="AN7" s="17"/>
      <c r="AO7" s="17"/>
      <c r="AP7" s="101" t="s">
        <v>181</v>
      </c>
      <c r="AQ7" s="17"/>
    </row>
    <row r="8" spans="1:43" s="84" customFormat="1" ht="15" x14ac:dyDescent="0.35">
      <c r="A8" s="80"/>
      <c r="B8" s="81"/>
      <c r="C8" s="82"/>
      <c r="D8" s="82"/>
      <c r="E8" s="82"/>
      <c r="F8" s="82"/>
      <c r="G8" s="83"/>
      <c r="H8" s="82"/>
      <c r="I8" s="82"/>
      <c r="J8" s="82"/>
      <c r="K8" s="82"/>
      <c r="L8" s="76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76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76"/>
      <c r="AM8" s="82"/>
      <c r="AN8" s="82"/>
      <c r="AO8" s="82"/>
      <c r="AP8" s="82"/>
      <c r="AQ8" s="82"/>
    </row>
    <row r="9" spans="1:43" ht="15" x14ac:dyDescent="0.35">
      <c r="A9" s="85"/>
      <c r="B9" s="86"/>
      <c r="C9" s="87"/>
      <c r="D9" s="87"/>
      <c r="E9" s="87"/>
      <c r="F9" s="87"/>
      <c r="G9" s="88"/>
      <c r="H9" s="87"/>
      <c r="I9" s="87"/>
      <c r="J9" s="87"/>
      <c r="K9" s="8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M9" s="17"/>
      <c r="AN9" s="17"/>
      <c r="AO9" s="17"/>
      <c r="AP9" s="17"/>
      <c r="AQ9" s="17"/>
    </row>
    <row r="10" spans="1:43" s="84" customFormat="1" ht="15" x14ac:dyDescent="0.35">
      <c r="A10" s="80"/>
      <c r="B10" s="81"/>
      <c r="C10" s="82"/>
      <c r="D10" s="82"/>
      <c r="E10" s="82"/>
      <c r="F10" s="82"/>
      <c r="G10" s="83"/>
      <c r="H10" s="82"/>
      <c r="I10" s="82"/>
      <c r="J10" s="82"/>
      <c r="K10" s="82"/>
      <c r="L10" s="76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76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76"/>
      <c r="AM10" s="82"/>
      <c r="AN10" s="82"/>
      <c r="AO10" s="82"/>
      <c r="AP10" s="82"/>
      <c r="AQ10" s="82"/>
    </row>
    <row r="11" spans="1:43" ht="15" x14ac:dyDescent="0.35">
      <c r="A11" s="85"/>
      <c r="B11" s="86"/>
      <c r="C11" s="87"/>
      <c r="D11" s="87"/>
      <c r="E11" s="87"/>
      <c r="F11" s="87"/>
      <c r="G11" s="88"/>
      <c r="H11" s="87"/>
      <c r="I11" s="87"/>
      <c r="J11" s="87"/>
      <c r="K11" s="8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M11" s="17"/>
      <c r="AN11" s="17"/>
      <c r="AO11" s="17"/>
      <c r="AP11" s="17"/>
      <c r="AQ11" s="17"/>
    </row>
    <row r="12" spans="1:43" s="84" customFormat="1" ht="15" x14ac:dyDescent="0.35">
      <c r="A12" s="80"/>
      <c r="B12" s="81"/>
      <c r="C12" s="82"/>
      <c r="D12" s="82"/>
      <c r="E12" s="82"/>
      <c r="F12" s="82"/>
      <c r="G12" s="83"/>
      <c r="H12" s="82"/>
      <c r="I12" s="82"/>
      <c r="J12" s="82"/>
      <c r="K12" s="82"/>
      <c r="L12" s="76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76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76"/>
      <c r="AM12" s="82"/>
      <c r="AN12" s="82"/>
      <c r="AO12" s="82"/>
      <c r="AP12" s="82"/>
      <c r="AQ12" s="82"/>
    </row>
    <row r="13" spans="1:43" ht="15" x14ac:dyDescent="0.35">
      <c r="A13" s="85"/>
      <c r="B13" s="86"/>
      <c r="C13" s="87"/>
      <c r="D13" s="87"/>
      <c r="E13" s="87"/>
      <c r="F13" s="87"/>
      <c r="G13" s="88"/>
      <c r="H13" s="87"/>
      <c r="I13" s="87"/>
      <c r="J13" s="87"/>
      <c r="K13" s="8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M13" s="17"/>
      <c r="AN13" s="17"/>
      <c r="AO13" s="17"/>
      <c r="AP13" s="17"/>
      <c r="AQ13" s="17"/>
    </row>
    <row r="14" spans="1:43" s="84" customFormat="1" ht="15" x14ac:dyDescent="0.35">
      <c r="A14" s="80"/>
      <c r="B14" s="81"/>
      <c r="C14" s="82"/>
      <c r="D14" s="82"/>
      <c r="E14" s="82"/>
      <c r="F14" s="82"/>
      <c r="G14" s="83"/>
      <c r="H14" s="82"/>
      <c r="I14" s="82"/>
      <c r="J14" s="82"/>
      <c r="K14" s="82"/>
      <c r="L14" s="76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76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76"/>
      <c r="AM14" s="82"/>
      <c r="AN14" s="82"/>
      <c r="AO14" s="82"/>
      <c r="AP14" s="82"/>
      <c r="AQ14" s="82"/>
    </row>
    <row r="15" spans="1:43" ht="15" x14ac:dyDescent="0.35">
      <c r="A15" s="85"/>
      <c r="B15" s="86"/>
      <c r="C15" s="87"/>
      <c r="D15" s="87"/>
      <c r="E15" s="87"/>
      <c r="F15" s="87"/>
      <c r="G15" s="88"/>
      <c r="H15" s="87"/>
      <c r="I15" s="87"/>
      <c r="J15" s="87"/>
      <c r="K15" s="8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M15" s="17"/>
      <c r="AN15" s="17"/>
      <c r="AO15" s="17"/>
      <c r="AP15" s="17"/>
      <c r="AQ15" s="17"/>
    </row>
    <row r="16" spans="1:43" s="84" customFormat="1" ht="15" x14ac:dyDescent="0.35">
      <c r="A16" s="80"/>
      <c r="B16" s="81"/>
      <c r="C16" s="82"/>
      <c r="D16" s="82"/>
      <c r="E16" s="82"/>
      <c r="F16" s="82"/>
      <c r="G16" s="83"/>
      <c r="H16" s="82"/>
      <c r="I16" s="82"/>
      <c r="J16" s="82"/>
      <c r="K16" s="82"/>
      <c r="L16" s="76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76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76"/>
      <c r="AM16" s="82"/>
      <c r="AN16" s="82"/>
      <c r="AO16" s="82"/>
      <c r="AP16" s="82"/>
      <c r="AQ16" s="82"/>
    </row>
    <row r="17" spans="1:43" ht="15" x14ac:dyDescent="0.35">
      <c r="A17" s="85"/>
      <c r="B17" s="86"/>
      <c r="C17" s="87"/>
      <c r="D17" s="87"/>
      <c r="E17" s="87"/>
      <c r="F17" s="87"/>
      <c r="G17" s="88"/>
      <c r="H17" s="87"/>
      <c r="I17" s="87"/>
      <c r="J17" s="87"/>
      <c r="K17" s="8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M17" s="17"/>
      <c r="AN17" s="17"/>
      <c r="AO17" s="17"/>
      <c r="AP17" s="17"/>
      <c r="AQ17" s="17"/>
    </row>
    <row r="18" spans="1:43" s="84" customFormat="1" ht="15" x14ac:dyDescent="0.35">
      <c r="A18" s="80"/>
      <c r="B18" s="81"/>
      <c r="C18" s="82"/>
      <c r="D18" s="82"/>
      <c r="E18" s="82"/>
      <c r="F18" s="82"/>
      <c r="G18" s="83"/>
      <c r="H18" s="82"/>
      <c r="I18" s="82"/>
      <c r="J18" s="82"/>
      <c r="K18" s="82"/>
      <c r="L18" s="76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76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76"/>
      <c r="AM18" s="82"/>
      <c r="AN18" s="82"/>
      <c r="AO18" s="82"/>
      <c r="AP18" s="82"/>
      <c r="AQ18" s="82"/>
    </row>
    <row r="19" spans="1:43" ht="15" x14ac:dyDescent="0.35">
      <c r="A19" s="85"/>
      <c r="B19" s="86"/>
      <c r="C19" s="87"/>
      <c r="D19" s="87"/>
      <c r="E19" s="87"/>
      <c r="F19" s="87"/>
      <c r="G19" s="88"/>
      <c r="H19" s="87"/>
      <c r="I19" s="87"/>
      <c r="J19" s="87"/>
      <c r="K19" s="8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M19" s="17"/>
      <c r="AN19" s="17"/>
      <c r="AO19" s="17"/>
      <c r="AP19" s="17"/>
      <c r="AQ19" s="17"/>
    </row>
    <row r="20" spans="1:43" s="84" customFormat="1" ht="15" x14ac:dyDescent="0.35">
      <c r="A20" s="80"/>
      <c r="B20" s="81"/>
      <c r="C20" s="82"/>
      <c r="D20" s="82"/>
      <c r="E20" s="82"/>
      <c r="F20" s="82"/>
      <c r="G20" s="83"/>
      <c r="H20" s="82"/>
      <c r="I20" s="82"/>
      <c r="J20" s="82"/>
      <c r="K20" s="82"/>
      <c r="L20" s="76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76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76"/>
      <c r="AM20" s="82"/>
      <c r="AN20" s="82"/>
      <c r="AO20" s="82"/>
      <c r="AP20" s="82"/>
      <c r="AQ20" s="82"/>
    </row>
    <row r="21" spans="1:43" ht="15" x14ac:dyDescent="0.35">
      <c r="A21" s="85"/>
      <c r="B21" s="86"/>
      <c r="C21" s="87"/>
      <c r="D21" s="87"/>
      <c r="E21" s="87"/>
      <c r="F21" s="87"/>
      <c r="G21" s="88"/>
      <c r="H21" s="87"/>
      <c r="I21" s="87"/>
      <c r="J21" s="87"/>
      <c r="K21" s="8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M21" s="17"/>
      <c r="AN21" s="17"/>
      <c r="AO21" s="17"/>
      <c r="AP21" s="17"/>
      <c r="AQ21" s="17"/>
    </row>
    <row r="22" spans="1:43" s="84" customFormat="1" ht="15" x14ac:dyDescent="0.35">
      <c r="A22" s="80"/>
      <c r="B22" s="81"/>
      <c r="C22" s="82"/>
      <c r="D22" s="82"/>
      <c r="E22" s="82"/>
      <c r="F22" s="82"/>
      <c r="G22" s="83"/>
      <c r="H22" s="82"/>
      <c r="I22" s="82"/>
      <c r="J22" s="82"/>
      <c r="K22" s="82"/>
      <c r="L22" s="76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76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76"/>
      <c r="AM22" s="82"/>
      <c r="AN22" s="82"/>
      <c r="AO22" s="82"/>
      <c r="AP22" s="82"/>
      <c r="AQ22" s="82"/>
    </row>
    <row r="23" spans="1:43" ht="15" x14ac:dyDescent="0.35">
      <c r="A23" s="85"/>
      <c r="B23" s="86"/>
      <c r="C23" s="87"/>
      <c r="D23" s="87"/>
      <c r="E23" s="87"/>
      <c r="F23" s="87"/>
      <c r="G23" s="88"/>
      <c r="H23" s="87"/>
      <c r="I23" s="87"/>
      <c r="J23" s="87"/>
      <c r="K23" s="8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M23" s="17"/>
      <c r="AN23" s="17"/>
      <c r="AO23" s="17"/>
      <c r="AP23" s="17"/>
      <c r="AQ23" s="17"/>
    </row>
    <row r="24" spans="1:43" s="84" customFormat="1" ht="15" x14ac:dyDescent="0.35">
      <c r="A24" s="80"/>
      <c r="B24" s="81"/>
      <c r="C24" s="82"/>
      <c r="D24" s="82"/>
      <c r="E24" s="82"/>
      <c r="F24" s="82"/>
      <c r="G24" s="83"/>
      <c r="H24" s="82"/>
      <c r="I24" s="82"/>
      <c r="J24" s="82"/>
      <c r="K24" s="82"/>
      <c r="L24" s="76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76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76"/>
      <c r="AM24" s="82"/>
      <c r="AN24" s="82"/>
      <c r="AO24" s="82"/>
      <c r="AP24" s="82"/>
      <c r="AQ24" s="82"/>
    </row>
    <row r="25" spans="1:43" ht="15" x14ac:dyDescent="0.35">
      <c r="A25" s="85"/>
      <c r="B25" s="86"/>
      <c r="C25" s="87"/>
      <c r="D25" s="87"/>
      <c r="E25" s="87"/>
      <c r="F25" s="87"/>
      <c r="G25" s="88"/>
      <c r="H25" s="87"/>
      <c r="I25" s="87"/>
      <c r="J25" s="87"/>
      <c r="K25" s="8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M25" s="17"/>
      <c r="AN25" s="17"/>
      <c r="AO25" s="17"/>
      <c r="AP25" s="17"/>
      <c r="AQ25" s="17"/>
    </row>
    <row r="26" spans="1:43" s="84" customFormat="1" ht="15" x14ac:dyDescent="0.35">
      <c r="A26" s="80"/>
      <c r="B26" s="81"/>
      <c r="C26" s="82"/>
      <c r="D26" s="82"/>
      <c r="E26" s="82"/>
      <c r="F26" s="82"/>
      <c r="G26" s="83"/>
      <c r="H26" s="82"/>
      <c r="I26" s="82"/>
      <c r="J26" s="82"/>
      <c r="K26" s="82"/>
      <c r="L26" s="76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76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76"/>
      <c r="AM26" s="82"/>
      <c r="AN26" s="82"/>
      <c r="AO26" s="82"/>
      <c r="AP26" s="82"/>
      <c r="AQ26" s="82"/>
    </row>
    <row r="27" spans="1:43" ht="15" x14ac:dyDescent="0.35">
      <c r="A27" s="85"/>
      <c r="B27" s="86"/>
      <c r="C27" s="87"/>
      <c r="D27" s="87"/>
      <c r="E27" s="87"/>
      <c r="F27" s="87"/>
      <c r="G27" s="88"/>
      <c r="H27" s="87"/>
      <c r="I27" s="87"/>
      <c r="J27" s="87"/>
      <c r="K27" s="8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M27" s="17"/>
      <c r="AN27" s="17"/>
      <c r="AO27" s="17"/>
      <c r="AP27" s="17"/>
      <c r="AQ27" s="17"/>
    </row>
    <row r="28" spans="1:43" s="84" customFormat="1" ht="15" x14ac:dyDescent="0.35">
      <c r="A28" s="80"/>
      <c r="B28" s="81"/>
      <c r="C28" s="82"/>
      <c r="D28" s="82"/>
      <c r="E28" s="82"/>
      <c r="F28" s="82"/>
      <c r="G28" s="83"/>
      <c r="H28" s="82"/>
      <c r="I28" s="82"/>
      <c r="J28" s="82"/>
      <c r="K28" s="82"/>
      <c r="L28" s="76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76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76"/>
      <c r="AM28" s="82"/>
      <c r="AN28" s="82"/>
      <c r="AO28" s="82"/>
      <c r="AP28" s="82"/>
      <c r="AQ28" s="82"/>
    </row>
    <row r="29" spans="1:43" ht="15" x14ac:dyDescent="0.35">
      <c r="A29" s="85"/>
      <c r="B29" s="86"/>
      <c r="C29" s="87"/>
      <c r="D29" s="87"/>
      <c r="E29" s="87"/>
      <c r="F29" s="87"/>
      <c r="G29" s="88"/>
      <c r="H29" s="87"/>
      <c r="I29" s="87"/>
      <c r="J29" s="87"/>
      <c r="K29" s="8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M29" s="17"/>
      <c r="AN29" s="17"/>
      <c r="AO29" s="17"/>
      <c r="AP29" s="17"/>
      <c r="AQ29" s="17"/>
    </row>
    <row r="30" spans="1:43" s="84" customFormat="1" ht="15" x14ac:dyDescent="0.35">
      <c r="A30" s="80"/>
      <c r="B30" s="81"/>
      <c r="C30" s="82"/>
      <c r="D30" s="82"/>
      <c r="E30" s="82"/>
      <c r="F30" s="82"/>
      <c r="G30" s="83"/>
      <c r="H30" s="82"/>
      <c r="I30" s="82"/>
      <c r="J30" s="82"/>
      <c r="K30" s="82"/>
      <c r="L30" s="76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76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76"/>
      <c r="AM30" s="82"/>
      <c r="AN30" s="82"/>
      <c r="AO30" s="82"/>
      <c r="AP30" s="82"/>
      <c r="AQ30" s="82"/>
    </row>
    <row r="31" spans="1:43" ht="15" x14ac:dyDescent="0.35">
      <c r="A31" s="85"/>
      <c r="B31" s="86"/>
      <c r="C31" s="87"/>
      <c r="D31" s="87"/>
      <c r="E31" s="87"/>
      <c r="F31" s="87"/>
      <c r="G31" s="88"/>
      <c r="H31" s="87"/>
      <c r="I31" s="87"/>
      <c r="J31" s="87"/>
      <c r="K31" s="8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M31" s="17"/>
      <c r="AN31" s="17"/>
      <c r="AO31" s="17"/>
      <c r="AP31" s="17"/>
      <c r="AQ31" s="17"/>
    </row>
    <row r="32" spans="1:43" s="84" customFormat="1" ht="15" x14ac:dyDescent="0.35">
      <c r="A32" s="80"/>
      <c r="B32" s="81"/>
      <c r="C32" s="82"/>
      <c r="D32" s="82"/>
      <c r="E32" s="82"/>
      <c r="F32" s="82"/>
      <c r="G32" s="83"/>
      <c r="H32" s="82"/>
      <c r="I32" s="82"/>
      <c r="J32" s="82"/>
      <c r="K32" s="82"/>
      <c r="L32" s="76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76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76"/>
      <c r="AM32" s="82"/>
      <c r="AN32" s="82"/>
      <c r="AO32" s="82"/>
      <c r="AP32" s="82"/>
      <c r="AQ32" s="82"/>
    </row>
    <row r="33" spans="1:43" ht="15" x14ac:dyDescent="0.35">
      <c r="A33" s="85"/>
      <c r="B33" s="86"/>
      <c r="C33" s="87"/>
      <c r="D33" s="87"/>
      <c r="E33" s="87"/>
      <c r="F33" s="87"/>
      <c r="G33" s="88"/>
      <c r="H33" s="87"/>
      <c r="I33" s="87"/>
      <c r="J33" s="87"/>
      <c r="K33" s="8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M33" s="17"/>
      <c r="AN33" s="17"/>
      <c r="AO33" s="17"/>
      <c r="AP33" s="17"/>
      <c r="AQ33" s="17"/>
    </row>
    <row r="34" spans="1:43" s="84" customFormat="1" ht="15" x14ac:dyDescent="0.35">
      <c r="A34" s="80"/>
      <c r="B34" s="81"/>
      <c r="C34" s="82"/>
      <c r="D34" s="82"/>
      <c r="E34" s="82"/>
      <c r="F34" s="82"/>
      <c r="G34" s="83"/>
      <c r="H34" s="82"/>
      <c r="I34" s="82"/>
      <c r="J34" s="82"/>
      <c r="K34" s="82"/>
      <c r="L34" s="76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76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76"/>
      <c r="AM34" s="82"/>
      <c r="AN34" s="82"/>
      <c r="AO34" s="82"/>
      <c r="AP34" s="82"/>
      <c r="AQ34" s="82"/>
    </row>
    <row r="35" spans="1:43" ht="15" x14ac:dyDescent="0.35">
      <c r="A35" s="85"/>
      <c r="B35" s="86"/>
      <c r="C35" s="87"/>
      <c r="D35" s="87"/>
      <c r="E35" s="87"/>
      <c r="F35" s="87"/>
      <c r="G35" s="88"/>
      <c r="H35" s="87"/>
      <c r="I35" s="87"/>
      <c r="J35" s="87"/>
      <c r="K35" s="8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M35" s="17"/>
      <c r="AN35" s="17"/>
      <c r="AO35" s="17"/>
      <c r="AP35" s="17"/>
      <c r="AQ35" s="17"/>
    </row>
    <row r="36" spans="1:43" s="84" customFormat="1" ht="15" x14ac:dyDescent="0.35">
      <c r="A36" s="80"/>
      <c r="B36" s="81"/>
      <c r="C36" s="82"/>
      <c r="D36" s="82"/>
      <c r="E36" s="82"/>
      <c r="F36" s="82"/>
      <c r="G36" s="83"/>
      <c r="H36" s="82"/>
      <c r="I36" s="82"/>
      <c r="J36" s="82"/>
      <c r="K36" s="82"/>
      <c r="L36" s="76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76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76"/>
      <c r="AM36" s="82"/>
      <c r="AN36" s="82"/>
      <c r="AO36" s="82"/>
      <c r="AP36" s="82"/>
      <c r="AQ36" s="82"/>
    </row>
    <row r="37" spans="1:43" ht="15" x14ac:dyDescent="0.35">
      <c r="A37" s="85"/>
      <c r="B37" s="86"/>
      <c r="C37" s="87"/>
      <c r="D37" s="87"/>
      <c r="E37" s="87"/>
      <c r="F37" s="87"/>
      <c r="G37" s="88"/>
      <c r="H37" s="87"/>
      <c r="I37" s="87"/>
      <c r="J37" s="87"/>
      <c r="K37" s="8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M37" s="17"/>
      <c r="AN37" s="17"/>
      <c r="AO37" s="17"/>
      <c r="AP37" s="17"/>
      <c r="AQ37" s="17"/>
    </row>
    <row r="38" spans="1:43" s="84" customFormat="1" ht="15" x14ac:dyDescent="0.35">
      <c r="A38" s="80"/>
      <c r="B38" s="81"/>
      <c r="C38" s="82"/>
      <c r="D38" s="82"/>
      <c r="E38" s="82"/>
      <c r="F38" s="82"/>
      <c r="G38" s="83"/>
      <c r="H38" s="82"/>
      <c r="I38" s="82"/>
      <c r="J38" s="82"/>
      <c r="K38" s="82"/>
      <c r="L38" s="76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76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76"/>
      <c r="AM38" s="82"/>
      <c r="AN38" s="82"/>
      <c r="AO38" s="82"/>
      <c r="AP38" s="82"/>
      <c r="AQ38" s="82"/>
    </row>
    <row r="39" spans="1:43" ht="15" x14ac:dyDescent="0.35">
      <c r="A39" s="85"/>
      <c r="B39" s="86"/>
      <c r="C39" s="87"/>
      <c r="D39" s="87"/>
      <c r="E39" s="87"/>
      <c r="F39" s="87"/>
      <c r="G39" s="88"/>
      <c r="H39" s="87"/>
      <c r="I39" s="87"/>
      <c r="J39" s="87"/>
      <c r="K39" s="8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M39" s="17"/>
      <c r="AN39" s="17"/>
      <c r="AO39" s="17"/>
      <c r="AP39" s="17"/>
      <c r="AQ39" s="17"/>
    </row>
    <row r="40" spans="1:43" s="84" customFormat="1" ht="15" x14ac:dyDescent="0.35">
      <c r="A40" s="80"/>
      <c r="B40" s="81"/>
      <c r="C40" s="82"/>
      <c r="D40" s="82"/>
      <c r="E40" s="82"/>
      <c r="F40" s="82"/>
      <c r="G40" s="83"/>
      <c r="H40" s="82"/>
      <c r="I40" s="82"/>
      <c r="J40" s="82"/>
      <c r="K40" s="82"/>
      <c r="L40" s="76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76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76"/>
      <c r="AM40" s="82"/>
      <c r="AN40" s="82"/>
      <c r="AO40" s="82"/>
      <c r="AP40" s="82"/>
      <c r="AQ40" s="82"/>
    </row>
    <row r="41" spans="1:43" ht="15" x14ac:dyDescent="0.35">
      <c r="A41" s="85"/>
      <c r="B41" s="86"/>
      <c r="C41" s="87"/>
      <c r="D41" s="87"/>
      <c r="E41" s="87"/>
      <c r="F41" s="87"/>
      <c r="G41" s="88"/>
      <c r="H41" s="87"/>
      <c r="I41" s="87"/>
      <c r="J41" s="87"/>
      <c r="K41" s="8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M41" s="17"/>
      <c r="AN41" s="17"/>
      <c r="AO41" s="17"/>
      <c r="AP41" s="17"/>
      <c r="AQ41" s="17"/>
    </row>
    <row r="42" spans="1:43" s="84" customFormat="1" ht="15" x14ac:dyDescent="0.35">
      <c r="A42" s="80"/>
      <c r="B42" s="81"/>
      <c r="C42" s="82"/>
      <c r="D42" s="82"/>
      <c r="E42" s="82"/>
      <c r="F42" s="82"/>
      <c r="G42" s="83"/>
      <c r="H42" s="82"/>
      <c r="I42" s="82"/>
      <c r="J42" s="82"/>
      <c r="K42" s="82"/>
      <c r="L42" s="76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76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76"/>
      <c r="AM42" s="82"/>
      <c r="AN42" s="82"/>
      <c r="AO42" s="82"/>
      <c r="AP42" s="82"/>
      <c r="AQ42" s="82"/>
    </row>
    <row r="43" spans="1:43" ht="15" x14ac:dyDescent="0.35">
      <c r="A43" s="85"/>
      <c r="B43" s="86"/>
      <c r="C43" s="87"/>
      <c r="D43" s="87"/>
      <c r="E43" s="87"/>
      <c r="F43" s="87"/>
      <c r="G43" s="88"/>
      <c r="H43" s="87"/>
      <c r="I43" s="87"/>
      <c r="J43" s="87"/>
      <c r="K43" s="8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M43" s="17"/>
      <c r="AN43" s="17"/>
      <c r="AO43" s="17"/>
      <c r="AP43" s="17"/>
      <c r="AQ43" s="17"/>
    </row>
    <row r="44" spans="1:43" s="84" customFormat="1" ht="15" x14ac:dyDescent="0.35">
      <c r="A44" s="80"/>
      <c r="B44" s="81"/>
      <c r="C44" s="82"/>
      <c r="D44" s="82"/>
      <c r="E44" s="82"/>
      <c r="F44" s="82"/>
      <c r="G44" s="83"/>
      <c r="H44" s="82"/>
      <c r="I44" s="82"/>
      <c r="J44" s="82"/>
      <c r="K44" s="82"/>
      <c r="L44" s="76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76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76"/>
      <c r="AM44" s="82"/>
      <c r="AN44" s="82"/>
      <c r="AO44" s="82"/>
      <c r="AP44" s="82"/>
      <c r="AQ44" s="82"/>
    </row>
    <row r="45" spans="1:43" ht="15" x14ac:dyDescent="0.35">
      <c r="A45" s="85"/>
      <c r="B45" s="86"/>
      <c r="C45" s="87"/>
      <c r="D45" s="87"/>
      <c r="E45" s="87"/>
      <c r="F45" s="87"/>
      <c r="G45" s="88"/>
      <c r="H45" s="87"/>
      <c r="I45" s="87"/>
      <c r="J45" s="87"/>
      <c r="K45" s="8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M45" s="17"/>
      <c r="AN45" s="17"/>
      <c r="AO45" s="17"/>
      <c r="AP45" s="17"/>
      <c r="AQ45" s="17"/>
    </row>
    <row r="46" spans="1:43" s="84" customFormat="1" ht="15" x14ac:dyDescent="0.35">
      <c r="A46" s="80"/>
      <c r="B46" s="81"/>
      <c r="C46" s="82"/>
      <c r="D46" s="82"/>
      <c r="E46" s="82"/>
      <c r="F46" s="82"/>
      <c r="G46" s="83"/>
      <c r="H46" s="82"/>
      <c r="I46" s="82"/>
      <c r="J46" s="82"/>
      <c r="K46" s="82"/>
      <c r="L46" s="76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76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76"/>
      <c r="AM46" s="82"/>
      <c r="AN46" s="82"/>
      <c r="AO46" s="82"/>
      <c r="AP46" s="82"/>
      <c r="AQ46" s="82"/>
    </row>
    <row r="47" spans="1:43" ht="15" x14ac:dyDescent="0.35">
      <c r="A47" s="85"/>
      <c r="B47" s="86"/>
      <c r="C47" s="87"/>
      <c r="D47" s="87"/>
      <c r="E47" s="87"/>
      <c r="F47" s="87"/>
      <c r="G47" s="88"/>
      <c r="H47" s="87"/>
      <c r="I47" s="87"/>
      <c r="J47" s="87"/>
      <c r="K47" s="8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M47" s="17"/>
      <c r="AN47" s="17"/>
      <c r="AO47" s="17"/>
      <c r="AP47" s="17"/>
      <c r="AQ47" s="17"/>
    </row>
    <row r="48" spans="1:43" s="84" customFormat="1" ht="15" x14ac:dyDescent="0.35">
      <c r="A48" s="80"/>
      <c r="B48" s="81"/>
      <c r="C48" s="82"/>
      <c r="D48" s="82"/>
      <c r="E48" s="82"/>
      <c r="F48" s="82"/>
      <c r="G48" s="83"/>
      <c r="H48" s="82"/>
      <c r="I48" s="82"/>
      <c r="J48" s="82"/>
      <c r="K48" s="82"/>
      <c r="L48" s="76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76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76"/>
      <c r="AM48" s="82"/>
      <c r="AN48" s="82"/>
      <c r="AO48" s="82"/>
      <c r="AP48" s="82"/>
      <c r="AQ48" s="82"/>
    </row>
    <row r="49" spans="1:43" ht="15" x14ac:dyDescent="0.35">
      <c r="A49" s="85"/>
      <c r="B49" s="86"/>
      <c r="C49" s="87"/>
      <c r="D49" s="87"/>
      <c r="E49" s="87"/>
      <c r="F49" s="87"/>
      <c r="G49" s="88"/>
      <c r="H49" s="87"/>
      <c r="I49" s="87"/>
      <c r="J49" s="87"/>
      <c r="K49" s="8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M49" s="17"/>
      <c r="AN49" s="17"/>
      <c r="AO49" s="17"/>
      <c r="AP49" s="17"/>
      <c r="AQ49" s="17"/>
    </row>
    <row r="50" spans="1:43" s="84" customFormat="1" ht="15" x14ac:dyDescent="0.35">
      <c r="A50" s="80"/>
      <c r="B50" s="81"/>
      <c r="C50" s="82"/>
      <c r="D50" s="82"/>
      <c r="E50" s="82"/>
      <c r="F50" s="82"/>
      <c r="G50" s="83"/>
      <c r="H50" s="82"/>
      <c r="I50" s="82"/>
      <c r="J50" s="82"/>
      <c r="K50" s="82"/>
      <c r="L50" s="76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76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76"/>
      <c r="AM50" s="82"/>
      <c r="AN50" s="82"/>
      <c r="AO50" s="82"/>
      <c r="AP50" s="82"/>
      <c r="AQ50" s="82"/>
    </row>
    <row r="51" spans="1:43" ht="15" x14ac:dyDescent="0.35">
      <c r="A51" s="85"/>
      <c r="B51" s="86"/>
      <c r="C51" s="87"/>
      <c r="D51" s="87"/>
      <c r="E51" s="87"/>
      <c r="F51" s="87"/>
      <c r="G51" s="88"/>
      <c r="H51" s="87"/>
      <c r="I51" s="87"/>
      <c r="J51" s="87"/>
      <c r="K51" s="8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M51" s="17"/>
      <c r="AN51" s="17"/>
      <c r="AO51" s="17"/>
      <c r="AP51" s="17"/>
      <c r="AQ51" s="17"/>
    </row>
    <row r="52" spans="1:43" s="84" customFormat="1" ht="15" x14ac:dyDescent="0.35">
      <c r="A52" s="80"/>
      <c r="B52" s="81"/>
      <c r="C52" s="82"/>
      <c r="D52" s="82"/>
      <c r="E52" s="82"/>
      <c r="F52" s="82"/>
      <c r="G52" s="83"/>
      <c r="H52" s="82"/>
      <c r="I52" s="82"/>
      <c r="J52" s="82"/>
      <c r="K52" s="82"/>
      <c r="L52" s="76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76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76"/>
      <c r="AM52" s="82"/>
      <c r="AN52" s="82"/>
      <c r="AO52" s="82"/>
      <c r="AP52" s="82"/>
      <c r="AQ52" s="82"/>
    </row>
    <row r="53" spans="1:43" ht="15" x14ac:dyDescent="0.35">
      <c r="A53" s="85"/>
      <c r="B53" s="86"/>
      <c r="C53" s="87"/>
      <c r="D53" s="87"/>
      <c r="E53" s="87"/>
      <c r="F53" s="87"/>
      <c r="G53" s="88"/>
      <c r="H53" s="87"/>
      <c r="I53" s="87"/>
      <c r="J53" s="87"/>
      <c r="K53" s="8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M53" s="17"/>
      <c r="AN53" s="17"/>
      <c r="AO53" s="17"/>
      <c r="AP53" s="17"/>
      <c r="AQ53" s="17"/>
    </row>
    <row r="54" spans="1:43" s="84" customFormat="1" ht="15" x14ac:dyDescent="0.35">
      <c r="A54" s="80"/>
      <c r="B54" s="81"/>
      <c r="C54" s="82"/>
      <c r="D54" s="82"/>
      <c r="E54" s="82"/>
      <c r="F54" s="82"/>
      <c r="G54" s="83"/>
      <c r="H54" s="82"/>
      <c r="I54" s="82"/>
      <c r="J54" s="82"/>
      <c r="K54" s="82"/>
      <c r="L54" s="76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76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76"/>
      <c r="AM54" s="82"/>
      <c r="AN54" s="82"/>
      <c r="AO54" s="82"/>
      <c r="AP54" s="82"/>
      <c r="AQ54" s="82"/>
    </row>
    <row r="55" spans="1:43" ht="15" x14ac:dyDescent="0.35">
      <c r="A55" s="85"/>
      <c r="B55" s="86"/>
      <c r="C55" s="87"/>
      <c r="D55" s="87"/>
      <c r="E55" s="87"/>
      <c r="F55" s="87"/>
      <c r="G55" s="88"/>
      <c r="H55" s="87"/>
      <c r="I55" s="87"/>
      <c r="J55" s="87"/>
      <c r="K55" s="8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M55" s="17"/>
      <c r="AN55" s="17"/>
      <c r="AO55" s="17"/>
      <c r="AP55" s="17"/>
      <c r="AQ55" s="17"/>
    </row>
    <row r="56" spans="1:43" s="84" customFormat="1" ht="15" x14ac:dyDescent="0.35">
      <c r="A56" s="80"/>
      <c r="B56" s="81"/>
      <c r="C56" s="82"/>
      <c r="D56" s="82"/>
      <c r="E56" s="82"/>
      <c r="F56" s="82"/>
      <c r="G56" s="83"/>
      <c r="H56" s="82"/>
      <c r="I56" s="82"/>
      <c r="J56" s="82"/>
      <c r="K56" s="82"/>
      <c r="L56" s="76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76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76"/>
      <c r="AM56" s="82"/>
      <c r="AN56" s="82"/>
      <c r="AO56" s="82"/>
      <c r="AP56" s="82"/>
      <c r="AQ56" s="82"/>
    </row>
    <row r="57" spans="1:43" ht="15" x14ac:dyDescent="0.35">
      <c r="A57" s="85"/>
      <c r="B57" s="86"/>
      <c r="C57" s="87"/>
      <c r="D57" s="87"/>
      <c r="E57" s="87"/>
      <c r="F57" s="87"/>
      <c r="G57" s="88"/>
      <c r="H57" s="87"/>
      <c r="I57" s="87"/>
      <c r="J57" s="87"/>
      <c r="K57" s="8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M57" s="17"/>
      <c r="AN57" s="17"/>
      <c r="AO57" s="17"/>
      <c r="AP57" s="17"/>
      <c r="AQ57" s="17"/>
    </row>
    <row r="58" spans="1:43" s="84" customFormat="1" ht="15" x14ac:dyDescent="0.35">
      <c r="A58" s="80"/>
      <c r="B58" s="81"/>
      <c r="C58" s="82"/>
      <c r="D58" s="82"/>
      <c r="E58" s="82"/>
      <c r="F58" s="82"/>
      <c r="G58" s="83"/>
      <c r="H58" s="82"/>
      <c r="I58" s="82"/>
      <c r="J58" s="82"/>
      <c r="K58" s="82"/>
      <c r="L58" s="76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76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76"/>
      <c r="AM58" s="82"/>
      <c r="AN58" s="82"/>
      <c r="AO58" s="82"/>
      <c r="AP58" s="82"/>
      <c r="AQ58" s="82"/>
    </row>
    <row r="59" spans="1:43" ht="15" x14ac:dyDescent="0.35">
      <c r="A59" s="85"/>
      <c r="B59" s="86"/>
      <c r="C59" s="87"/>
      <c r="D59" s="87"/>
      <c r="E59" s="87"/>
      <c r="F59" s="87"/>
      <c r="G59" s="88"/>
      <c r="H59" s="87"/>
      <c r="I59" s="87"/>
      <c r="J59" s="87"/>
      <c r="K59" s="8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M59" s="17"/>
      <c r="AN59" s="17"/>
      <c r="AO59" s="17"/>
      <c r="AP59" s="17"/>
      <c r="AQ59" s="17"/>
    </row>
    <row r="60" spans="1:43" s="84" customFormat="1" ht="15" x14ac:dyDescent="0.35">
      <c r="A60" s="80"/>
      <c r="B60" s="81"/>
      <c r="C60" s="82"/>
      <c r="D60" s="82"/>
      <c r="E60" s="82"/>
      <c r="F60" s="82"/>
      <c r="G60" s="83"/>
      <c r="H60" s="82"/>
      <c r="I60" s="82"/>
      <c r="J60" s="82"/>
      <c r="K60" s="82"/>
      <c r="L60" s="76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76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76"/>
      <c r="AM60" s="82"/>
      <c r="AN60" s="82"/>
      <c r="AO60" s="82"/>
      <c r="AP60" s="82"/>
      <c r="AQ60" s="82"/>
    </row>
    <row r="61" spans="1:43" ht="15" x14ac:dyDescent="0.35">
      <c r="A61" s="85"/>
      <c r="B61" s="86"/>
      <c r="C61" s="87"/>
      <c r="D61" s="87"/>
      <c r="E61" s="87"/>
      <c r="F61" s="87"/>
      <c r="G61" s="88"/>
      <c r="H61" s="87"/>
      <c r="I61" s="87"/>
      <c r="J61" s="87"/>
      <c r="K61" s="8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M61" s="17"/>
      <c r="AN61" s="17"/>
      <c r="AO61" s="17"/>
      <c r="AP61" s="17"/>
      <c r="AQ61" s="17"/>
    </row>
    <row r="62" spans="1:43" s="84" customFormat="1" ht="15" x14ac:dyDescent="0.35">
      <c r="A62" s="80"/>
      <c r="B62" s="81"/>
      <c r="C62" s="82"/>
      <c r="D62" s="82"/>
      <c r="E62" s="82"/>
      <c r="F62" s="82"/>
      <c r="G62" s="83"/>
      <c r="H62" s="82"/>
      <c r="I62" s="82"/>
      <c r="J62" s="82"/>
      <c r="K62" s="82"/>
      <c r="L62" s="76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76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76"/>
      <c r="AM62" s="82"/>
      <c r="AN62" s="82"/>
      <c r="AO62" s="82"/>
      <c r="AP62" s="82"/>
      <c r="AQ62" s="82"/>
    </row>
    <row r="63" spans="1:43" ht="15" x14ac:dyDescent="0.35">
      <c r="A63" s="85"/>
      <c r="B63" s="86"/>
      <c r="C63" s="87"/>
      <c r="D63" s="87"/>
      <c r="E63" s="87"/>
      <c r="F63" s="87"/>
      <c r="G63" s="88"/>
      <c r="H63" s="87"/>
      <c r="I63" s="87"/>
      <c r="J63" s="87"/>
      <c r="K63" s="8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M63" s="17"/>
      <c r="AN63" s="17"/>
      <c r="AO63" s="17"/>
      <c r="AP63" s="17"/>
      <c r="AQ63" s="17"/>
    </row>
    <row r="64" spans="1:43" s="84" customFormat="1" ht="15" x14ac:dyDescent="0.35">
      <c r="A64" s="80"/>
      <c r="B64" s="81"/>
      <c r="C64" s="82"/>
      <c r="D64" s="82"/>
      <c r="E64" s="82"/>
      <c r="F64" s="82"/>
      <c r="G64" s="83"/>
      <c r="H64" s="82"/>
      <c r="I64" s="82"/>
      <c r="J64" s="82"/>
      <c r="K64" s="82"/>
      <c r="L64" s="76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76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76"/>
      <c r="AM64" s="82"/>
      <c r="AN64" s="82"/>
      <c r="AO64" s="82"/>
      <c r="AP64" s="82"/>
      <c r="AQ64" s="82"/>
    </row>
    <row r="65" spans="1:43" ht="15" x14ac:dyDescent="0.35">
      <c r="A65" s="85"/>
      <c r="B65" s="86"/>
      <c r="C65" s="87"/>
      <c r="D65" s="87"/>
      <c r="E65" s="87"/>
      <c r="F65" s="87"/>
      <c r="G65" s="88"/>
      <c r="H65" s="87"/>
      <c r="I65" s="87"/>
      <c r="J65" s="87"/>
      <c r="K65" s="8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M65" s="17"/>
      <c r="AN65" s="17"/>
      <c r="AO65" s="17"/>
      <c r="AP65" s="17"/>
      <c r="AQ65" s="17"/>
    </row>
    <row r="66" spans="1:43" s="84" customFormat="1" ht="15" x14ac:dyDescent="0.35">
      <c r="A66" s="80"/>
      <c r="B66" s="81"/>
      <c r="C66" s="82"/>
      <c r="D66" s="82"/>
      <c r="E66" s="82"/>
      <c r="F66" s="82"/>
      <c r="G66" s="83"/>
      <c r="H66" s="82"/>
      <c r="I66" s="82"/>
      <c r="J66" s="82"/>
      <c r="K66" s="82"/>
      <c r="L66" s="76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76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76"/>
      <c r="AM66" s="82"/>
      <c r="AN66" s="82"/>
      <c r="AO66" s="82"/>
      <c r="AP66" s="82"/>
      <c r="AQ66" s="82"/>
    </row>
    <row r="67" spans="1:43" ht="15" x14ac:dyDescent="0.35">
      <c r="A67" s="85"/>
      <c r="B67" s="86"/>
      <c r="C67" s="87"/>
      <c r="D67" s="87"/>
      <c r="E67" s="87"/>
      <c r="F67" s="87"/>
      <c r="G67" s="88"/>
      <c r="H67" s="87"/>
      <c r="I67" s="87"/>
      <c r="J67" s="87"/>
      <c r="K67" s="8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M67" s="17"/>
      <c r="AN67" s="17"/>
      <c r="AO67" s="17"/>
      <c r="AP67" s="17"/>
      <c r="AQ67" s="17"/>
    </row>
    <row r="68" spans="1:43" s="84" customFormat="1" ht="15" x14ac:dyDescent="0.35">
      <c r="A68" s="80"/>
      <c r="B68" s="81"/>
      <c r="C68" s="82"/>
      <c r="D68" s="82"/>
      <c r="E68" s="82"/>
      <c r="F68" s="82"/>
      <c r="G68" s="83"/>
      <c r="H68" s="82"/>
      <c r="I68" s="82"/>
      <c r="J68" s="82"/>
      <c r="K68" s="82"/>
      <c r="L68" s="76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76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76"/>
      <c r="AM68" s="82"/>
      <c r="AN68" s="82"/>
      <c r="AO68" s="82"/>
      <c r="AP68" s="82"/>
      <c r="AQ68" s="82"/>
    </row>
    <row r="69" spans="1:43" ht="15" x14ac:dyDescent="0.35">
      <c r="A69" s="85"/>
      <c r="B69" s="86"/>
      <c r="C69" s="87"/>
      <c r="D69" s="87"/>
      <c r="E69" s="87"/>
      <c r="F69" s="87"/>
      <c r="G69" s="88"/>
      <c r="H69" s="87"/>
      <c r="I69" s="87"/>
      <c r="J69" s="87"/>
      <c r="K69" s="8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M69" s="17"/>
      <c r="AN69" s="17"/>
      <c r="AO69" s="17"/>
      <c r="AP69" s="17"/>
      <c r="AQ69" s="17"/>
    </row>
    <row r="70" spans="1:43" s="84" customFormat="1" ht="15" x14ac:dyDescent="0.35">
      <c r="A70" s="80"/>
      <c r="B70" s="81"/>
      <c r="C70" s="82"/>
      <c r="D70" s="82"/>
      <c r="E70" s="82"/>
      <c r="F70" s="82"/>
      <c r="G70" s="83"/>
      <c r="H70" s="82"/>
      <c r="I70" s="82"/>
      <c r="J70" s="82"/>
      <c r="K70" s="82"/>
      <c r="L70" s="76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76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76"/>
      <c r="AM70" s="82"/>
      <c r="AN70" s="82"/>
      <c r="AO70" s="82"/>
      <c r="AP70" s="82"/>
      <c r="AQ70" s="82"/>
    </row>
    <row r="71" spans="1:43" ht="15" x14ac:dyDescent="0.35">
      <c r="A71" s="85"/>
      <c r="B71" s="86"/>
      <c r="C71" s="87"/>
      <c r="D71" s="87"/>
      <c r="E71" s="87"/>
      <c r="F71" s="87"/>
      <c r="G71" s="88"/>
      <c r="H71" s="87"/>
      <c r="I71" s="87"/>
      <c r="J71" s="87"/>
      <c r="K71" s="8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M71" s="17"/>
      <c r="AN71" s="17"/>
      <c r="AO71" s="17"/>
      <c r="AP71" s="17"/>
      <c r="AQ71" s="17"/>
    </row>
    <row r="72" spans="1:43" s="84" customFormat="1" ht="15" x14ac:dyDescent="0.35">
      <c r="A72" s="80"/>
      <c r="B72" s="81"/>
      <c r="C72" s="82"/>
      <c r="D72" s="82"/>
      <c r="E72" s="82"/>
      <c r="F72" s="82"/>
      <c r="G72" s="83"/>
      <c r="H72" s="82"/>
      <c r="I72" s="82"/>
      <c r="J72" s="82"/>
      <c r="K72" s="82"/>
      <c r="L72" s="76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76"/>
      <c r="Z72" s="82"/>
      <c r="AA72" s="82"/>
      <c r="AB72" s="82"/>
      <c r="AC72" s="82"/>
      <c r="AD72" s="82"/>
      <c r="AE72" s="82"/>
      <c r="AF72" s="82"/>
      <c r="AG72" s="82"/>
      <c r="AH72" s="82"/>
      <c r="AI72" s="82"/>
      <c r="AJ72" s="82"/>
      <c r="AK72" s="82"/>
      <c r="AL72" s="76"/>
      <c r="AM72" s="82"/>
      <c r="AN72" s="82"/>
      <c r="AO72" s="82"/>
      <c r="AP72" s="82"/>
      <c r="AQ72" s="82"/>
    </row>
    <row r="73" spans="1:43" ht="15" x14ac:dyDescent="0.35">
      <c r="A73" s="85"/>
      <c r="B73" s="86"/>
      <c r="C73" s="87"/>
      <c r="D73" s="87"/>
      <c r="E73" s="87"/>
      <c r="F73" s="87"/>
      <c r="G73" s="88"/>
      <c r="H73" s="87"/>
      <c r="I73" s="87"/>
      <c r="J73" s="87"/>
      <c r="K73" s="8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M73" s="17"/>
      <c r="AN73" s="17"/>
      <c r="AO73" s="17"/>
      <c r="AP73" s="17"/>
      <c r="AQ73" s="17"/>
    </row>
    <row r="74" spans="1:43" s="84" customFormat="1" ht="15" x14ac:dyDescent="0.35">
      <c r="A74" s="80"/>
      <c r="B74" s="81"/>
      <c r="C74" s="82"/>
      <c r="D74" s="82"/>
      <c r="E74" s="82"/>
      <c r="F74" s="82"/>
      <c r="G74" s="83"/>
      <c r="H74" s="82"/>
      <c r="I74" s="82"/>
      <c r="J74" s="82"/>
      <c r="K74" s="82"/>
      <c r="L74" s="76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76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76"/>
      <c r="AM74" s="82"/>
      <c r="AN74" s="82"/>
      <c r="AO74" s="82"/>
      <c r="AP74" s="82"/>
      <c r="AQ74" s="82"/>
    </row>
    <row r="75" spans="1:43" ht="15" x14ac:dyDescent="0.35">
      <c r="A75" s="85"/>
      <c r="B75" s="86"/>
      <c r="C75" s="87"/>
      <c r="D75" s="87"/>
      <c r="E75" s="87"/>
      <c r="F75" s="87"/>
      <c r="G75" s="88"/>
      <c r="H75" s="87"/>
      <c r="I75" s="87"/>
      <c r="J75" s="87"/>
      <c r="K75" s="8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M75" s="17"/>
      <c r="AN75" s="17"/>
      <c r="AO75" s="17"/>
      <c r="AP75" s="17"/>
      <c r="AQ75" s="17"/>
    </row>
    <row r="76" spans="1:43" s="84" customFormat="1" ht="15" x14ac:dyDescent="0.35">
      <c r="A76" s="80"/>
      <c r="B76" s="81"/>
      <c r="C76" s="82"/>
      <c r="D76" s="82"/>
      <c r="E76" s="82"/>
      <c r="F76" s="82"/>
      <c r="G76" s="83"/>
      <c r="H76" s="82"/>
      <c r="I76" s="82"/>
      <c r="J76" s="82"/>
      <c r="K76" s="82"/>
      <c r="L76" s="76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76"/>
      <c r="Z76" s="82"/>
      <c r="AA76" s="8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76"/>
      <c r="AM76" s="82"/>
      <c r="AN76" s="82"/>
      <c r="AO76" s="82"/>
      <c r="AP76" s="82"/>
      <c r="AQ76" s="82"/>
    </row>
    <row r="77" spans="1:43" ht="15" x14ac:dyDescent="0.35">
      <c r="A77" s="85"/>
      <c r="B77" s="86"/>
      <c r="C77" s="87"/>
      <c r="D77" s="87"/>
      <c r="E77" s="87"/>
      <c r="F77" s="87"/>
      <c r="G77" s="88"/>
      <c r="H77" s="87"/>
      <c r="I77" s="87"/>
      <c r="J77" s="87"/>
      <c r="K77" s="8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M77" s="17"/>
      <c r="AN77" s="17"/>
      <c r="AO77" s="17"/>
      <c r="AP77" s="17"/>
      <c r="AQ77" s="17"/>
    </row>
    <row r="78" spans="1:43" s="84" customFormat="1" ht="15" x14ac:dyDescent="0.35">
      <c r="A78" s="80"/>
      <c r="B78" s="81"/>
      <c r="C78" s="82"/>
      <c r="D78" s="82"/>
      <c r="E78" s="82"/>
      <c r="F78" s="82"/>
      <c r="G78" s="83"/>
      <c r="H78" s="82"/>
      <c r="I78" s="82"/>
      <c r="J78" s="82"/>
      <c r="K78" s="82"/>
      <c r="L78" s="76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76"/>
      <c r="Z78" s="82"/>
      <c r="AA78" s="8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76"/>
      <c r="AM78" s="82"/>
      <c r="AN78" s="82"/>
      <c r="AO78" s="82"/>
      <c r="AP78" s="82"/>
      <c r="AQ78" s="82"/>
    </row>
    <row r="79" spans="1:43" ht="15" x14ac:dyDescent="0.35">
      <c r="A79" s="85"/>
      <c r="B79" s="86"/>
      <c r="C79" s="87"/>
      <c r="D79" s="87"/>
      <c r="E79" s="87"/>
      <c r="F79" s="87"/>
      <c r="G79" s="88"/>
      <c r="H79" s="87"/>
      <c r="I79" s="87"/>
      <c r="J79" s="87"/>
      <c r="K79" s="8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M79" s="17"/>
      <c r="AN79" s="17"/>
      <c r="AO79" s="17"/>
      <c r="AP79" s="17"/>
      <c r="AQ79" s="17"/>
    </row>
    <row r="80" spans="1:43" s="84" customFormat="1" ht="15" x14ac:dyDescent="0.35">
      <c r="A80" s="80"/>
      <c r="B80" s="81"/>
      <c r="C80" s="82"/>
      <c r="D80" s="82"/>
      <c r="E80" s="82"/>
      <c r="F80" s="82"/>
      <c r="G80" s="83"/>
      <c r="H80" s="82"/>
      <c r="I80" s="82"/>
      <c r="J80" s="82"/>
      <c r="K80" s="82"/>
      <c r="L80" s="76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76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76"/>
      <c r="AM80" s="82"/>
      <c r="AN80" s="82"/>
      <c r="AO80" s="82"/>
      <c r="AP80" s="82"/>
      <c r="AQ80" s="82"/>
    </row>
    <row r="81" spans="1:43" ht="15" x14ac:dyDescent="0.35">
      <c r="A81" s="85"/>
      <c r="B81" s="86"/>
      <c r="C81" s="87"/>
      <c r="D81" s="87"/>
      <c r="E81" s="87"/>
      <c r="F81" s="87"/>
      <c r="G81" s="88"/>
      <c r="H81" s="87"/>
      <c r="I81" s="87"/>
      <c r="J81" s="87"/>
      <c r="K81" s="8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M81" s="17"/>
      <c r="AN81" s="17"/>
      <c r="AO81" s="17"/>
      <c r="AP81" s="17"/>
      <c r="AQ81" s="17"/>
    </row>
    <row r="82" spans="1:43" s="84" customFormat="1" ht="15" x14ac:dyDescent="0.35">
      <c r="A82" s="80"/>
      <c r="B82" s="81"/>
      <c r="C82" s="82"/>
      <c r="D82" s="82"/>
      <c r="E82" s="82"/>
      <c r="F82" s="82"/>
      <c r="G82" s="83"/>
      <c r="H82" s="82"/>
      <c r="I82" s="82"/>
      <c r="J82" s="82"/>
      <c r="K82" s="82"/>
      <c r="L82" s="76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76"/>
      <c r="Z82" s="82"/>
      <c r="AA82" s="8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76"/>
      <c r="AM82" s="82"/>
      <c r="AN82" s="82"/>
      <c r="AO82" s="82"/>
      <c r="AP82" s="82"/>
      <c r="AQ82" s="82"/>
    </row>
    <row r="83" spans="1:43" ht="15" x14ac:dyDescent="0.35">
      <c r="A83" s="85"/>
      <c r="B83" s="86"/>
      <c r="C83" s="87"/>
      <c r="D83" s="87"/>
      <c r="E83" s="87"/>
      <c r="F83" s="87"/>
      <c r="G83" s="88"/>
      <c r="H83" s="87"/>
      <c r="I83" s="87"/>
      <c r="J83" s="87"/>
      <c r="K83" s="8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M83" s="17"/>
      <c r="AN83" s="17"/>
      <c r="AO83" s="17"/>
      <c r="AP83" s="17"/>
      <c r="AQ83" s="17"/>
    </row>
    <row r="84" spans="1:43" s="84" customFormat="1" ht="15" x14ac:dyDescent="0.35">
      <c r="A84" s="80"/>
      <c r="B84" s="81"/>
      <c r="C84" s="82"/>
      <c r="D84" s="82"/>
      <c r="E84" s="82"/>
      <c r="F84" s="82"/>
      <c r="G84" s="83"/>
      <c r="H84" s="82"/>
      <c r="I84" s="82"/>
      <c r="J84" s="82"/>
      <c r="K84" s="82"/>
      <c r="L84" s="76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76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76"/>
      <c r="AM84" s="82"/>
      <c r="AN84" s="82"/>
      <c r="AO84" s="82"/>
      <c r="AP84" s="82"/>
      <c r="AQ84" s="82"/>
    </row>
    <row r="85" spans="1:43" ht="15" x14ac:dyDescent="0.35">
      <c r="A85" s="85"/>
      <c r="B85" s="86"/>
      <c r="C85" s="87"/>
      <c r="D85" s="87"/>
      <c r="E85" s="87"/>
      <c r="F85" s="87"/>
      <c r="G85" s="88"/>
      <c r="H85" s="87"/>
      <c r="I85" s="87"/>
      <c r="J85" s="87"/>
      <c r="K85" s="8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M85" s="17"/>
      <c r="AN85" s="17"/>
      <c r="AO85" s="17"/>
      <c r="AP85" s="17"/>
      <c r="AQ85" s="17"/>
    </row>
    <row r="86" spans="1:43" s="84" customFormat="1" ht="15" x14ac:dyDescent="0.35">
      <c r="A86" s="80"/>
      <c r="B86" s="81"/>
      <c r="C86" s="82"/>
      <c r="D86" s="82"/>
      <c r="E86" s="82"/>
      <c r="F86" s="82"/>
      <c r="G86" s="83"/>
      <c r="H86" s="82"/>
      <c r="I86" s="82"/>
      <c r="J86" s="82"/>
      <c r="K86" s="82"/>
      <c r="L86" s="76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76"/>
      <c r="Z86" s="82"/>
      <c r="AA86" s="82"/>
      <c r="AB86" s="82"/>
      <c r="AC86" s="82"/>
      <c r="AD86" s="82"/>
      <c r="AE86" s="82"/>
      <c r="AF86" s="82"/>
      <c r="AG86" s="82"/>
      <c r="AH86" s="82"/>
      <c r="AI86" s="82"/>
      <c r="AJ86" s="82"/>
      <c r="AK86" s="82"/>
      <c r="AL86" s="76"/>
      <c r="AM86" s="82"/>
      <c r="AN86" s="82"/>
      <c r="AO86" s="82"/>
      <c r="AP86" s="82"/>
      <c r="AQ86" s="82"/>
    </row>
    <row r="87" spans="1:43" ht="15" x14ac:dyDescent="0.35">
      <c r="A87" s="85"/>
      <c r="B87" s="86"/>
      <c r="C87" s="87"/>
      <c r="D87" s="87"/>
      <c r="E87" s="87"/>
      <c r="F87" s="87"/>
      <c r="G87" s="88"/>
      <c r="H87" s="87"/>
      <c r="I87" s="87"/>
      <c r="J87" s="87"/>
      <c r="K87" s="8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M87" s="17"/>
      <c r="AN87" s="17"/>
      <c r="AO87" s="17"/>
      <c r="AP87" s="17"/>
      <c r="AQ87" s="17"/>
    </row>
    <row r="88" spans="1:43" s="84" customFormat="1" ht="15" x14ac:dyDescent="0.35">
      <c r="A88" s="80"/>
      <c r="B88" s="81"/>
      <c r="C88" s="82"/>
      <c r="D88" s="82"/>
      <c r="E88" s="82"/>
      <c r="F88" s="82"/>
      <c r="G88" s="83"/>
      <c r="H88" s="82"/>
      <c r="I88" s="82"/>
      <c r="J88" s="82"/>
      <c r="K88" s="82"/>
      <c r="L88" s="76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76"/>
      <c r="Z88" s="82"/>
      <c r="AA88" s="82"/>
      <c r="AB88" s="82"/>
      <c r="AC88" s="82"/>
      <c r="AD88" s="82"/>
      <c r="AE88" s="82"/>
      <c r="AF88" s="82"/>
      <c r="AG88" s="82"/>
      <c r="AH88" s="82"/>
      <c r="AI88" s="82"/>
      <c r="AJ88" s="82"/>
      <c r="AK88" s="82"/>
      <c r="AL88" s="76"/>
      <c r="AM88" s="82"/>
      <c r="AN88" s="82"/>
      <c r="AO88" s="82"/>
      <c r="AP88" s="82"/>
      <c r="AQ88" s="82"/>
    </row>
    <row r="89" spans="1:43" ht="15" x14ac:dyDescent="0.35">
      <c r="A89" s="85"/>
      <c r="B89" s="86"/>
      <c r="C89" s="87"/>
      <c r="D89" s="87"/>
      <c r="E89" s="87"/>
      <c r="F89" s="87"/>
      <c r="G89" s="88"/>
      <c r="H89" s="87"/>
      <c r="I89" s="87"/>
      <c r="J89" s="87"/>
      <c r="K89" s="8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M89" s="17"/>
      <c r="AN89" s="17"/>
      <c r="AO89" s="17"/>
      <c r="AP89" s="17"/>
      <c r="AQ89" s="17"/>
    </row>
    <row r="90" spans="1:43" s="84" customFormat="1" ht="15" x14ac:dyDescent="0.35">
      <c r="A90" s="80"/>
      <c r="B90" s="81"/>
      <c r="C90" s="82"/>
      <c r="D90" s="82"/>
      <c r="E90" s="82"/>
      <c r="F90" s="82"/>
      <c r="G90" s="83"/>
      <c r="H90" s="82"/>
      <c r="I90" s="82"/>
      <c r="J90" s="82"/>
      <c r="K90" s="82"/>
      <c r="L90" s="76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76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76"/>
      <c r="AM90" s="82"/>
      <c r="AN90" s="82"/>
      <c r="AO90" s="82"/>
      <c r="AP90" s="82"/>
      <c r="AQ90" s="82"/>
    </row>
    <row r="91" spans="1:43" ht="15" x14ac:dyDescent="0.35">
      <c r="A91" s="85"/>
      <c r="B91" s="86"/>
      <c r="C91" s="87"/>
      <c r="D91" s="87"/>
      <c r="E91" s="87"/>
      <c r="F91" s="87"/>
      <c r="G91" s="88"/>
      <c r="H91" s="87"/>
      <c r="I91" s="87"/>
      <c r="J91" s="87"/>
      <c r="K91" s="8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M91" s="17"/>
      <c r="AN91" s="17"/>
      <c r="AO91" s="17"/>
      <c r="AP91" s="17"/>
      <c r="AQ91" s="17"/>
    </row>
    <row r="92" spans="1:43" s="84" customFormat="1" ht="15" x14ac:dyDescent="0.35">
      <c r="A92" s="80"/>
      <c r="B92" s="81"/>
      <c r="C92" s="82"/>
      <c r="D92" s="82"/>
      <c r="E92" s="82"/>
      <c r="F92" s="82"/>
      <c r="G92" s="83"/>
      <c r="H92" s="82"/>
      <c r="I92" s="82"/>
      <c r="J92" s="82"/>
      <c r="K92" s="82"/>
      <c r="L92" s="76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76"/>
      <c r="Z92" s="82"/>
      <c r="AA92" s="82"/>
      <c r="AB92" s="82"/>
      <c r="AC92" s="82"/>
      <c r="AD92" s="82"/>
      <c r="AE92" s="82"/>
      <c r="AF92" s="82"/>
      <c r="AG92" s="82"/>
      <c r="AH92" s="82"/>
      <c r="AI92" s="82"/>
      <c r="AJ92" s="82"/>
      <c r="AK92" s="82"/>
      <c r="AL92" s="76"/>
      <c r="AM92" s="82"/>
      <c r="AN92" s="82"/>
      <c r="AO92" s="82"/>
      <c r="AP92" s="82"/>
      <c r="AQ92" s="82"/>
    </row>
    <row r="93" spans="1:43" ht="15" x14ac:dyDescent="0.35">
      <c r="A93" s="85"/>
      <c r="B93" s="86"/>
      <c r="C93" s="87"/>
      <c r="D93" s="87"/>
      <c r="E93" s="87"/>
      <c r="F93" s="87"/>
      <c r="G93" s="88"/>
      <c r="H93" s="87"/>
      <c r="I93" s="87"/>
      <c r="J93" s="87"/>
      <c r="K93" s="8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M93" s="17"/>
      <c r="AN93" s="17"/>
      <c r="AO93" s="17"/>
      <c r="AP93" s="17"/>
      <c r="AQ93" s="17"/>
    </row>
    <row r="94" spans="1:43" s="84" customFormat="1" ht="15" x14ac:dyDescent="0.35">
      <c r="A94" s="80"/>
      <c r="B94" s="81"/>
      <c r="C94" s="82"/>
      <c r="D94" s="82"/>
      <c r="E94" s="82"/>
      <c r="F94" s="82"/>
      <c r="G94" s="83"/>
      <c r="H94" s="82"/>
      <c r="I94" s="82"/>
      <c r="J94" s="82"/>
      <c r="K94" s="82"/>
      <c r="L94" s="76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76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76"/>
      <c r="AM94" s="82"/>
      <c r="AN94" s="82"/>
      <c r="AO94" s="82"/>
      <c r="AP94" s="82"/>
      <c r="AQ94" s="82"/>
    </row>
    <row r="95" spans="1:43" ht="15" x14ac:dyDescent="0.35">
      <c r="A95" s="85"/>
      <c r="B95" s="86"/>
      <c r="C95" s="87"/>
      <c r="D95" s="87"/>
      <c r="E95" s="87"/>
      <c r="F95" s="87"/>
      <c r="G95" s="88"/>
      <c r="H95" s="87"/>
      <c r="I95" s="87"/>
      <c r="J95" s="87"/>
      <c r="K95" s="8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M95" s="17"/>
      <c r="AN95" s="17"/>
      <c r="AO95" s="17"/>
      <c r="AP95" s="17"/>
      <c r="AQ95" s="17"/>
    </row>
    <row r="96" spans="1:43" s="84" customFormat="1" ht="15" x14ac:dyDescent="0.35">
      <c r="A96" s="80"/>
      <c r="B96" s="81"/>
      <c r="C96" s="82"/>
      <c r="D96" s="82"/>
      <c r="E96" s="82"/>
      <c r="F96" s="82"/>
      <c r="G96" s="83"/>
      <c r="H96" s="82"/>
      <c r="I96" s="82"/>
      <c r="J96" s="82"/>
      <c r="K96" s="82"/>
      <c r="L96" s="76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76"/>
      <c r="Z96" s="82"/>
      <c r="AA96" s="82"/>
      <c r="AB96" s="82"/>
      <c r="AC96" s="82"/>
      <c r="AD96" s="82"/>
      <c r="AE96" s="82"/>
      <c r="AF96" s="82"/>
      <c r="AG96" s="82"/>
      <c r="AH96" s="82"/>
      <c r="AI96" s="82"/>
      <c r="AJ96" s="82"/>
      <c r="AK96" s="82"/>
      <c r="AL96" s="76"/>
      <c r="AM96" s="82"/>
      <c r="AN96" s="82"/>
      <c r="AO96" s="82"/>
      <c r="AP96" s="82"/>
      <c r="AQ96" s="82"/>
    </row>
    <row r="97" spans="1:43" ht="15" x14ac:dyDescent="0.35">
      <c r="A97" s="85"/>
      <c r="B97" s="86"/>
      <c r="C97" s="87"/>
      <c r="D97" s="87"/>
      <c r="E97" s="87"/>
      <c r="F97" s="87"/>
      <c r="G97" s="88"/>
      <c r="H97" s="87"/>
      <c r="I97" s="87"/>
      <c r="J97" s="87"/>
      <c r="K97" s="8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M97" s="17"/>
      <c r="AN97" s="17"/>
      <c r="AO97" s="17"/>
      <c r="AP97" s="17"/>
      <c r="AQ97" s="17"/>
    </row>
    <row r="98" spans="1:43" s="84" customFormat="1" ht="15" x14ac:dyDescent="0.35">
      <c r="A98" s="80"/>
      <c r="B98" s="81"/>
      <c r="C98" s="82"/>
      <c r="D98" s="82"/>
      <c r="E98" s="82"/>
      <c r="F98" s="82"/>
      <c r="G98" s="83"/>
      <c r="H98" s="82"/>
      <c r="I98" s="82"/>
      <c r="J98" s="82"/>
      <c r="K98" s="82"/>
      <c r="L98" s="76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76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76"/>
      <c r="AM98" s="82"/>
      <c r="AN98" s="82"/>
      <c r="AO98" s="82"/>
      <c r="AP98" s="82"/>
      <c r="AQ98" s="82"/>
    </row>
    <row r="99" spans="1:43" ht="15" x14ac:dyDescent="0.35">
      <c r="A99" s="85"/>
      <c r="B99" s="86"/>
      <c r="C99" s="87"/>
      <c r="D99" s="87"/>
      <c r="E99" s="87"/>
      <c r="F99" s="87"/>
      <c r="G99" s="88"/>
      <c r="H99" s="87"/>
      <c r="I99" s="87"/>
      <c r="J99" s="87"/>
      <c r="K99" s="8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M99" s="17"/>
      <c r="AN99" s="17"/>
      <c r="AO99" s="17"/>
      <c r="AP99" s="17"/>
      <c r="AQ99" s="17"/>
    </row>
    <row r="100" spans="1:43" s="84" customFormat="1" ht="15" x14ac:dyDescent="0.35">
      <c r="A100" s="80"/>
      <c r="B100" s="81"/>
      <c r="C100" s="82"/>
      <c r="D100" s="82"/>
      <c r="E100" s="82"/>
      <c r="F100" s="82"/>
      <c r="G100" s="83"/>
      <c r="H100" s="82"/>
      <c r="I100" s="82"/>
      <c r="J100" s="82"/>
      <c r="K100" s="82"/>
      <c r="L100" s="76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76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76"/>
      <c r="AM100" s="82"/>
      <c r="AN100" s="82"/>
      <c r="AO100" s="82"/>
      <c r="AP100" s="82"/>
      <c r="AQ100" s="82"/>
    </row>
    <row r="101" spans="1:43" ht="15" x14ac:dyDescent="0.35">
      <c r="A101" s="85"/>
      <c r="B101" s="86"/>
      <c r="C101" s="87"/>
      <c r="D101" s="87"/>
      <c r="E101" s="87"/>
      <c r="F101" s="87"/>
      <c r="G101" s="88"/>
      <c r="H101" s="87"/>
      <c r="I101" s="87"/>
      <c r="J101" s="87"/>
      <c r="K101" s="8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M101" s="17"/>
      <c r="AN101" s="17"/>
      <c r="AO101" s="17"/>
      <c r="AP101" s="17"/>
      <c r="AQ101" s="17"/>
    </row>
    <row r="102" spans="1:43" s="84" customFormat="1" ht="15" x14ac:dyDescent="0.35">
      <c r="A102" s="80"/>
      <c r="B102" s="81"/>
      <c r="C102" s="82"/>
      <c r="D102" s="82"/>
      <c r="E102" s="82"/>
      <c r="F102" s="82"/>
      <c r="G102" s="83"/>
      <c r="H102" s="82"/>
      <c r="I102" s="82"/>
      <c r="J102" s="82"/>
      <c r="K102" s="82"/>
      <c r="L102" s="76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76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76"/>
      <c r="AM102" s="82"/>
      <c r="AN102" s="82"/>
      <c r="AO102" s="82"/>
      <c r="AP102" s="82"/>
      <c r="AQ102" s="82"/>
    </row>
    <row r="103" spans="1:43" ht="15" x14ac:dyDescent="0.35">
      <c r="A103" s="85"/>
      <c r="B103" s="86"/>
      <c r="C103" s="87"/>
      <c r="D103" s="87"/>
      <c r="E103" s="87"/>
      <c r="F103" s="87"/>
      <c r="G103" s="88"/>
      <c r="H103" s="87"/>
      <c r="I103" s="87"/>
      <c r="J103" s="87"/>
      <c r="K103" s="8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M103" s="17"/>
      <c r="AN103" s="17"/>
      <c r="AO103" s="17"/>
      <c r="AP103" s="17"/>
      <c r="AQ103" s="17"/>
    </row>
    <row r="104" spans="1:43" s="84" customFormat="1" ht="15" x14ac:dyDescent="0.35">
      <c r="A104" s="80"/>
      <c r="B104" s="81"/>
      <c r="C104" s="82"/>
      <c r="D104" s="82"/>
      <c r="E104" s="82"/>
      <c r="F104" s="82"/>
      <c r="G104" s="83"/>
      <c r="H104" s="82"/>
      <c r="I104" s="82"/>
      <c r="J104" s="82"/>
      <c r="K104" s="82"/>
      <c r="L104" s="76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76"/>
      <c r="Z104" s="82"/>
      <c r="AA104" s="82"/>
      <c r="AB104" s="82"/>
      <c r="AC104" s="82"/>
      <c r="AD104" s="82"/>
      <c r="AE104" s="82"/>
      <c r="AF104" s="82"/>
      <c r="AG104" s="82"/>
      <c r="AH104" s="82"/>
      <c r="AI104" s="82"/>
      <c r="AJ104" s="82"/>
      <c r="AK104" s="82"/>
      <c r="AL104" s="76"/>
      <c r="AM104" s="82"/>
      <c r="AN104" s="82"/>
      <c r="AO104" s="82"/>
      <c r="AP104" s="82"/>
      <c r="AQ104" s="82"/>
    </row>
    <row r="105" spans="1:43" ht="15" x14ac:dyDescent="0.35">
      <c r="A105" s="85"/>
      <c r="B105" s="86"/>
      <c r="C105" s="87"/>
      <c r="D105" s="87"/>
      <c r="E105" s="87"/>
      <c r="F105" s="87"/>
      <c r="G105" s="88"/>
      <c r="H105" s="87"/>
      <c r="I105" s="87"/>
      <c r="J105" s="87"/>
      <c r="K105" s="8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M105" s="17"/>
      <c r="AN105" s="17"/>
      <c r="AO105" s="17"/>
      <c r="AP105" s="17"/>
      <c r="AQ105" s="17"/>
    </row>
    <row r="106" spans="1:43" s="84" customFormat="1" ht="15" x14ac:dyDescent="0.35">
      <c r="A106" s="80"/>
      <c r="B106" s="81"/>
      <c r="C106" s="82"/>
      <c r="D106" s="82"/>
      <c r="E106" s="82"/>
      <c r="F106" s="82"/>
      <c r="G106" s="83"/>
      <c r="H106" s="82"/>
      <c r="I106" s="82"/>
      <c r="J106" s="82"/>
      <c r="K106" s="82"/>
      <c r="L106" s="76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76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76"/>
      <c r="AM106" s="82"/>
      <c r="AN106" s="82"/>
      <c r="AO106" s="82"/>
      <c r="AP106" s="82"/>
      <c r="AQ106" s="82"/>
    </row>
    <row r="107" spans="1:43" ht="15" x14ac:dyDescent="0.35">
      <c r="A107" s="85"/>
      <c r="B107" s="86"/>
      <c r="C107" s="87"/>
      <c r="D107" s="87"/>
      <c r="E107" s="87"/>
      <c r="F107" s="87"/>
      <c r="G107" s="88"/>
      <c r="H107" s="87"/>
      <c r="I107" s="87"/>
      <c r="J107" s="87"/>
      <c r="K107" s="8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M107" s="17"/>
      <c r="AN107" s="17"/>
      <c r="AO107" s="17"/>
      <c r="AP107" s="17"/>
      <c r="AQ107" s="17"/>
    </row>
    <row r="108" spans="1:43" s="84" customFormat="1" ht="15" x14ac:dyDescent="0.35">
      <c r="A108" s="80"/>
      <c r="B108" s="81"/>
      <c r="C108" s="82"/>
      <c r="D108" s="82"/>
      <c r="E108" s="82"/>
      <c r="F108" s="82"/>
      <c r="G108" s="83"/>
      <c r="H108" s="82"/>
      <c r="I108" s="82"/>
      <c r="J108" s="82"/>
      <c r="K108" s="82"/>
      <c r="L108" s="76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76"/>
      <c r="Z108" s="82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76"/>
      <c r="AM108" s="82"/>
      <c r="AN108" s="82"/>
      <c r="AO108" s="82"/>
      <c r="AP108" s="82"/>
      <c r="AQ108" s="82"/>
    </row>
    <row r="109" spans="1:43" ht="15" x14ac:dyDescent="0.35">
      <c r="A109" s="85"/>
      <c r="B109" s="86"/>
      <c r="C109" s="87"/>
      <c r="D109" s="87"/>
      <c r="E109" s="87"/>
      <c r="F109" s="87"/>
      <c r="G109" s="88"/>
      <c r="H109" s="87"/>
      <c r="I109" s="87"/>
      <c r="J109" s="87"/>
      <c r="K109" s="8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M109" s="17"/>
      <c r="AN109" s="17"/>
      <c r="AO109" s="17"/>
      <c r="AP109" s="17"/>
      <c r="AQ109" s="17"/>
    </row>
    <row r="110" spans="1:43" s="84" customFormat="1" ht="15" x14ac:dyDescent="0.35">
      <c r="A110" s="80"/>
      <c r="B110" s="81"/>
      <c r="C110" s="82"/>
      <c r="D110" s="82"/>
      <c r="E110" s="82"/>
      <c r="F110" s="82"/>
      <c r="G110" s="83"/>
      <c r="H110" s="82"/>
      <c r="I110" s="82"/>
      <c r="J110" s="82"/>
      <c r="K110" s="82"/>
      <c r="L110" s="76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76"/>
      <c r="Z110" s="82"/>
      <c r="AA110" s="82"/>
      <c r="AB110" s="82"/>
      <c r="AC110" s="82"/>
      <c r="AD110" s="82"/>
      <c r="AE110" s="82"/>
      <c r="AF110" s="82"/>
      <c r="AG110" s="82"/>
      <c r="AH110" s="82"/>
      <c r="AI110" s="82"/>
      <c r="AJ110" s="82"/>
      <c r="AK110" s="82"/>
      <c r="AL110" s="76"/>
      <c r="AM110" s="82"/>
      <c r="AN110" s="82"/>
      <c r="AO110" s="82"/>
      <c r="AP110" s="82"/>
      <c r="AQ110" s="82"/>
    </row>
    <row r="111" spans="1:43" ht="15" x14ac:dyDescent="0.35">
      <c r="A111" s="85"/>
      <c r="B111" s="86"/>
      <c r="C111" s="87"/>
      <c r="D111" s="87"/>
      <c r="E111" s="87"/>
      <c r="F111" s="87"/>
      <c r="G111" s="88"/>
      <c r="H111" s="87"/>
      <c r="I111" s="87"/>
      <c r="J111" s="87"/>
      <c r="K111" s="8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M111" s="17"/>
      <c r="AN111" s="17"/>
      <c r="AO111" s="17"/>
      <c r="AP111" s="17"/>
      <c r="AQ111" s="17"/>
    </row>
    <row r="112" spans="1:43" s="84" customFormat="1" ht="15" x14ac:dyDescent="0.35">
      <c r="A112" s="80"/>
      <c r="B112" s="81"/>
      <c r="C112" s="82"/>
      <c r="D112" s="82"/>
      <c r="E112" s="82"/>
      <c r="F112" s="82"/>
      <c r="G112" s="83"/>
      <c r="H112" s="82"/>
      <c r="I112" s="82"/>
      <c r="J112" s="82"/>
      <c r="K112" s="82"/>
      <c r="L112" s="76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76"/>
      <c r="Z112" s="82"/>
      <c r="AA112" s="82"/>
      <c r="AB112" s="82"/>
      <c r="AC112" s="82"/>
      <c r="AD112" s="82"/>
      <c r="AE112" s="82"/>
      <c r="AF112" s="82"/>
      <c r="AG112" s="82"/>
      <c r="AH112" s="82"/>
      <c r="AI112" s="82"/>
      <c r="AJ112" s="82"/>
      <c r="AK112" s="82"/>
      <c r="AL112" s="76"/>
      <c r="AM112" s="82"/>
      <c r="AN112" s="82"/>
      <c r="AO112" s="82"/>
      <c r="AP112" s="82"/>
      <c r="AQ112" s="82"/>
    </row>
    <row r="113" spans="1:43" ht="15" x14ac:dyDescent="0.35">
      <c r="A113" s="85"/>
      <c r="B113" s="86"/>
      <c r="C113" s="87"/>
      <c r="D113" s="87"/>
      <c r="E113" s="87"/>
      <c r="F113" s="87"/>
      <c r="G113" s="88"/>
      <c r="H113" s="87"/>
      <c r="I113" s="87"/>
      <c r="J113" s="87"/>
      <c r="K113" s="8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M113" s="17"/>
      <c r="AN113" s="17"/>
      <c r="AO113" s="17"/>
      <c r="AP113" s="17"/>
      <c r="AQ113" s="17"/>
    </row>
    <row r="114" spans="1:43" s="84" customFormat="1" ht="15" x14ac:dyDescent="0.35">
      <c r="A114" s="80"/>
      <c r="B114" s="81"/>
      <c r="C114" s="82"/>
      <c r="D114" s="82"/>
      <c r="E114" s="82"/>
      <c r="F114" s="82"/>
      <c r="G114" s="83"/>
      <c r="H114" s="82"/>
      <c r="I114" s="82"/>
      <c r="J114" s="82"/>
      <c r="K114" s="82"/>
      <c r="L114" s="76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76"/>
      <c r="Z114" s="82"/>
      <c r="AA114" s="82"/>
      <c r="AB114" s="82"/>
      <c r="AC114" s="82"/>
      <c r="AD114" s="82"/>
      <c r="AE114" s="82"/>
      <c r="AF114" s="82"/>
      <c r="AG114" s="82"/>
      <c r="AH114" s="82"/>
      <c r="AI114" s="82"/>
      <c r="AJ114" s="82"/>
      <c r="AK114" s="82"/>
      <c r="AL114" s="76"/>
      <c r="AM114" s="82"/>
      <c r="AN114" s="82"/>
      <c r="AO114" s="82"/>
      <c r="AP114" s="82"/>
      <c r="AQ114" s="82"/>
    </row>
    <row r="115" spans="1:43" ht="15" x14ac:dyDescent="0.35">
      <c r="A115" s="85"/>
      <c r="B115" s="86"/>
      <c r="C115" s="87"/>
      <c r="D115" s="87"/>
      <c r="E115" s="87"/>
      <c r="F115" s="87"/>
      <c r="G115" s="88"/>
      <c r="H115" s="87"/>
      <c r="I115" s="87"/>
      <c r="J115" s="87"/>
      <c r="K115" s="8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M115" s="17"/>
      <c r="AN115" s="17"/>
      <c r="AO115" s="17"/>
      <c r="AP115" s="17"/>
      <c r="AQ115" s="17"/>
    </row>
    <row r="116" spans="1:43" s="84" customFormat="1" ht="15" x14ac:dyDescent="0.35">
      <c r="A116" s="80"/>
      <c r="B116" s="81"/>
      <c r="C116" s="82"/>
      <c r="D116" s="82"/>
      <c r="E116" s="82"/>
      <c r="F116" s="82"/>
      <c r="G116" s="83"/>
      <c r="H116" s="82"/>
      <c r="I116" s="82"/>
      <c r="J116" s="82"/>
      <c r="K116" s="82"/>
      <c r="L116" s="76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76"/>
      <c r="Z116" s="82"/>
      <c r="AA116" s="82"/>
      <c r="AB116" s="82"/>
      <c r="AC116" s="82"/>
      <c r="AD116" s="82"/>
      <c r="AE116" s="82"/>
      <c r="AF116" s="82"/>
      <c r="AG116" s="82"/>
      <c r="AH116" s="82"/>
      <c r="AI116" s="82"/>
      <c r="AJ116" s="82"/>
      <c r="AK116" s="82"/>
      <c r="AL116" s="76"/>
      <c r="AM116" s="82"/>
      <c r="AN116" s="82"/>
      <c r="AO116" s="82"/>
      <c r="AP116" s="82"/>
      <c r="AQ116" s="82"/>
    </row>
    <row r="117" spans="1:43" ht="15" x14ac:dyDescent="0.35">
      <c r="A117" s="85"/>
      <c r="B117" s="86"/>
      <c r="C117" s="87"/>
      <c r="D117" s="87"/>
      <c r="E117" s="87"/>
      <c r="F117" s="87"/>
      <c r="G117" s="88"/>
      <c r="H117" s="87"/>
      <c r="I117" s="87"/>
      <c r="J117" s="87"/>
      <c r="K117" s="8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M117" s="17"/>
      <c r="AN117" s="17"/>
      <c r="AO117" s="17"/>
      <c r="AP117" s="17"/>
      <c r="AQ117" s="17"/>
    </row>
    <row r="118" spans="1:43" s="84" customFormat="1" ht="15" x14ac:dyDescent="0.35">
      <c r="A118" s="80"/>
      <c r="B118" s="81"/>
      <c r="C118" s="82"/>
      <c r="D118" s="82"/>
      <c r="E118" s="82"/>
      <c r="F118" s="82"/>
      <c r="G118" s="83"/>
      <c r="H118" s="82"/>
      <c r="I118" s="82"/>
      <c r="J118" s="82"/>
      <c r="K118" s="82"/>
      <c r="L118" s="76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76"/>
      <c r="Z118" s="82"/>
      <c r="AA118" s="82"/>
      <c r="AB118" s="82"/>
      <c r="AC118" s="82"/>
      <c r="AD118" s="82"/>
      <c r="AE118" s="82"/>
      <c r="AF118" s="82"/>
      <c r="AG118" s="82"/>
      <c r="AH118" s="82"/>
      <c r="AI118" s="82"/>
      <c r="AJ118" s="82"/>
      <c r="AK118" s="82"/>
      <c r="AL118" s="76"/>
      <c r="AM118" s="82"/>
      <c r="AN118" s="82"/>
      <c r="AO118" s="82"/>
      <c r="AP118" s="82"/>
      <c r="AQ118" s="82"/>
    </row>
    <row r="119" spans="1:43" ht="15" x14ac:dyDescent="0.35">
      <c r="A119" s="85"/>
      <c r="B119" s="86"/>
      <c r="C119" s="87"/>
      <c r="D119" s="87"/>
      <c r="E119" s="87"/>
      <c r="F119" s="87"/>
      <c r="G119" s="88"/>
      <c r="H119" s="87"/>
      <c r="I119" s="87"/>
      <c r="J119" s="87"/>
      <c r="K119" s="8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M119" s="17"/>
      <c r="AN119" s="17"/>
      <c r="AO119" s="17"/>
      <c r="AP119" s="17"/>
      <c r="AQ119" s="17"/>
    </row>
    <row r="120" spans="1:43" s="84" customFormat="1" ht="15" x14ac:dyDescent="0.35">
      <c r="A120" s="80"/>
      <c r="B120" s="81"/>
      <c r="C120" s="82"/>
      <c r="D120" s="82"/>
      <c r="E120" s="82"/>
      <c r="F120" s="82"/>
      <c r="G120" s="83"/>
      <c r="H120" s="82"/>
      <c r="I120" s="82"/>
      <c r="J120" s="82"/>
      <c r="K120" s="82"/>
      <c r="L120" s="76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76"/>
      <c r="Z120" s="82"/>
      <c r="AA120" s="82"/>
      <c r="AB120" s="82"/>
      <c r="AC120" s="82"/>
      <c r="AD120" s="82"/>
      <c r="AE120" s="82"/>
      <c r="AF120" s="82"/>
      <c r="AG120" s="82"/>
      <c r="AH120" s="82"/>
      <c r="AI120" s="82"/>
      <c r="AJ120" s="82"/>
      <c r="AK120" s="82"/>
      <c r="AL120" s="76"/>
      <c r="AM120" s="82"/>
      <c r="AN120" s="82"/>
      <c r="AO120" s="82"/>
      <c r="AP120" s="82"/>
      <c r="AQ120" s="82"/>
    </row>
    <row r="121" spans="1:43" ht="15" x14ac:dyDescent="0.35">
      <c r="A121" s="85"/>
      <c r="B121" s="86"/>
      <c r="C121" s="87"/>
      <c r="D121" s="87"/>
      <c r="E121" s="87"/>
      <c r="F121" s="87"/>
      <c r="G121" s="88"/>
      <c r="H121" s="87"/>
      <c r="I121" s="87"/>
      <c r="J121" s="87"/>
      <c r="K121" s="8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M121" s="17"/>
      <c r="AN121" s="17"/>
      <c r="AO121" s="17"/>
      <c r="AP121" s="17"/>
      <c r="AQ121" s="17"/>
    </row>
    <row r="122" spans="1:43" s="84" customFormat="1" ht="15" x14ac:dyDescent="0.35">
      <c r="A122" s="80"/>
      <c r="B122" s="81"/>
      <c r="C122" s="82"/>
      <c r="D122" s="82"/>
      <c r="E122" s="82"/>
      <c r="F122" s="82"/>
      <c r="G122" s="83"/>
      <c r="H122" s="82"/>
      <c r="I122" s="82"/>
      <c r="J122" s="82"/>
      <c r="K122" s="82"/>
      <c r="L122" s="76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76"/>
      <c r="Z122" s="82"/>
      <c r="AA122" s="82"/>
      <c r="AB122" s="82"/>
      <c r="AC122" s="82"/>
      <c r="AD122" s="82"/>
      <c r="AE122" s="82"/>
      <c r="AF122" s="82"/>
      <c r="AG122" s="82"/>
      <c r="AH122" s="82"/>
      <c r="AI122" s="82"/>
      <c r="AJ122" s="82"/>
      <c r="AK122" s="82"/>
      <c r="AL122" s="76"/>
      <c r="AM122" s="82"/>
      <c r="AN122" s="82"/>
      <c r="AO122" s="82"/>
      <c r="AP122" s="82"/>
      <c r="AQ122" s="82"/>
    </row>
    <row r="123" spans="1:43" ht="15" x14ac:dyDescent="0.35">
      <c r="A123" s="85"/>
      <c r="B123" s="86"/>
      <c r="C123" s="87"/>
      <c r="D123" s="87"/>
      <c r="E123" s="87"/>
      <c r="F123" s="87"/>
      <c r="G123" s="88"/>
      <c r="H123" s="87"/>
      <c r="I123" s="87"/>
      <c r="J123" s="87"/>
      <c r="K123" s="8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M123" s="17"/>
      <c r="AN123" s="17"/>
      <c r="AO123" s="17"/>
      <c r="AP123" s="17"/>
      <c r="AQ123" s="17"/>
    </row>
    <row r="124" spans="1:43" s="84" customFormat="1" ht="15" x14ac:dyDescent="0.35">
      <c r="A124" s="80"/>
      <c r="B124" s="81"/>
      <c r="C124" s="82"/>
      <c r="D124" s="82"/>
      <c r="E124" s="82"/>
      <c r="F124" s="82"/>
      <c r="G124" s="83"/>
      <c r="H124" s="82"/>
      <c r="I124" s="82"/>
      <c r="J124" s="82"/>
      <c r="K124" s="82"/>
      <c r="L124" s="76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76"/>
      <c r="Z124" s="82"/>
      <c r="AA124" s="82"/>
      <c r="AB124" s="82"/>
      <c r="AC124" s="82"/>
      <c r="AD124" s="82"/>
      <c r="AE124" s="82"/>
      <c r="AF124" s="82"/>
      <c r="AG124" s="82"/>
      <c r="AH124" s="82"/>
      <c r="AI124" s="82"/>
      <c r="AJ124" s="82"/>
      <c r="AK124" s="82"/>
      <c r="AL124" s="76"/>
      <c r="AM124" s="82"/>
      <c r="AN124" s="82"/>
      <c r="AO124" s="82"/>
      <c r="AP124" s="82"/>
      <c r="AQ124" s="82"/>
    </row>
    <row r="125" spans="1:43" ht="15" x14ac:dyDescent="0.35">
      <c r="A125" s="85"/>
      <c r="B125" s="86"/>
      <c r="C125" s="87"/>
      <c r="D125" s="87"/>
      <c r="E125" s="87"/>
      <c r="F125" s="87"/>
      <c r="G125" s="88"/>
      <c r="H125" s="87"/>
      <c r="I125" s="87"/>
      <c r="J125" s="87"/>
      <c r="K125" s="8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M125" s="17"/>
      <c r="AN125" s="17"/>
      <c r="AO125" s="17"/>
      <c r="AP125" s="17"/>
      <c r="AQ125" s="17"/>
    </row>
    <row r="126" spans="1:43" s="84" customFormat="1" ht="15" x14ac:dyDescent="0.35">
      <c r="A126" s="80"/>
      <c r="B126" s="81"/>
      <c r="C126" s="82"/>
      <c r="D126" s="82"/>
      <c r="E126" s="82"/>
      <c r="F126" s="82"/>
      <c r="G126" s="83"/>
      <c r="H126" s="82"/>
      <c r="I126" s="82"/>
      <c r="J126" s="82"/>
      <c r="K126" s="82"/>
      <c r="L126" s="76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76"/>
      <c r="Z126" s="82"/>
      <c r="AA126" s="82"/>
      <c r="AB126" s="82"/>
      <c r="AC126" s="82"/>
      <c r="AD126" s="82"/>
      <c r="AE126" s="82"/>
      <c r="AF126" s="82"/>
      <c r="AG126" s="82"/>
      <c r="AH126" s="82"/>
      <c r="AI126" s="82"/>
      <c r="AJ126" s="82"/>
      <c r="AK126" s="82"/>
      <c r="AL126" s="76"/>
      <c r="AM126" s="82"/>
      <c r="AN126" s="82"/>
      <c r="AO126" s="82"/>
      <c r="AP126" s="82"/>
      <c r="AQ126" s="82"/>
    </row>
    <row r="127" spans="1:43" ht="15" x14ac:dyDescent="0.35">
      <c r="A127" s="85"/>
      <c r="B127" s="86"/>
      <c r="C127" s="87"/>
      <c r="D127" s="87"/>
      <c r="E127" s="87"/>
      <c r="F127" s="87"/>
      <c r="G127" s="88"/>
      <c r="H127" s="87"/>
      <c r="I127" s="87"/>
      <c r="J127" s="87"/>
      <c r="K127" s="8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M127" s="17"/>
      <c r="AN127" s="17"/>
      <c r="AO127" s="17"/>
      <c r="AP127" s="17"/>
      <c r="AQ127" s="17"/>
    </row>
    <row r="128" spans="1:43" s="84" customFormat="1" ht="15" x14ac:dyDescent="0.35">
      <c r="A128" s="80"/>
      <c r="B128" s="81"/>
      <c r="C128" s="82"/>
      <c r="D128" s="82"/>
      <c r="E128" s="82"/>
      <c r="F128" s="82"/>
      <c r="G128" s="83"/>
      <c r="H128" s="82"/>
      <c r="I128" s="82"/>
      <c r="J128" s="82"/>
      <c r="K128" s="82"/>
      <c r="L128" s="76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76"/>
      <c r="Z128" s="82"/>
      <c r="AA128" s="82"/>
      <c r="AB128" s="82"/>
      <c r="AC128" s="82"/>
      <c r="AD128" s="82"/>
      <c r="AE128" s="82"/>
      <c r="AF128" s="82"/>
      <c r="AG128" s="82"/>
      <c r="AH128" s="82"/>
      <c r="AI128" s="82"/>
      <c r="AJ128" s="82"/>
      <c r="AK128" s="82"/>
      <c r="AL128" s="76"/>
      <c r="AM128" s="82"/>
      <c r="AN128" s="82"/>
      <c r="AO128" s="82"/>
      <c r="AP128" s="82"/>
      <c r="AQ128" s="82"/>
    </row>
    <row r="129" spans="1:43" ht="15" x14ac:dyDescent="0.35">
      <c r="A129" s="85"/>
      <c r="B129" s="86"/>
      <c r="C129" s="87"/>
      <c r="D129" s="87"/>
      <c r="E129" s="87"/>
      <c r="F129" s="87"/>
      <c r="G129" s="88"/>
      <c r="H129" s="87"/>
      <c r="I129" s="87"/>
      <c r="J129" s="87"/>
      <c r="K129" s="8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M129" s="17"/>
      <c r="AN129" s="17"/>
      <c r="AO129" s="17"/>
      <c r="AP129" s="17"/>
      <c r="AQ129" s="17"/>
    </row>
    <row r="130" spans="1:43" s="84" customFormat="1" ht="15" x14ac:dyDescent="0.35">
      <c r="A130" s="80"/>
      <c r="B130" s="81"/>
      <c r="C130" s="82"/>
      <c r="D130" s="82"/>
      <c r="E130" s="82"/>
      <c r="F130" s="82"/>
      <c r="G130" s="83"/>
      <c r="H130" s="82"/>
      <c r="I130" s="82"/>
      <c r="J130" s="82"/>
      <c r="K130" s="82"/>
      <c r="L130" s="76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76"/>
      <c r="Z130" s="82"/>
      <c r="AA130" s="82"/>
      <c r="AB130" s="82"/>
      <c r="AC130" s="82"/>
      <c r="AD130" s="82"/>
      <c r="AE130" s="82"/>
      <c r="AF130" s="82"/>
      <c r="AG130" s="82"/>
      <c r="AH130" s="82"/>
      <c r="AI130" s="82"/>
      <c r="AJ130" s="82"/>
      <c r="AK130" s="82"/>
      <c r="AL130" s="76"/>
      <c r="AM130" s="82"/>
      <c r="AN130" s="82"/>
      <c r="AO130" s="82"/>
      <c r="AP130" s="82"/>
      <c r="AQ130" s="82"/>
    </row>
    <row r="131" spans="1:43" ht="15" x14ac:dyDescent="0.35">
      <c r="A131" s="85"/>
      <c r="B131" s="86"/>
      <c r="C131" s="87"/>
      <c r="D131" s="87"/>
      <c r="E131" s="87"/>
      <c r="F131" s="87"/>
      <c r="G131" s="88"/>
      <c r="H131" s="87"/>
      <c r="I131" s="87"/>
      <c r="J131" s="87"/>
      <c r="K131" s="8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M131" s="17"/>
      <c r="AN131" s="17"/>
      <c r="AO131" s="17"/>
      <c r="AP131" s="17"/>
      <c r="AQ131" s="17"/>
    </row>
    <row r="132" spans="1:43" s="84" customFormat="1" ht="15" x14ac:dyDescent="0.35">
      <c r="A132" s="80"/>
      <c r="B132" s="81"/>
      <c r="C132" s="82"/>
      <c r="D132" s="82"/>
      <c r="E132" s="82"/>
      <c r="F132" s="82"/>
      <c r="G132" s="83"/>
      <c r="H132" s="82"/>
      <c r="I132" s="82"/>
      <c r="J132" s="82"/>
      <c r="K132" s="82"/>
      <c r="L132" s="76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76"/>
      <c r="Z132" s="82"/>
      <c r="AA132" s="82"/>
      <c r="AB132" s="82"/>
      <c r="AC132" s="82"/>
      <c r="AD132" s="82"/>
      <c r="AE132" s="82"/>
      <c r="AF132" s="82"/>
      <c r="AG132" s="82"/>
      <c r="AH132" s="82"/>
      <c r="AI132" s="82"/>
      <c r="AJ132" s="82"/>
      <c r="AK132" s="82"/>
      <c r="AL132" s="76"/>
      <c r="AM132" s="82"/>
      <c r="AN132" s="82"/>
      <c r="AO132" s="82"/>
      <c r="AP132" s="82"/>
      <c r="AQ132" s="82"/>
    </row>
    <row r="133" spans="1:43" ht="15" x14ac:dyDescent="0.35">
      <c r="A133" s="85"/>
      <c r="B133" s="86"/>
      <c r="C133" s="87"/>
      <c r="D133" s="87"/>
      <c r="E133" s="87"/>
      <c r="F133" s="87"/>
      <c r="G133" s="88"/>
      <c r="H133" s="87"/>
      <c r="I133" s="87"/>
      <c r="J133" s="87"/>
      <c r="K133" s="8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M133" s="17"/>
      <c r="AN133" s="17"/>
      <c r="AO133" s="17"/>
      <c r="AP133" s="17"/>
      <c r="AQ133" s="17"/>
    </row>
    <row r="134" spans="1:43" s="84" customFormat="1" ht="15" x14ac:dyDescent="0.35">
      <c r="A134" s="80"/>
      <c r="B134" s="81"/>
      <c r="C134" s="82"/>
      <c r="D134" s="82"/>
      <c r="E134" s="82"/>
      <c r="F134" s="82"/>
      <c r="G134" s="83"/>
      <c r="H134" s="82"/>
      <c r="I134" s="82"/>
      <c r="J134" s="82"/>
      <c r="K134" s="82"/>
      <c r="L134" s="76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76"/>
      <c r="Z134" s="82"/>
      <c r="AA134" s="82"/>
      <c r="AB134" s="82"/>
      <c r="AC134" s="82"/>
      <c r="AD134" s="82"/>
      <c r="AE134" s="82"/>
      <c r="AF134" s="82"/>
      <c r="AG134" s="82"/>
      <c r="AH134" s="82"/>
      <c r="AI134" s="82"/>
      <c r="AJ134" s="82"/>
      <c r="AK134" s="82"/>
      <c r="AL134" s="76"/>
      <c r="AM134" s="82"/>
      <c r="AN134" s="82"/>
      <c r="AO134" s="82"/>
      <c r="AP134" s="82"/>
      <c r="AQ134" s="82"/>
    </row>
    <row r="135" spans="1:43" ht="15" x14ac:dyDescent="0.35">
      <c r="A135" s="85"/>
      <c r="B135" s="86"/>
      <c r="C135" s="87"/>
      <c r="D135" s="87"/>
      <c r="E135" s="87"/>
      <c r="F135" s="87"/>
      <c r="G135" s="88"/>
      <c r="H135" s="87"/>
      <c r="I135" s="87"/>
      <c r="J135" s="87"/>
      <c r="K135" s="8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M135" s="17"/>
      <c r="AN135" s="17"/>
      <c r="AO135" s="17"/>
      <c r="AP135" s="17"/>
      <c r="AQ135" s="17"/>
    </row>
    <row r="136" spans="1:43" s="84" customFormat="1" ht="15" x14ac:dyDescent="0.35">
      <c r="A136" s="80"/>
      <c r="B136" s="81"/>
      <c r="C136" s="82"/>
      <c r="D136" s="82"/>
      <c r="E136" s="82"/>
      <c r="F136" s="82"/>
      <c r="G136" s="83"/>
      <c r="H136" s="82"/>
      <c r="I136" s="82"/>
      <c r="J136" s="82"/>
      <c r="K136" s="82"/>
      <c r="L136" s="76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76"/>
      <c r="Z136" s="82"/>
      <c r="AA136" s="82"/>
      <c r="AB136" s="82"/>
      <c r="AC136" s="82"/>
      <c r="AD136" s="82"/>
      <c r="AE136" s="82"/>
      <c r="AF136" s="82"/>
      <c r="AG136" s="82"/>
      <c r="AH136" s="82"/>
      <c r="AI136" s="82"/>
      <c r="AJ136" s="82"/>
      <c r="AK136" s="82"/>
      <c r="AL136" s="76"/>
      <c r="AM136" s="82"/>
      <c r="AN136" s="82"/>
      <c r="AO136" s="82"/>
      <c r="AP136" s="82"/>
      <c r="AQ136" s="82"/>
    </row>
    <row r="137" spans="1:43" ht="15" x14ac:dyDescent="0.35">
      <c r="A137" s="85"/>
      <c r="B137" s="86"/>
      <c r="C137" s="87"/>
      <c r="D137" s="87"/>
      <c r="E137" s="87"/>
      <c r="F137" s="87"/>
      <c r="G137" s="88"/>
      <c r="H137" s="87"/>
      <c r="I137" s="87"/>
      <c r="J137" s="87"/>
      <c r="K137" s="8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M137" s="17"/>
      <c r="AN137" s="17"/>
      <c r="AO137" s="17"/>
      <c r="AP137" s="17"/>
      <c r="AQ137" s="17"/>
    </row>
    <row r="138" spans="1:43" s="84" customFormat="1" ht="15" x14ac:dyDescent="0.35">
      <c r="A138" s="80"/>
      <c r="B138" s="81"/>
      <c r="C138" s="82"/>
      <c r="D138" s="82"/>
      <c r="E138" s="82"/>
      <c r="F138" s="82"/>
      <c r="G138" s="83"/>
      <c r="H138" s="82"/>
      <c r="I138" s="82"/>
      <c r="J138" s="82"/>
      <c r="K138" s="82"/>
      <c r="L138" s="76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76"/>
      <c r="Z138" s="82"/>
      <c r="AA138" s="82"/>
      <c r="AB138" s="82"/>
      <c r="AC138" s="82"/>
      <c r="AD138" s="82"/>
      <c r="AE138" s="82"/>
      <c r="AF138" s="82"/>
      <c r="AG138" s="82"/>
      <c r="AH138" s="82"/>
      <c r="AI138" s="82"/>
      <c r="AJ138" s="82"/>
      <c r="AK138" s="82"/>
      <c r="AL138" s="76"/>
      <c r="AM138" s="82"/>
      <c r="AN138" s="82"/>
      <c r="AO138" s="82"/>
      <c r="AP138" s="82"/>
      <c r="AQ138" s="82"/>
    </row>
    <row r="139" spans="1:43" ht="15" x14ac:dyDescent="0.35">
      <c r="A139" s="85"/>
      <c r="B139" s="86"/>
      <c r="C139" s="87"/>
      <c r="D139" s="87"/>
      <c r="E139" s="87"/>
      <c r="F139" s="87"/>
      <c r="G139" s="88"/>
      <c r="H139" s="87"/>
      <c r="I139" s="87"/>
      <c r="J139" s="87"/>
      <c r="K139" s="8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M139" s="17"/>
      <c r="AN139" s="17"/>
      <c r="AO139" s="17"/>
      <c r="AP139" s="17"/>
      <c r="AQ139" s="17"/>
    </row>
    <row r="140" spans="1:43" s="84" customFormat="1" ht="15" x14ac:dyDescent="0.35">
      <c r="A140" s="80"/>
      <c r="B140" s="81"/>
      <c r="C140" s="82"/>
      <c r="D140" s="82"/>
      <c r="E140" s="82"/>
      <c r="F140" s="82"/>
      <c r="G140" s="83"/>
      <c r="H140" s="82"/>
      <c r="I140" s="82"/>
      <c r="J140" s="82"/>
      <c r="K140" s="82"/>
      <c r="L140" s="76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76"/>
      <c r="Z140" s="82"/>
      <c r="AA140" s="82"/>
      <c r="AB140" s="82"/>
      <c r="AC140" s="82"/>
      <c r="AD140" s="82"/>
      <c r="AE140" s="82"/>
      <c r="AF140" s="82"/>
      <c r="AG140" s="82"/>
      <c r="AH140" s="82"/>
      <c r="AI140" s="82"/>
      <c r="AJ140" s="82"/>
      <c r="AK140" s="82"/>
      <c r="AL140" s="76"/>
      <c r="AM140" s="82"/>
      <c r="AN140" s="82"/>
      <c r="AO140" s="82"/>
      <c r="AP140" s="82"/>
      <c r="AQ140" s="82"/>
    </row>
    <row r="141" spans="1:43" ht="15" x14ac:dyDescent="0.35">
      <c r="A141" s="85"/>
      <c r="B141" s="86"/>
      <c r="C141" s="87"/>
      <c r="D141" s="87"/>
      <c r="E141" s="87"/>
      <c r="F141" s="87"/>
      <c r="G141" s="88"/>
      <c r="H141" s="87"/>
      <c r="I141" s="87"/>
      <c r="J141" s="87"/>
      <c r="K141" s="8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M141" s="17"/>
      <c r="AN141" s="17"/>
      <c r="AO141" s="17"/>
      <c r="AP141" s="17"/>
      <c r="AQ141" s="17"/>
    </row>
    <row r="142" spans="1:43" s="84" customFormat="1" ht="15" x14ac:dyDescent="0.35">
      <c r="A142" s="80"/>
      <c r="B142" s="81"/>
      <c r="C142" s="82"/>
      <c r="D142" s="82"/>
      <c r="E142" s="82"/>
      <c r="F142" s="82"/>
      <c r="G142" s="83"/>
      <c r="H142" s="82"/>
      <c r="I142" s="82"/>
      <c r="J142" s="82"/>
      <c r="K142" s="82"/>
      <c r="L142" s="76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76"/>
      <c r="Z142" s="82"/>
      <c r="AA142" s="82"/>
      <c r="AB142" s="82"/>
      <c r="AC142" s="82"/>
      <c r="AD142" s="82"/>
      <c r="AE142" s="82"/>
      <c r="AF142" s="82"/>
      <c r="AG142" s="82"/>
      <c r="AH142" s="82"/>
      <c r="AI142" s="82"/>
      <c r="AJ142" s="82"/>
      <c r="AK142" s="82"/>
      <c r="AL142" s="76"/>
      <c r="AM142" s="82"/>
      <c r="AN142" s="82"/>
      <c r="AO142" s="82"/>
      <c r="AP142" s="82"/>
      <c r="AQ142" s="82"/>
    </row>
    <row r="143" spans="1:43" ht="15" x14ac:dyDescent="0.35">
      <c r="A143" s="85"/>
      <c r="B143" s="86"/>
      <c r="C143" s="87"/>
      <c r="D143" s="87"/>
      <c r="E143" s="87"/>
      <c r="F143" s="87"/>
      <c r="G143" s="88"/>
      <c r="H143" s="87"/>
      <c r="I143" s="87"/>
      <c r="J143" s="87"/>
      <c r="K143" s="8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M143" s="17"/>
      <c r="AN143" s="17"/>
      <c r="AO143" s="17"/>
      <c r="AP143" s="17"/>
      <c r="AQ143" s="17"/>
    </row>
    <row r="144" spans="1:43" s="84" customFormat="1" ht="15" x14ac:dyDescent="0.35">
      <c r="A144" s="80"/>
      <c r="B144" s="81"/>
      <c r="C144" s="82"/>
      <c r="D144" s="82"/>
      <c r="E144" s="82"/>
      <c r="F144" s="82"/>
      <c r="G144" s="83"/>
      <c r="H144" s="82"/>
      <c r="I144" s="82"/>
      <c r="J144" s="82"/>
      <c r="K144" s="82"/>
      <c r="L144" s="76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76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76"/>
      <c r="AM144" s="82"/>
      <c r="AN144" s="82"/>
      <c r="AO144" s="82"/>
      <c r="AP144" s="82"/>
      <c r="AQ144" s="82"/>
    </row>
    <row r="145" spans="1:43" ht="15" x14ac:dyDescent="0.35">
      <c r="A145" s="85"/>
      <c r="B145" s="86"/>
      <c r="C145" s="87"/>
      <c r="D145" s="87"/>
      <c r="E145" s="87"/>
      <c r="F145" s="87"/>
      <c r="G145" s="88"/>
      <c r="H145" s="87"/>
      <c r="I145" s="87"/>
      <c r="J145" s="87"/>
      <c r="K145" s="8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M145" s="17"/>
      <c r="AN145" s="17"/>
      <c r="AO145" s="17"/>
      <c r="AP145" s="17"/>
      <c r="AQ145" s="17"/>
    </row>
    <row r="146" spans="1:43" s="84" customFormat="1" ht="15" x14ac:dyDescent="0.35">
      <c r="A146" s="80"/>
      <c r="B146" s="81"/>
      <c r="C146" s="82"/>
      <c r="D146" s="82"/>
      <c r="E146" s="82"/>
      <c r="F146" s="82"/>
      <c r="G146" s="83"/>
      <c r="H146" s="82"/>
      <c r="I146" s="82"/>
      <c r="J146" s="82"/>
      <c r="K146" s="82"/>
      <c r="L146" s="76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76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76"/>
      <c r="AM146" s="82"/>
      <c r="AN146" s="82"/>
      <c r="AO146" s="82"/>
      <c r="AP146" s="82"/>
      <c r="AQ146" s="82"/>
    </row>
    <row r="147" spans="1:43" ht="15" x14ac:dyDescent="0.35">
      <c r="A147" s="85"/>
      <c r="B147" s="86"/>
      <c r="C147" s="87"/>
      <c r="D147" s="87"/>
      <c r="E147" s="87"/>
      <c r="F147" s="87"/>
      <c r="G147" s="88"/>
      <c r="H147" s="87"/>
      <c r="I147" s="87"/>
      <c r="J147" s="87"/>
      <c r="K147" s="8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M147" s="17"/>
      <c r="AN147" s="17"/>
      <c r="AO147" s="17"/>
      <c r="AP147" s="17"/>
      <c r="AQ147" s="17"/>
    </row>
    <row r="148" spans="1:43" s="84" customFormat="1" ht="15" x14ac:dyDescent="0.35">
      <c r="A148" s="80"/>
      <c r="B148" s="81"/>
      <c r="C148" s="82"/>
      <c r="D148" s="82"/>
      <c r="E148" s="82"/>
      <c r="F148" s="82"/>
      <c r="G148" s="83"/>
      <c r="H148" s="82"/>
      <c r="I148" s="82"/>
      <c r="J148" s="82"/>
      <c r="K148" s="82"/>
      <c r="L148" s="76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76"/>
      <c r="Z148" s="82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76"/>
      <c r="AM148" s="82"/>
      <c r="AN148" s="82"/>
      <c r="AO148" s="82"/>
      <c r="AP148" s="82"/>
      <c r="AQ148" s="82"/>
    </row>
    <row r="149" spans="1:43" ht="15" x14ac:dyDescent="0.35">
      <c r="A149" s="85"/>
      <c r="B149" s="86"/>
      <c r="C149" s="87"/>
      <c r="D149" s="87"/>
      <c r="E149" s="87"/>
      <c r="F149" s="87"/>
      <c r="G149" s="88"/>
      <c r="H149" s="87"/>
      <c r="I149" s="87"/>
      <c r="J149" s="87"/>
      <c r="K149" s="8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M149" s="17"/>
      <c r="AN149" s="17"/>
      <c r="AO149" s="17"/>
      <c r="AP149" s="17"/>
      <c r="AQ149" s="17"/>
    </row>
    <row r="150" spans="1:43" s="84" customFormat="1" ht="15" x14ac:dyDescent="0.35">
      <c r="A150" s="80"/>
      <c r="B150" s="81"/>
      <c r="C150" s="82"/>
      <c r="D150" s="82"/>
      <c r="E150" s="82"/>
      <c r="F150" s="82"/>
      <c r="G150" s="83"/>
      <c r="H150" s="82"/>
      <c r="I150" s="82"/>
      <c r="J150" s="82"/>
      <c r="K150" s="82"/>
      <c r="L150" s="76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76"/>
      <c r="Z150" s="82"/>
      <c r="AA150" s="82"/>
      <c r="AB150" s="82"/>
      <c r="AC150" s="82"/>
      <c r="AD150" s="82"/>
      <c r="AE150" s="82"/>
      <c r="AF150" s="82"/>
      <c r="AG150" s="82"/>
      <c r="AH150" s="82"/>
      <c r="AI150" s="82"/>
      <c r="AJ150" s="82"/>
      <c r="AK150" s="82"/>
      <c r="AL150" s="76"/>
      <c r="AM150" s="82"/>
      <c r="AN150" s="82"/>
      <c r="AO150" s="82"/>
      <c r="AP150" s="82"/>
      <c r="AQ150" s="82"/>
    </row>
    <row r="151" spans="1:43" ht="15" x14ac:dyDescent="0.35">
      <c r="A151" s="85"/>
      <c r="B151" s="86"/>
      <c r="C151" s="87"/>
      <c r="D151" s="87"/>
      <c r="E151" s="87"/>
      <c r="F151" s="87"/>
      <c r="G151" s="88"/>
      <c r="H151" s="87"/>
      <c r="I151" s="87"/>
      <c r="J151" s="87"/>
      <c r="K151" s="8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M151" s="17"/>
      <c r="AN151" s="17"/>
      <c r="AO151" s="17"/>
      <c r="AP151" s="17"/>
      <c r="AQ151" s="17"/>
    </row>
    <row r="152" spans="1:43" s="84" customFormat="1" ht="15" x14ac:dyDescent="0.35">
      <c r="A152" s="80"/>
      <c r="B152" s="81"/>
      <c r="C152" s="82"/>
      <c r="D152" s="82"/>
      <c r="E152" s="82"/>
      <c r="F152" s="82"/>
      <c r="G152" s="83"/>
      <c r="H152" s="82"/>
      <c r="I152" s="82"/>
      <c r="J152" s="82"/>
      <c r="K152" s="82"/>
      <c r="L152" s="76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76"/>
      <c r="Z152" s="82"/>
      <c r="AA152" s="82"/>
      <c r="AB152" s="82"/>
      <c r="AC152" s="82"/>
      <c r="AD152" s="82"/>
      <c r="AE152" s="82"/>
      <c r="AF152" s="82"/>
      <c r="AG152" s="82"/>
      <c r="AH152" s="82"/>
      <c r="AI152" s="82"/>
      <c r="AJ152" s="82"/>
      <c r="AK152" s="82"/>
      <c r="AL152" s="76"/>
      <c r="AM152" s="82"/>
      <c r="AN152" s="82"/>
      <c r="AO152" s="82"/>
      <c r="AP152" s="82"/>
      <c r="AQ152" s="82"/>
    </row>
    <row r="153" spans="1:43" ht="15" x14ac:dyDescent="0.35">
      <c r="A153" s="85"/>
      <c r="B153" s="86"/>
      <c r="C153" s="87"/>
      <c r="D153" s="87"/>
      <c r="E153" s="87"/>
      <c r="F153" s="87"/>
      <c r="G153" s="88"/>
      <c r="H153" s="87"/>
      <c r="I153" s="87"/>
      <c r="J153" s="87"/>
      <c r="K153" s="8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M153" s="17"/>
      <c r="AN153" s="17"/>
      <c r="AO153" s="17"/>
      <c r="AP153" s="17"/>
      <c r="AQ153" s="17"/>
    </row>
    <row r="154" spans="1:43" s="84" customFormat="1" ht="15" x14ac:dyDescent="0.35">
      <c r="A154" s="80"/>
      <c r="B154" s="81"/>
      <c r="C154" s="82"/>
      <c r="D154" s="82"/>
      <c r="E154" s="82"/>
      <c r="F154" s="82"/>
      <c r="G154" s="83"/>
      <c r="H154" s="82"/>
      <c r="I154" s="82"/>
      <c r="J154" s="82"/>
      <c r="K154" s="82"/>
      <c r="L154" s="76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76"/>
      <c r="Z154" s="82"/>
      <c r="AA154" s="82"/>
      <c r="AB154" s="82"/>
      <c r="AC154" s="82"/>
      <c r="AD154" s="82"/>
      <c r="AE154" s="82"/>
      <c r="AF154" s="82"/>
      <c r="AG154" s="82"/>
      <c r="AH154" s="82"/>
      <c r="AI154" s="82"/>
      <c r="AJ154" s="82"/>
      <c r="AK154" s="82"/>
      <c r="AL154" s="76"/>
      <c r="AM154" s="82"/>
      <c r="AN154" s="82"/>
      <c r="AO154" s="82"/>
      <c r="AP154" s="82"/>
      <c r="AQ154" s="82"/>
    </row>
    <row r="155" spans="1:43" ht="15" x14ac:dyDescent="0.35">
      <c r="A155" s="85"/>
      <c r="B155" s="86"/>
      <c r="C155" s="87"/>
      <c r="D155" s="87"/>
      <c r="E155" s="87"/>
      <c r="F155" s="87"/>
      <c r="G155" s="88"/>
      <c r="H155" s="87"/>
      <c r="I155" s="87"/>
      <c r="J155" s="87"/>
      <c r="K155" s="8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M155" s="17"/>
      <c r="AN155" s="17"/>
      <c r="AO155" s="17"/>
      <c r="AP155" s="17"/>
      <c r="AQ155" s="17"/>
    </row>
    <row r="156" spans="1:43" s="84" customFormat="1" ht="15" x14ac:dyDescent="0.35">
      <c r="A156" s="80"/>
      <c r="B156" s="81"/>
      <c r="C156" s="82"/>
      <c r="D156" s="82"/>
      <c r="E156" s="82"/>
      <c r="F156" s="82"/>
      <c r="G156" s="83"/>
      <c r="H156" s="82"/>
      <c r="I156" s="82"/>
      <c r="J156" s="82"/>
      <c r="K156" s="82"/>
      <c r="L156" s="76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76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76"/>
      <c r="AM156" s="82"/>
      <c r="AN156" s="82"/>
      <c r="AO156" s="82"/>
      <c r="AP156" s="82"/>
      <c r="AQ156" s="82"/>
    </row>
    <row r="157" spans="1:43" ht="15" x14ac:dyDescent="0.35">
      <c r="A157" s="85"/>
      <c r="B157" s="86"/>
      <c r="C157" s="87"/>
      <c r="D157" s="87"/>
      <c r="E157" s="87"/>
      <c r="F157" s="87"/>
      <c r="G157" s="88"/>
      <c r="H157" s="87"/>
      <c r="I157" s="87"/>
      <c r="J157" s="87"/>
      <c r="K157" s="8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M157" s="17"/>
      <c r="AN157" s="17"/>
      <c r="AO157" s="17"/>
      <c r="AP157" s="17"/>
      <c r="AQ157" s="17"/>
    </row>
    <row r="158" spans="1:43" s="84" customFormat="1" ht="15" x14ac:dyDescent="0.35">
      <c r="A158" s="80"/>
      <c r="B158" s="81"/>
      <c r="C158" s="82"/>
      <c r="D158" s="82"/>
      <c r="E158" s="82"/>
      <c r="F158" s="82"/>
      <c r="G158" s="83"/>
      <c r="H158" s="82"/>
      <c r="I158" s="82"/>
      <c r="J158" s="82"/>
      <c r="K158" s="82"/>
      <c r="L158" s="76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76"/>
      <c r="Z158" s="82"/>
      <c r="AA158" s="82"/>
      <c r="AB158" s="82"/>
      <c r="AC158" s="82"/>
      <c r="AD158" s="82"/>
      <c r="AE158" s="82"/>
      <c r="AF158" s="82"/>
      <c r="AG158" s="82"/>
      <c r="AH158" s="82"/>
      <c r="AI158" s="82"/>
      <c r="AJ158" s="82"/>
      <c r="AK158" s="82"/>
      <c r="AL158" s="76"/>
      <c r="AM158" s="82"/>
      <c r="AN158" s="82"/>
      <c r="AO158" s="82"/>
      <c r="AP158" s="82"/>
      <c r="AQ158" s="82"/>
    </row>
    <row r="159" spans="1:43" ht="15" x14ac:dyDescent="0.35">
      <c r="A159" s="85"/>
      <c r="B159" s="86"/>
      <c r="C159" s="87"/>
      <c r="D159" s="87"/>
      <c r="E159" s="87"/>
      <c r="F159" s="87"/>
      <c r="G159" s="88"/>
      <c r="H159" s="87"/>
      <c r="I159" s="87"/>
      <c r="J159" s="87"/>
      <c r="K159" s="8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M159" s="17"/>
      <c r="AN159" s="17"/>
      <c r="AO159" s="17"/>
      <c r="AP159" s="17"/>
      <c r="AQ159" s="17"/>
    </row>
    <row r="160" spans="1:43" s="84" customFormat="1" ht="15" x14ac:dyDescent="0.35">
      <c r="A160" s="80"/>
      <c r="B160" s="81"/>
      <c r="C160" s="82"/>
      <c r="D160" s="82"/>
      <c r="E160" s="82"/>
      <c r="F160" s="82"/>
      <c r="G160" s="83"/>
      <c r="H160" s="82"/>
      <c r="I160" s="82"/>
      <c r="J160" s="82"/>
      <c r="K160" s="82"/>
      <c r="L160" s="76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76"/>
      <c r="Z160" s="82"/>
      <c r="AA160" s="82"/>
      <c r="AB160" s="82"/>
      <c r="AC160" s="82"/>
      <c r="AD160" s="82"/>
      <c r="AE160" s="82"/>
      <c r="AF160" s="82"/>
      <c r="AG160" s="82"/>
      <c r="AH160" s="82"/>
      <c r="AI160" s="82"/>
      <c r="AJ160" s="82"/>
      <c r="AK160" s="82"/>
      <c r="AL160" s="76"/>
      <c r="AM160" s="82"/>
      <c r="AN160" s="82"/>
      <c r="AO160" s="82"/>
      <c r="AP160" s="82"/>
      <c r="AQ160" s="82"/>
    </row>
    <row r="161" spans="1:43" ht="15" x14ac:dyDescent="0.35">
      <c r="A161" s="85"/>
      <c r="B161" s="86"/>
      <c r="C161" s="87"/>
      <c r="D161" s="87"/>
      <c r="E161" s="87"/>
      <c r="F161" s="87"/>
      <c r="G161" s="88"/>
      <c r="H161" s="87"/>
      <c r="I161" s="87"/>
      <c r="J161" s="87"/>
      <c r="K161" s="8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M161" s="17"/>
      <c r="AN161" s="17"/>
      <c r="AO161" s="17"/>
      <c r="AP161" s="17"/>
      <c r="AQ161" s="17"/>
    </row>
    <row r="162" spans="1:43" s="84" customFormat="1" ht="15" x14ac:dyDescent="0.35">
      <c r="A162" s="80"/>
      <c r="B162" s="81"/>
      <c r="C162" s="82"/>
      <c r="D162" s="82"/>
      <c r="E162" s="82"/>
      <c r="F162" s="82"/>
      <c r="G162" s="83"/>
      <c r="H162" s="82"/>
      <c r="I162" s="82"/>
      <c r="J162" s="82"/>
      <c r="K162" s="82"/>
      <c r="L162" s="76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76"/>
      <c r="Z162" s="82"/>
      <c r="AA162" s="82"/>
      <c r="AB162" s="82"/>
      <c r="AC162" s="82"/>
      <c r="AD162" s="82"/>
      <c r="AE162" s="82"/>
      <c r="AF162" s="82"/>
      <c r="AG162" s="82"/>
      <c r="AH162" s="82"/>
      <c r="AI162" s="82"/>
      <c r="AJ162" s="82"/>
      <c r="AK162" s="82"/>
      <c r="AL162" s="76"/>
      <c r="AM162" s="82"/>
      <c r="AN162" s="82"/>
      <c r="AO162" s="82"/>
      <c r="AP162" s="82"/>
      <c r="AQ162" s="82"/>
    </row>
    <row r="163" spans="1:43" ht="15" x14ac:dyDescent="0.35">
      <c r="A163" s="85"/>
      <c r="B163" s="86"/>
      <c r="C163" s="87"/>
      <c r="D163" s="87"/>
      <c r="E163" s="87"/>
      <c r="F163" s="87"/>
      <c r="G163" s="88"/>
      <c r="H163" s="87"/>
      <c r="I163" s="87"/>
      <c r="J163" s="87"/>
      <c r="K163" s="8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M163" s="17"/>
      <c r="AN163" s="17"/>
      <c r="AO163" s="17"/>
      <c r="AP163" s="17"/>
      <c r="AQ163" s="17"/>
    </row>
    <row r="164" spans="1:43" s="84" customFormat="1" ht="15" x14ac:dyDescent="0.35">
      <c r="A164" s="80"/>
      <c r="B164" s="81"/>
      <c r="C164" s="82"/>
      <c r="D164" s="82"/>
      <c r="E164" s="82"/>
      <c r="F164" s="82"/>
      <c r="G164" s="83"/>
      <c r="H164" s="82"/>
      <c r="I164" s="82"/>
      <c r="J164" s="82"/>
      <c r="K164" s="82"/>
      <c r="L164" s="76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76"/>
      <c r="Z164" s="82"/>
      <c r="AA164" s="82"/>
      <c r="AB164" s="82"/>
      <c r="AC164" s="82"/>
      <c r="AD164" s="82"/>
      <c r="AE164" s="82"/>
      <c r="AF164" s="82"/>
      <c r="AG164" s="82"/>
      <c r="AH164" s="82"/>
      <c r="AI164" s="82"/>
      <c r="AJ164" s="82"/>
      <c r="AK164" s="82"/>
      <c r="AL164" s="76"/>
      <c r="AM164" s="82"/>
      <c r="AN164" s="82"/>
      <c r="AO164" s="82"/>
      <c r="AP164" s="82"/>
      <c r="AQ164" s="82"/>
    </row>
    <row r="165" spans="1:43" ht="15" x14ac:dyDescent="0.35">
      <c r="A165" s="85"/>
      <c r="B165" s="86"/>
      <c r="C165" s="87"/>
      <c r="D165" s="87"/>
      <c r="E165" s="87"/>
      <c r="F165" s="87"/>
      <c r="G165" s="88"/>
      <c r="H165" s="87"/>
      <c r="I165" s="87"/>
      <c r="J165" s="87"/>
      <c r="K165" s="8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M165" s="17"/>
      <c r="AN165" s="17"/>
      <c r="AO165" s="17"/>
      <c r="AP165" s="17"/>
      <c r="AQ165" s="17"/>
    </row>
    <row r="166" spans="1:43" s="84" customFormat="1" ht="15" x14ac:dyDescent="0.35">
      <c r="A166" s="80"/>
      <c r="B166" s="81"/>
      <c r="C166" s="82"/>
      <c r="D166" s="82"/>
      <c r="E166" s="82"/>
      <c r="F166" s="82"/>
      <c r="G166" s="83"/>
      <c r="H166" s="82"/>
      <c r="I166" s="82"/>
      <c r="J166" s="82"/>
      <c r="K166" s="82"/>
      <c r="L166" s="76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76"/>
      <c r="Z166" s="82"/>
      <c r="AA166" s="82"/>
      <c r="AB166" s="82"/>
      <c r="AC166" s="82"/>
      <c r="AD166" s="82"/>
      <c r="AE166" s="82"/>
      <c r="AF166" s="82"/>
      <c r="AG166" s="82"/>
      <c r="AH166" s="82"/>
      <c r="AI166" s="82"/>
      <c r="AJ166" s="82"/>
      <c r="AK166" s="82"/>
      <c r="AL166" s="76"/>
      <c r="AM166" s="82"/>
      <c r="AN166" s="82"/>
      <c r="AO166" s="82"/>
      <c r="AP166" s="82"/>
      <c r="AQ166" s="82"/>
    </row>
    <row r="167" spans="1:43" ht="15" x14ac:dyDescent="0.35">
      <c r="A167" s="85"/>
      <c r="B167" s="86"/>
      <c r="C167" s="87"/>
      <c r="D167" s="87"/>
      <c r="E167" s="87"/>
      <c r="F167" s="87"/>
      <c r="G167" s="88"/>
      <c r="H167" s="87"/>
      <c r="I167" s="87"/>
      <c r="J167" s="87"/>
      <c r="K167" s="8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M167" s="17"/>
      <c r="AN167" s="17"/>
      <c r="AO167" s="17"/>
      <c r="AP167" s="17"/>
      <c r="AQ167" s="17"/>
    </row>
    <row r="168" spans="1:43" s="84" customFormat="1" ht="15" x14ac:dyDescent="0.35">
      <c r="A168" s="80"/>
      <c r="B168" s="81"/>
      <c r="C168" s="82"/>
      <c r="D168" s="82"/>
      <c r="E168" s="82"/>
      <c r="F168" s="82"/>
      <c r="G168" s="83"/>
      <c r="H168" s="82"/>
      <c r="I168" s="82"/>
      <c r="J168" s="82"/>
      <c r="K168" s="82"/>
      <c r="L168" s="76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76"/>
      <c r="Z168" s="82"/>
      <c r="AA168" s="82"/>
      <c r="AB168" s="82"/>
      <c r="AC168" s="82"/>
      <c r="AD168" s="82"/>
      <c r="AE168" s="82"/>
      <c r="AF168" s="82"/>
      <c r="AG168" s="82"/>
      <c r="AH168" s="82"/>
      <c r="AI168" s="82"/>
      <c r="AJ168" s="82"/>
      <c r="AK168" s="82"/>
      <c r="AL168" s="76"/>
      <c r="AM168" s="82"/>
      <c r="AN168" s="82"/>
      <c r="AO168" s="82"/>
      <c r="AP168" s="82"/>
      <c r="AQ168" s="82"/>
    </row>
    <row r="169" spans="1:43" ht="15" x14ac:dyDescent="0.35">
      <c r="A169" s="85"/>
      <c r="B169" s="86"/>
      <c r="C169" s="87"/>
      <c r="D169" s="87"/>
      <c r="E169" s="87"/>
      <c r="F169" s="87"/>
      <c r="G169" s="88"/>
      <c r="H169" s="87"/>
      <c r="I169" s="87"/>
      <c r="J169" s="87"/>
      <c r="K169" s="8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M169" s="17"/>
      <c r="AN169" s="17"/>
      <c r="AO169" s="17"/>
      <c r="AP169" s="17"/>
      <c r="AQ169" s="17"/>
    </row>
    <row r="170" spans="1:43" s="84" customFormat="1" ht="15" x14ac:dyDescent="0.35">
      <c r="A170" s="80"/>
      <c r="B170" s="81"/>
      <c r="C170" s="82"/>
      <c r="D170" s="82"/>
      <c r="E170" s="82"/>
      <c r="F170" s="82"/>
      <c r="G170" s="83"/>
      <c r="H170" s="82"/>
      <c r="I170" s="82"/>
      <c r="J170" s="82"/>
      <c r="K170" s="82"/>
      <c r="L170" s="76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76"/>
      <c r="Z170" s="82"/>
      <c r="AA170" s="82"/>
      <c r="AB170" s="82"/>
      <c r="AC170" s="82"/>
      <c r="AD170" s="82"/>
      <c r="AE170" s="82"/>
      <c r="AF170" s="82"/>
      <c r="AG170" s="82"/>
      <c r="AH170" s="82"/>
      <c r="AI170" s="82"/>
      <c r="AJ170" s="82"/>
      <c r="AK170" s="82"/>
      <c r="AL170" s="76"/>
      <c r="AM170" s="82"/>
      <c r="AN170" s="82"/>
      <c r="AO170" s="82"/>
      <c r="AP170" s="82"/>
      <c r="AQ170" s="82"/>
    </row>
    <row r="171" spans="1:43" ht="15" x14ac:dyDescent="0.35">
      <c r="A171" s="85"/>
      <c r="B171" s="86"/>
      <c r="C171" s="87"/>
      <c r="D171" s="87"/>
      <c r="E171" s="87"/>
      <c r="F171" s="87"/>
      <c r="G171" s="88"/>
      <c r="H171" s="87"/>
      <c r="I171" s="87"/>
      <c r="J171" s="87"/>
      <c r="K171" s="8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M171" s="17"/>
      <c r="AN171" s="17"/>
      <c r="AO171" s="17"/>
      <c r="AP171" s="17"/>
      <c r="AQ171" s="17"/>
    </row>
    <row r="172" spans="1:43" s="84" customFormat="1" ht="15" x14ac:dyDescent="0.35">
      <c r="A172" s="80"/>
      <c r="B172" s="81"/>
      <c r="C172" s="82"/>
      <c r="D172" s="82"/>
      <c r="E172" s="82"/>
      <c r="F172" s="82"/>
      <c r="G172" s="83"/>
      <c r="H172" s="82"/>
      <c r="I172" s="82"/>
      <c r="J172" s="82"/>
      <c r="K172" s="82"/>
      <c r="L172" s="76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76"/>
      <c r="Z172" s="82"/>
      <c r="AA172" s="82"/>
      <c r="AB172" s="82"/>
      <c r="AC172" s="82"/>
      <c r="AD172" s="82"/>
      <c r="AE172" s="82"/>
      <c r="AF172" s="82"/>
      <c r="AG172" s="82"/>
      <c r="AH172" s="82"/>
      <c r="AI172" s="82"/>
      <c r="AJ172" s="82"/>
      <c r="AK172" s="82"/>
      <c r="AL172" s="76"/>
      <c r="AM172" s="82"/>
      <c r="AN172" s="82"/>
      <c r="AO172" s="82"/>
      <c r="AP172" s="82"/>
      <c r="AQ172" s="82"/>
    </row>
    <row r="173" spans="1:43" ht="15" x14ac:dyDescent="0.35">
      <c r="A173" s="85"/>
      <c r="B173" s="86"/>
      <c r="C173" s="87"/>
      <c r="D173" s="87"/>
      <c r="E173" s="87"/>
      <c r="F173" s="87"/>
      <c r="G173" s="88"/>
      <c r="H173" s="87"/>
      <c r="I173" s="87"/>
      <c r="J173" s="87"/>
      <c r="K173" s="8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M173" s="17"/>
      <c r="AN173" s="17"/>
      <c r="AO173" s="17"/>
      <c r="AP173" s="17"/>
      <c r="AQ173" s="17"/>
    </row>
    <row r="174" spans="1:43" s="84" customFormat="1" ht="15" x14ac:dyDescent="0.35">
      <c r="A174" s="80"/>
      <c r="B174" s="81"/>
      <c r="C174" s="82"/>
      <c r="D174" s="82"/>
      <c r="E174" s="82"/>
      <c r="F174" s="82"/>
      <c r="G174" s="83"/>
      <c r="H174" s="82"/>
      <c r="I174" s="82"/>
      <c r="J174" s="82"/>
      <c r="K174" s="82"/>
      <c r="L174" s="76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76"/>
      <c r="Z174" s="82"/>
      <c r="AA174" s="82"/>
      <c r="AB174" s="82"/>
      <c r="AC174" s="82"/>
      <c r="AD174" s="82"/>
      <c r="AE174" s="82"/>
      <c r="AF174" s="82"/>
      <c r="AG174" s="82"/>
      <c r="AH174" s="82"/>
      <c r="AI174" s="82"/>
      <c r="AJ174" s="82"/>
      <c r="AK174" s="82"/>
      <c r="AL174" s="76"/>
      <c r="AM174" s="82"/>
      <c r="AN174" s="82"/>
      <c r="AO174" s="82"/>
      <c r="AP174" s="82"/>
      <c r="AQ174" s="82"/>
    </row>
    <row r="175" spans="1:43" ht="15" x14ac:dyDescent="0.35">
      <c r="A175" s="85"/>
      <c r="B175" s="86"/>
      <c r="C175" s="87"/>
      <c r="D175" s="87"/>
      <c r="E175" s="87"/>
      <c r="F175" s="87"/>
      <c r="G175" s="88"/>
      <c r="H175" s="87"/>
      <c r="I175" s="87"/>
      <c r="J175" s="87"/>
      <c r="K175" s="8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M175" s="17"/>
      <c r="AN175" s="17"/>
      <c r="AO175" s="17"/>
      <c r="AP175" s="17"/>
      <c r="AQ175" s="17"/>
    </row>
    <row r="176" spans="1:43" s="84" customFormat="1" ht="15" x14ac:dyDescent="0.35">
      <c r="A176" s="80"/>
      <c r="B176" s="81"/>
      <c r="C176" s="82"/>
      <c r="D176" s="82"/>
      <c r="E176" s="82"/>
      <c r="F176" s="82"/>
      <c r="G176" s="83"/>
      <c r="H176" s="82"/>
      <c r="I176" s="82"/>
      <c r="J176" s="82"/>
      <c r="K176" s="82"/>
      <c r="L176" s="76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76"/>
      <c r="Z176" s="82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76"/>
      <c r="AM176" s="82"/>
      <c r="AN176" s="82"/>
      <c r="AO176" s="82"/>
      <c r="AP176" s="82"/>
      <c r="AQ176" s="82"/>
    </row>
    <row r="177" spans="1:43" ht="15" x14ac:dyDescent="0.35">
      <c r="A177" s="85"/>
      <c r="B177" s="86"/>
      <c r="C177" s="87"/>
      <c r="D177" s="87"/>
      <c r="E177" s="87"/>
      <c r="F177" s="87"/>
      <c r="G177" s="88"/>
      <c r="H177" s="87"/>
      <c r="I177" s="87"/>
      <c r="J177" s="87"/>
      <c r="K177" s="8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M177" s="17"/>
      <c r="AN177" s="17"/>
      <c r="AO177" s="17"/>
      <c r="AP177" s="17"/>
      <c r="AQ177" s="17"/>
    </row>
    <row r="178" spans="1:43" s="84" customFormat="1" ht="15" x14ac:dyDescent="0.35">
      <c r="A178" s="80"/>
      <c r="B178" s="81"/>
      <c r="C178" s="82"/>
      <c r="D178" s="82"/>
      <c r="E178" s="82"/>
      <c r="F178" s="82"/>
      <c r="G178" s="83"/>
      <c r="H178" s="82"/>
      <c r="I178" s="82"/>
      <c r="J178" s="82"/>
      <c r="K178" s="82"/>
      <c r="L178" s="76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76"/>
      <c r="Z178" s="82"/>
      <c r="AA178" s="82"/>
      <c r="AB178" s="82"/>
      <c r="AC178" s="82"/>
      <c r="AD178" s="82"/>
      <c r="AE178" s="82"/>
      <c r="AF178" s="82"/>
      <c r="AG178" s="82"/>
      <c r="AH178" s="82"/>
      <c r="AI178" s="82"/>
      <c r="AJ178" s="82"/>
      <c r="AK178" s="82"/>
      <c r="AL178" s="76"/>
      <c r="AM178" s="82"/>
      <c r="AN178" s="82"/>
      <c r="AO178" s="82"/>
      <c r="AP178" s="82"/>
      <c r="AQ178" s="82"/>
    </row>
    <row r="179" spans="1:43" ht="15" x14ac:dyDescent="0.35">
      <c r="A179" s="85"/>
      <c r="B179" s="86"/>
      <c r="C179" s="87"/>
      <c r="D179" s="87"/>
      <c r="E179" s="87"/>
      <c r="F179" s="87"/>
      <c r="G179" s="88"/>
      <c r="H179" s="87"/>
      <c r="I179" s="87"/>
      <c r="J179" s="87"/>
      <c r="K179" s="8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M179" s="17"/>
      <c r="AN179" s="17"/>
      <c r="AO179" s="17"/>
      <c r="AP179" s="17"/>
      <c r="AQ179" s="17"/>
    </row>
    <row r="180" spans="1:43" s="84" customFormat="1" ht="15" x14ac:dyDescent="0.35">
      <c r="A180" s="80"/>
      <c r="B180" s="81"/>
      <c r="C180" s="82"/>
      <c r="D180" s="82"/>
      <c r="E180" s="82"/>
      <c r="F180" s="82"/>
      <c r="G180" s="83"/>
      <c r="H180" s="82"/>
      <c r="I180" s="82"/>
      <c r="J180" s="82"/>
      <c r="K180" s="82"/>
      <c r="L180" s="76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76"/>
      <c r="Z180" s="82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76"/>
      <c r="AM180" s="82"/>
      <c r="AN180" s="82"/>
      <c r="AO180" s="82"/>
      <c r="AP180" s="82"/>
      <c r="AQ180" s="82"/>
    </row>
    <row r="181" spans="1:43" ht="15" x14ac:dyDescent="0.35">
      <c r="A181" s="85"/>
      <c r="B181" s="86"/>
      <c r="C181" s="87"/>
      <c r="D181" s="87"/>
      <c r="E181" s="87"/>
      <c r="F181" s="87"/>
      <c r="G181" s="88"/>
      <c r="H181" s="87"/>
      <c r="I181" s="87"/>
      <c r="J181" s="87"/>
      <c r="K181" s="8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M181" s="17"/>
      <c r="AN181" s="17"/>
      <c r="AO181" s="17"/>
      <c r="AP181" s="17"/>
      <c r="AQ181" s="17"/>
    </row>
    <row r="182" spans="1:43" s="84" customFormat="1" ht="15" x14ac:dyDescent="0.35">
      <c r="A182" s="80"/>
      <c r="B182" s="81"/>
      <c r="C182" s="82"/>
      <c r="D182" s="82"/>
      <c r="E182" s="82"/>
      <c r="F182" s="82"/>
      <c r="G182" s="83"/>
      <c r="H182" s="82"/>
      <c r="I182" s="82"/>
      <c r="J182" s="82"/>
      <c r="K182" s="82"/>
      <c r="L182" s="76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76"/>
      <c r="Z182" s="82"/>
      <c r="AA182" s="82"/>
      <c r="AB182" s="82"/>
      <c r="AC182" s="82"/>
      <c r="AD182" s="82"/>
      <c r="AE182" s="82"/>
      <c r="AF182" s="82"/>
      <c r="AG182" s="82"/>
      <c r="AH182" s="82"/>
      <c r="AI182" s="82"/>
      <c r="AJ182" s="82"/>
      <c r="AK182" s="82"/>
      <c r="AL182" s="76"/>
      <c r="AM182" s="82"/>
      <c r="AN182" s="82"/>
      <c r="AO182" s="82"/>
      <c r="AP182" s="82"/>
      <c r="AQ182" s="82"/>
    </row>
    <row r="183" spans="1:43" ht="15" x14ac:dyDescent="0.35">
      <c r="A183" s="85"/>
      <c r="B183" s="86"/>
      <c r="C183" s="87"/>
      <c r="D183" s="87"/>
      <c r="E183" s="87"/>
      <c r="F183" s="87"/>
      <c r="G183" s="88"/>
      <c r="H183" s="87"/>
      <c r="I183" s="87"/>
      <c r="J183" s="87"/>
      <c r="K183" s="8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M183" s="17"/>
      <c r="AN183" s="17"/>
      <c r="AO183" s="17"/>
      <c r="AP183" s="17"/>
      <c r="AQ183" s="17"/>
    </row>
    <row r="184" spans="1:43" s="84" customFormat="1" ht="15" x14ac:dyDescent="0.35">
      <c r="A184" s="80"/>
      <c r="B184" s="81"/>
      <c r="C184" s="82"/>
      <c r="D184" s="82"/>
      <c r="E184" s="82"/>
      <c r="F184" s="82"/>
      <c r="G184" s="83"/>
      <c r="H184" s="82"/>
      <c r="I184" s="82"/>
      <c r="J184" s="82"/>
      <c r="K184" s="82"/>
      <c r="L184" s="76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76"/>
      <c r="Z184" s="82"/>
      <c r="AA184" s="82"/>
      <c r="AB184" s="82"/>
      <c r="AC184" s="82"/>
      <c r="AD184" s="82"/>
      <c r="AE184" s="82"/>
      <c r="AF184" s="82"/>
      <c r="AG184" s="82"/>
      <c r="AH184" s="82"/>
      <c r="AI184" s="82"/>
      <c r="AJ184" s="82"/>
      <c r="AK184" s="82"/>
      <c r="AL184" s="76"/>
      <c r="AM184" s="82"/>
      <c r="AN184" s="82"/>
      <c r="AO184" s="82"/>
      <c r="AP184" s="82"/>
      <c r="AQ184" s="82"/>
    </row>
    <row r="185" spans="1:43" ht="15" x14ac:dyDescent="0.35">
      <c r="A185" s="85"/>
      <c r="B185" s="86"/>
      <c r="C185" s="87"/>
      <c r="D185" s="87"/>
      <c r="E185" s="87"/>
      <c r="F185" s="87"/>
      <c r="G185" s="88"/>
      <c r="H185" s="87"/>
      <c r="I185" s="87"/>
      <c r="J185" s="87"/>
      <c r="K185" s="8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M185" s="17"/>
      <c r="AN185" s="17"/>
      <c r="AO185" s="17"/>
      <c r="AP185" s="17"/>
      <c r="AQ185" s="17"/>
    </row>
    <row r="186" spans="1:43" s="84" customFormat="1" ht="15" x14ac:dyDescent="0.35">
      <c r="A186" s="80"/>
      <c r="B186" s="81"/>
      <c r="C186" s="82"/>
      <c r="D186" s="82"/>
      <c r="E186" s="82"/>
      <c r="F186" s="82"/>
      <c r="G186" s="83"/>
      <c r="H186" s="82"/>
      <c r="I186" s="82"/>
      <c r="J186" s="82"/>
      <c r="K186" s="82"/>
      <c r="L186" s="76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76"/>
      <c r="Z186" s="82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76"/>
      <c r="AM186" s="82"/>
      <c r="AN186" s="82"/>
      <c r="AO186" s="82"/>
      <c r="AP186" s="82"/>
      <c r="AQ186" s="82"/>
    </row>
    <row r="187" spans="1:43" ht="15" x14ac:dyDescent="0.35">
      <c r="A187" s="85"/>
      <c r="B187" s="86"/>
      <c r="C187" s="87"/>
      <c r="D187" s="87"/>
      <c r="E187" s="87"/>
      <c r="F187" s="87"/>
      <c r="G187" s="88"/>
      <c r="H187" s="87"/>
      <c r="I187" s="87"/>
      <c r="J187" s="87"/>
      <c r="K187" s="8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M187" s="17"/>
      <c r="AN187" s="17"/>
      <c r="AO187" s="17"/>
      <c r="AP187" s="17"/>
      <c r="AQ187" s="17"/>
    </row>
    <row r="188" spans="1:43" s="84" customFormat="1" ht="15" x14ac:dyDescent="0.35">
      <c r="A188" s="80"/>
      <c r="B188" s="81"/>
      <c r="C188" s="82"/>
      <c r="D188" s="82"/>
      <c r="E188" s="82"/>
      <c r="F188" s="82"/>
      <c r="G188" s="83"/>
      <c r="H188" s="82"/>
      <c r="I188" s="82"/>
      <c r="J188" s="82"/>
      <c r="K188" s="82"/>
      <c r="L188" s="76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76"/>
      <c r="Z188" s="82"/>
      <c r="AA188" s="82"/>
      <c r="AB188" s="82"/>
      <c r="AC188" s="82"/>
      <c r="AD188" s="82"/>
      <c r="AE188" s="82"/>
      <c r="AF188" s="82"/>
      <c r="AG188" s="82"/>
      <c r="AH188" s="82"/>
      <c r="AI188" s="82"/>
      <c r="AJ188" s="82"/>
      <c r="AK188" s="82"/>
      <c r="AL188" s="76"/>
      <c r="AM188" s="82"/>
      <c r="AN188" s="82"/>
      <c r="AO188" s="82"/>
      <c r="AP188" s="82"/>
      <c r="AQ188" s="82"/>
    </row>
    <row r="189" spans="1:43" ht="15" x14ac:dyDescent="0.35">
      <c r="A189" s="85"/>
      <c r="B189" s="86"/>
      <c r="C189" s="87"/>
      <c r="D189" s="87"/>
      <c r="E189" s="87"/>
      <c r="F189" s="87"/>
      <c r="G189" s="88"/>
      <c r="H189" s="87"/>
      <c r="I189" s="87"/>
      <c r="J189" s="87"/>
      <c r="K189" s="8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M189" s="17"/>
      <c r="AN189" s="17"/>
      <c r="AO189" s="17"/>
      <c r="AP189" s="17"/>
      <c r="AQ189" s="17"/>
    </row>
    <row r="190" spans="1:43" s="84" customFormat="1" ht="15" x14ac:dyDescent="0.35">
      <c r="A190" s="80"/>
      <c r="B190" s="81"/>
      <c r="C190" s="82"/>
      <c r="D190" s="82"/>
      <c r="E190" s="82"/>
      <c r="F190" s="82"/>
      <c r="G190" s="83"/>
      <c r="H190" s="82"/>
      <c r="I190" s="82"/>
      <c r="J190" s="82"/>
      <c r="K190" s="82"/>
      <c r="L190" s="76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76"/>
      <c r="Z190" s="82"/>
      <c r="AA190" s="82"/>
      <c r="AB190" s="82"/>
      <c r="AC190" s="82"/>
      <c r="AD190" s="82"/>
      <c r="AE190" s="82"/>
      <c r="AF190" s="82"/>
      <c r="AG190" s="82"/>
      <c r="AH190" s="82"/>
      <c r="AI190" s="82"/>
      <c r="AJ190" s="82"/>
      <c r="AK190" s="82"/>
      <c r="AL190" s="76"/>
      <c r="AM190" s="82"/>
      <c r="AN190" s="82"/>
      <c r="AO190" s="82"/>
      <c r="AP190" s="82"/>
      <c r="AQ190" s="82"/>
    </row>
    <row r="191" spans="1:43" ht="15" x14ac:dyDescent="0.35">
      <c r="A191" s="85"/>
      <c r="B191" s="86"/>
      <c r="C191" s="87"/>
      <c r="D191" s="87"/>
      <c r="E191" s="87"/>
      <c r="F191" s="87"/>
      <c r="G191" s="88"/>
      <c r="H191" s="87"/>
      <c r="I191" s="87"/>
      <c r="J191" s="87"/>
      <c r="K191" s="8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M191" s="17"/>
      <c r="AN191" s="17"/>
      <c r="AO191" s="17"/>
      <c r="AP191" s="17"/>
      <c r="AQ191" s="17"/>
    </row>
    <row r="192" spans="1:43" s="84" customFormat="1" ht="15" x14ac:dyDescent="0.35">
      <c r="A192" s="80"/>
      <c r="B192" s="81"/>
      <c r="C192" s="82"/>
      <c r="D192" s="82"/>
      <c r="E192" s="82"/>
      <c r="F192" s="82"/>
      <c r="G192" s="83"/>
      <c r="H192" s="82"/>
      <c r="I192" s="82"/>
      <c r="J192" s="82"/>
      <c r="K192" s="82"/>
      <c r="L192" s="76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76"/>
      <c r="Z192" s="82"/>
      <c r="AA192" s="82"/>
      <c r="AB192" s="82"/>
      <c r="AC192" s="82"/>
      <c r="AD192" s="82"/>
      <c r="AE192" s="82"/>
      <c r="AF192" s="82"/>
      <c r="AG192" s="82"/>
      <c r="AH192" s="82"/>
      <c r="AI192" s="82"/>
      <c r="AJ192" s="82"/>
      <c r="AK192" s="82"/>
      <c r="AL192" s="76"/>
      <c r="AM192" s="82"/>
      <c r="AN192" s="82"/>
      <c r="AO192" s="82"/>
      <c r="AP192" s="82"/>
      <c r="AQ192" s="82"/>
    </row>
    <row r="193" spans="1:43" ht="15" x14ac:dyDescent="0.35">
      <c r="A193" s="85"/>
      <c r="B193" s="86"/>
      <c r="C193" s="87"/>
      <c r="D193" s="87"/>
      <c r="E193" s="87"/>
      <c r="F193" s="87"/>
      <c r="G193" s="88"/>
      <c r="H193" s="87"/>
      <c r="I193" s="87"/>
      <c r="J193" s="87"/>
      <c r="K193" s="8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M193" s="17"/>
      <c r="AN193" s="17"/>
      <c r="AO193" s="17"/>
      <c r="AP193" s="17"/>
      <c r="AQ193" s="17"/>
    </row>
    <row r="194" spans="1:43" s="84" customFormat="1" ht="15" x14ac:dyDescent="0.35">
      <c r="A194" s="80"/>
      <c r="B194" s="81"/>
      <c r="C194" s="82"/>
      <c r="D194" s="82"/>
      <c r="E194" s="82"/>
      <c r="F194" s="82"/>
      <c r="G194" s="83"/>
      <c r="H194" s="82"/>
      <c r="I194" s="82"/>
      <c r="J194" s="82"/>
      <c r="K194" s="82"/>
      <c r="L194" s="76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76"/>
      <c r="Z194" s="82"/>
      <c r="AA194" s="82"/>
      <c r="AB194" s="82"/>
      <c r="AC194" s="82"/>
      <c r="AD194" s="82"/>
      <c r="AE194" s="82"/>
      <c r="AF194" s="82"/>
      <c r="AG194" s="82"/>
      <c r="AH194" s="82"/>
      <c r="AI194" s="82"/>
      <c r="AJ194" s="82"/>
      <c r="AK194" s="82"/>
      <c r="AL194" s="76"/>
      <c r="AM194" s="82"/>
      <c r="AN194" s="82"/>
      <c r="AO194" s="82"/>
      <c r="AP194" s="82"/>
      <c r="AQ194" s="82"/>
    </row>
    <row r="195" spans="1:43" ht="15" x14ac:dyDescent="0.35">
      <c r="A195" s="85"/>
      <c r="B195" s="86"/>
      <c r="C195" s="87"/>
      <c r="D195" s="87"/>
      <c r="E195" s="87"/>
      <c r="F195" s="87"/>
      <c r="G195" s="88"/>
      <c r="H195" s="87"/>
      <c r="I195" s="87"/>
      <c r="J195" s="87"/>
      <c r="K195" s="8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M195" s="17"/>
      <c r="AN195" s="17"/>
      <c r="AO195" s="17"/>
      <c r="AP195" s="17"/>
      <c r="AQ195" s="17"/>
    </row>
    <row r="196" spans="1:43" s="84" customFormat="1" ht="15" x14ac:dyDescent="0.35">
      <c r="A196" s="80"/>
      <c r="B196" s="81"/>
      <c r="C196" s="82"/>
      <c r="D196" s="82"/>
      <c r="E196" s="82"/>
      <c r="F196" s="82"/>
      <c r="G196" s="83"/>
      <c r="H196" s="82"/>
      <c r="I196" s="82"/>
      <c r="J196" s="82"/>
      <c r="K196" s="82"/>
      <c r="L196" s="76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76"/>
      <c r="Z196" s="82"/>
      <c r="AA196" s="82"/>
      <c r="AB196" s="82"/>
      <c r="AC196" s="82"/>
      <c r="AD196" s="82"/>
      <c r="AE196" s="82"/>
      <c r="AF196" s="82"/>
      <c r="AG196" s="82"/>
      <c r="AH196" s="82"/>
      <c r="AI196" s="82"/>
      <c r="AJ196" s="82"/>
      <c r="AK196" s="82"/>
      <c r="AL196" s="76"/>
      <c r="AM196" s="82"/>
      <c r="AN196" s="82"/>
      <c r="AO196" s="82"/>
      <c r="AP196" s="82"/>
      <c r="AQ196" s="82"/>
    </row>
    <row r="197" spans="1:43" ht="15" x14ac:dyDescent="0.35">
      <c r="A197" s="85"/>
      <c r="B197" s="86"/>
      <c r="C197" s="87"/>
      <c r="D197" s="87"/>
      <c r="E197" s="87"/>
      <c r="F197" s="87"/>
      <c r="G197" s="88"/>
      <c r="H197" s="87"/>
      <c r="I197" s="87"/>
      <c r="J197" s="87"/>
      <c r="K197" s="8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M197" s="17"/>
      <c r="AN197" s="17"/>
      <c r="AO197" s="17"/>
      <c r="AP197" s="17"/>
      <c r="AQ197" s="17"/>
    </row>
    <row r="198" spans="1:43" s="84" customFormat="1" ht="15" x14ac:dyDescent="0.35">
      <c r="A198" s="80"/>
      <c r="B198" s="81"/>
      <c r="C198" s="82"/>
      <c r="D198" s="82"/>
      <c r="E198" s="82"/>
      <c r="F198" s="82"/>
      <c r="G198" s="83"/>
      <c r="H198" s="82"/>
      <c r="I198" s="82"/>
      <c r="J198" s="82"/>
      <c r="K198" s="82"/>
      <c r="L198" s="76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76"/>
      <c r="Z198" s="82"/>
      <c r="AA198" s="82"/>
      <c r="AB198" s="82"/>
      <c r="AC198" s="82"/>
      <c r="AD198" s="82"/>
      <c r="AE198" s="82"/>
      <c r="AF198" s="82"/>
      <c r="AG198" s="82"/>
      <c r="AH198" s="82"/>
      <c r="AI198" s="82"/>
      <c r="AJ198" s="82"/>
      <c r="AK198" s="82"/>
      <c r="AL198" s="76"/>
      <c r="AM198" s="82"/>
      <c r="AN198" s="82"/>
      <c r="AO198" s="82"/>
      <c r="AP198" s="82"/>
      <c r="AQ198" s="82"/>
    </row>
    <row r="199" spans="1:43" ht="15" x14ac:dyDescent="0.35">
      <c r="A199" s="85"/>
      <c r="B199" s="86"/>
      <c r="C199" s="87"/>
      <c r="D199" s="87"/>
      <c r="E199" s="87"/>
      <c r="F199" s="87"/>
      <c r="G199" s="88"/>
      <c r="H199" s="87"/>
      <c r="I199" s="87"/>
      <c r="J199" s="87"/>
      <c r="K199" s="8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M199" s="17"/>
      <c r="AN199" s="17"/>
      <c r="AO199" s="17"/>
      <c r="AP199" s="17"/>
      <c r="AQ199" s="17"/>
    </row>
    <row r="200" spans="1:43" s="84" customFormat="1" ht="15" x14ac:dyDescent="0.35">
      <c r="A200" s="80"/>
      <c r="B200" s="81"/>
      <c r="C200" s="82"/>
      <c r="D200" s="82"/>
      <c r="E200" s="82"/>
      <c r="F200" s="82"/>
      <c r="G200" s="83"/>
      <c r="H200" s="82"/>
      <c r="I200" s="82"/>
      <c r="J200" s="82"/>
      <c r="K200" s="82"/>
      <c r="L200" s="76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76"/>
      <c r="Z200" s="82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76"/>
      <c r="AM200" s="82"/>
      <c r="AN200" s="82"/>
      <c r="AO200" s="82"/>
      <c r="AP200" s="82"/>
      <c r="AQ200" s="82"/>
    </row>
    <row r="201" spans="1:43" ht="15" x14ac:dyDescent="0.35">
      <c r="A201" s="85"/>
      <c r="B201" s="86"/>
      <c r="C201" s="87"/>
      <c r="D201" s="87"/>
      <c r="E201" s="87"/>
      <c r="F201" s="87"/>
      <c r="G201" s="88"/>
      <c r="H201" s="87"/>
      <c r="I201" s="87"/>
      <c r="J201" s="87"/>
      <c r="K201" s="8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M201" s="17"/>
      <c r="AN201" s="17"/>
      <c r="AO201" s="17"/>
      <c r="AP201" s="17"/>
      <c r="AQ201" s="17"/>
    </row>
    <row r="202" spans="1:43" s="84" customFormat="1" ht="15" x14ac:dyDescent="0.35">
      <c r="A202" s="80"/>
      <c r="B202" s="81"/>
      <c r="C202" s="82"/>
      <c r="D202" s="82"/>
      <c r="E202" s="82"/>
      <c r="F202" s="82"/>
      <c r="G202" s="83"/>
      <c r="H202" s="82"/>
      <c r="I202" s="82"/>
      <c r="J202" s="82"/>
      <c r="K202" s="82"/>
      <c r="L202" s="76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76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76"/>
      <c r="AM202" s="82"/>
      <c r="AN202" s="82"/>
      <c r="AO202" s="82"/>
      <c r="AP202" s="82"/>
      <c r="AQ202" s="82"/>
    </row>
    <row r="203" spans="1:43" ht="15" x14ac:dyDescent="0.35">
      <c r="A203" s="85"/>
      <c r="B203" s="86"/>
      <c r="C203" s="87"/>
      <c r="D203" s="87"/>
      <c r="E203" s="87"/>
      <c r="F203" s="87"/>
      <c r="G203" s="88"/>
      <c r="H203" s="87"/>
      <c r="I203" s="87"/>
      <c r="J203" s="87"/>
      <c r="K203" s="8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M203" s="17"/>
      <c r="AN203" s="17"/>
      <c r="AO203" s="17"/>
      <c r="AP203" s="17"/>
      <c r="AQ203" s="17"/>
    </row>
    <row r="204" spans="1:43" s="84" customFormat="1" ht="15" x14ac:dyDescent="0.35">
      <c r="A204" s="80"/>
      <c r="B204" s="81"/>
      <c r="C204" s="82"/>
      <c r="D204" s="82"/>
      <c r="E204" s="82"/>
      <c r="F204" s="82"/>
      <c r="G204" s="83"/>
      <c r="H204" s="82"/>
      <c r="I204" s="82"/>
      <c r="J204" s="82"/>
      <c r="K204" s="82"/>
      <c r="L204" s="76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76"/>
      <c r="Z204" s="82"/>
      <c r="AA204" s="82"/>
      <c r="AB204" s="82"/>
      <c r="AC204" s="82"/>
      <c r="AD204" s="82"/>
      <c r="AE204" s="82"/>
      <c r="AF204" s="82"/>
      <c r="AG204" s="82"/>
      <c r="AH204" s="82"/>
      <c r="AI204" s="82"/>
      <c r="AJ204" s="82"/>
      <c r="AK204" s="82"/>
      <c r="AL204" s="76"/>
      <c r="AM204" s="82"/>
      <c r="AN204" s="82"/>
      <c r="AO204" s="82"/>
      <c r="AP204" s="82"/>
      <c r="AQ204" s="82"/>
    </row>
    <row r="205" spans="1:43" ht="15" x14ac:dyDescent="0.35">
      <c r="A205" s="85"/>
      <c r="B205" s="86"/>
      <c r="C205" s="87"/>
      <c r="D205" s="87"/>
      <c r="E205" s="87"/>
      <c r="F205" s="87"/>
      <c r="G205" s="88"/>
      <c r="H205" s="87"/>
      <c r="I205" s="87"/>
      <c r="J205" s="87"/>
      <c r="K205" s="8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M205" s="17"/>
      <c r="AN205" s="17"/>
      <c r="AO205" s="17"/>
      <c r="AP205" s="17"/>
      <c r="AQ205" s="17"/>
    </row>
    <row r="206" spans="1:43" s="84" customFormat="1" ht="15" x14ac:dyDescent="0.35">
      <c r="A206" s="80"/>
      <c r="B206" s="81"/>
      <c r="C206" s="82"/>
      <c r="D206" s="82"/>
      <c r="E206" s="82"/>
      <c r="F206" s="82"/>
      <c r="G206" s="83"/>
      <c r="H206" s="82"/>
      <c r="I206" s="82"/>
      <c r="J206" s="82"/>
      <c r="K206" s="82"/>
      <c r="L206" s="76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76"/>
      <c r="Z206" s="82"/>
      <c r="AA206" s="82"/>
      <c r="AB206" s="82"/>
      <c r="AC206" s="82"/>
      <c r="AD206" s="82"/>
      <c r="AE206" s="82"/>
      <c r="AF206" s="82"/>
      <c r="AG206" s="82"/>
      <c r="AH206" s="82"/>
      <c r="AI206" s="82"/>
      <c r="AJ206" s="82"/>
      <c r="AK206" s="82"/>
      <c r="AL206" s="76"/>
      <c r="AM206" s="82"/>
      <c r="AN206" s="82"/>
      <c r="AO206" s="82"/>
      <c r="AP206" s="82"/>
      <c r="AQ206" s="82"/>
    </row>
    <row r="207" spans="1:43" ht="15" x14ac:dyDescent="0.35">
      <c r="A207" s="85"/>
      <c r="B207" s="86"/>
      <c r="C207" s="87"/>
      <c r="D207" s="87"/>
      <c r="E207" s="87"/>
      <c r="F207" s="87"/>
      <c r="G207" s="88"/>
      <c r="H207" s="87"/>
      <c r="I207" s="87"/>
      <c r="J207" s="87"/>
      <c r="K207" s="8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M207" s="17"/>
      <c r="AN207" s="17"/>
      <c r="AO207" s="17"/>
      <c r="AP207" s="17"/>
      <c r="AQ207" s="17"/>
    </row>
    <row r="208" spans="1:43" s="84" customFormat="1" ht="15" x14ac:dyDescent="0.35">
      <c r="A208" s="80"/>
      <c r="B208" s="81"/>
      <c r="C208" s="82"/>
      <c r="D208" s="82"/>
      <c r="E208" s="82"/>
      <c r="F208" s="82"/>
      <c r="G208" s="83"/>
      <c r="H208" s="82"/>
      <c r="I208" s="82"/>
      <c r="J208" s="82"/>
      <c r="K208" s="82"/>
      <c r="L208" s="76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76"/>
      <c r="Z208" s="82"/>
      <c r="AA208" s="82"/>
      <c r="AB208" s="82"/>
      <c r="AC208" s="82"/>
      <c r="AD208" s="82"/>
      <c r="AE208" s="82"/>
      <c r="AF208" s="82"/>
      <c r="AG208" s="82"/>
      <c r="AH208" s="82"/>
      <c r="AI208" s="82"/>
      <c r="AJ208" s="82"/>
      <c r="AK208" s="82"/>
      <c r="AL208" s="76"/>
      <c r="AM208" s="82"/>
      <c r="AN208" s="82"/>
      <c r="AO208" s="82"/>
      <c r="AP208" s="82"/>
      <c r="AQ208" s="82"/>
    </row>
    <row r="209" spans="1:43" ht="15" x14ac:dyDescent="0.35">
      <c r="A209" s="85"/>
      <c r="B209" s="86"/>
      <c r="C209" s="87"/>
      <c r="D209" s="87"/>
      <c r="E209" s="87"/>
      <c r="F209" s="87"/>
      <c r="G209" s="88"/>
      <c r="H209" s="87"/>
      <c r="I209" s="87"/>
      <c r="J209" s="87"/>
      <c r="K209" s="8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M209" s="17"/>
      <c r="AN209" s="17"/>
      <c r="AO209" s="17"/>
      <c r="AP209" s="17"/>
      <c r="AQ209" s="17"/>
    </row>
    <row r="210" spans="1:43" s="84" customFormat="1" ht="15" x14ac:dyDescent="0.35">
      <c r="A210" s="80"/>
      <c r="B210" s="81"/>
      <c r="C210" s="82"/>
      <c r="D210" s="82"/>
      <c r="E210" s="82"/>
      <c r="F210" s="82"/>
      <c r="G210" s="83"/>
      <c r="H210" s="82"/>
      <c r="I210" s="82"/>
      <c r="J210" s="82"/>
      <c r="K210" s="82"/>
      <c r="L210" s="76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76"/>
      <c r="Z210" s="82"/>
      <c r="AA210" s="82"/>
      <c r="AB210" s="82"/>
      <c r="AC210" s="82"/>
      <c r="AD210" s="82"/>
      <c r="AE210" s="82"/>
      <c r="AF210" s="82"/>
      <c r="AG210" s="82"/>
      <c r="AH210" s="82"/>
      <c r="AI210" s="82"/>
      <c r="AJ210" s="82"/>
      <c r="AK210" s="82"/>
      <c r="AL210" s="76"/>
      <c r="AM210" s="82"/>
      <c r="AN210" s="82"/>
      <c r="AO210" s="82"/>
      <c r="AP210" s="82"/>
      <c r="AQ210" s="82"/>
    </row>
    <row r="211" spans="1:43" ht="15" x14ac:dyDescent="0.35">
      <c r="A211" s="85"/>
      <c r="B211" s="86"/>
      <c r="C211" s="87"/>
      <c r="D211" s="87"/>
      <c r="E211" s="87"/>
      <c r="F211" s="87"/>
      <c r="G211" s="88"/>
      <c r="H211" s="87"/>
      <c r="I211" s="87"/>
      <c r="J211" s="87"/>
      <c r="K211" s="8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M211" s="17"/>
      <c r="AN211" s="17"/>
      <c r="AO211" s="17"/>
      <c r="AP211" s="17"/>
      <c r="AQ211" s="17"/>
    </row>
    <row r="212" spans="1:43" s="84" customFormat="1" ht="15" x14ac:dyDescent="0.35">
      <c r="A212" s="80"/>
      <c r="B212" s="81"/>
      <c r="C212" s="82"/>
      <c r="D212" s="82"/>
      <c r="E212" s="82"/>
      <c r="F212" s="82"/>
      <c r="G212" s="83"/>
      <c r="H212" s="82"/>
      <c r="I212" s="82"/>
      <c r="J212" s="82"/>
      <c r="K212" s="82"/>
      <c r="L212" s="76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76"/>
      <c r="Z212" s="82"/>
      <c r="AA212" s="82"/>
      <c r="AB212" s="82"/>
      <c r="AC212" s="82"/>
      <c r="AD212" s="82"/>
      <c r="AE212" s="82"/>
      <c r="AF212" s="82"/>
      <c r="AG212" s="82"/>
      <c r="AH212" s="82"/>
      <c r="AI212" s="82"/>
      <c r="AJ212" s="82"/>
      <c r="AK212" s="82"/>
      <c r="AL212" s="76"/>
      <c r="AM212" s="82"/>
      <c r="AN212" s="82"/>
      <c r="AO212" s="82"/>
      <c r="AP212" s="82"/>
      <c r="AQ212" s="82"/>
    </row>
    <row r="213" spans="1:43" ht="15" x14ac:dyDescent="0.35">
      <c r="A213" s="85"/>
      <c r="B213" s="86"/>
      <c r="C213" s="87"/>
      <c r="D213" s="87"/>
      <c r="E213" s="87"/>
      <c r="F213" s="87"/>
      <c r="G213" s="88"/>
      <c r="H213" s="87"/>
      <c r="I213" s="87"/>
      <c r="J213" s="87"/>
      <c r="K213" s="8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M213" s="17"/>
      <c r="AN213" s="17"/>
      <c r="AO213" s="17"/>
      <c r="AP213" s="17"/>
      <c r="AQ213" s="17"/>
    </row>
    <row r="214" spans="1:43" s="84" customFormat="1" ht="15" x14ac:dyDescent="0.35">
      <c r="A214" s="80"/>
      <c r="B214" s="81"/>
      <c r="C214" s="82"/>
      <c r="D214" s="82"/>
      <c r="E214" s="82"/>
      <c r="F214" s="82"/>
      <c r="G214" s="83"/>
      <c r="H214" s="82"/>
      <c r="I214" s="82"/>
      <c r="J214" s="82"/>
      <c r="K214" s="82"/>
      <c r="L214" s="76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76"/>
      <c r="Z214" s="82"/>
      <c r="AA214" s="82"/>
      <c r="AB214" s="82"/>
      <c r="AC214" s="82"/>
      <c r="AD214" s="82"/>
      <c r="AE214" s="82"/>
      <c r="AF214" s="82"/>
      <c r="AG214" s="82"/>
      <c r="AH214" s="82"/>
      <c r="AI214" s="82"/>
      <c r="AJ214" s="82"/>
      <c r="AK214" s="82"/>
      <c r="AL214" s="76"/>
      <c r="AM214" s="82"/>
      <c r="AN214" s="82"/>
      <c r="AO214" s="82"/>
      <c r="AP214" s="82"/>
      <c r="AQ214" s="82"/>
    </row>
    <row r="215" spans="1:43" ht="15" x14ac:dyDescent="0.35">
      <c r="A215" s="85"/>
      <c r="B215" s="86"/>
      <c r="C215" s="87"/>
      <c r="D215" s="87"/>
      <c r="E215" s="87"/>
      <c r="F215" s="87"/>
      <c r="G215" s="88"/>
      <c r="H215" s="87"/>
      <c r="I215" s="87"/>
      <c r="J215" s="87"/>
      <c r="K215" s="8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M215" s="17"/>
      <c r="AN215" s="17"/>
      <c r="AO215" s="17"/>
      <c r="AP215" s="17"/>
      <c r="AQ215" s="17"/>
    </row>
    <row r="216" spans="1:43" s="84" customFormat="1" ht="15" x14ac:dyDescent="0.35">
      <c r="A216" s="80"/>
      <c r="B216" s="81"/>
      <c r="C216" s="82"/>
      <c r="D216" s="82"/>
      <c r="E216" s="82"/>
      <c r="F216" s="82"/>
      <c r="G216" s="83"/>
      <c r="H216" s="82"/>
      <c r="I216" s="82"/>
      <c r="J216" s="82"/>
      <c r="K216" s="82"/>
      <c r="L216" s="76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76"/>
      <c r="Z216" s="82"/>
      <c r="AA216" s="82"/>
      <c r="AB216" s="82"/>
      <c r="AC216" s="82"/>
      <c r="AD216" s="82"/>
      <c r="AE216" s="82"/>
      <c r="AF216" s="82"/>
      <c r="AG216" s="82"/>
      <c r="AH216" s="82"/>
      <c r="AI216" s="82"/>
      <c r="AJ216" s="82"/>
      <c r="AK216" s="82"/>
      <c r="AL216" s="76"/>
      <c r="AM216" s="82"/>
      <c r="AN216" s="82"/>
      <c r="AO216" s="82"/>
      <c r="AP216" s="82"/>
      <c r="AQ216" s="82"/>
    </row>
    <row r="217" spans="1:43" ht="15" x14ac:dyDescent="0.35">
      <c r="A217" s="85"/>
      <c r="B217" s="86"/>
      <c r="C217" s="87"/>
      <c r="D217" s="87"/>
      <c r="E217" s="87"/>
      <c r="F217" s="87"/>
      <c r="G217" s="88"/>
      <c r="H217" s="87"/>
      <c r="I217" s="87"/>
      <c r="J217" s="87"/>
      <c r="K217" s="8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M217" s="17"/>
      <c r="AN217" s="17"/>
      <c r="AO217" s="17"/>
      <c r="AP217" s="17"/>
      <c r="AQ217" s="17"/>
    </row>
    <row r="218" spans="1:43" s="84" customFormat="1" ht="15" x14ac:dyDescent="0.35">
      <c r="A218" s="80"/>
      <c r="B218" s="81"/>
      <c r="C218" s="82"/>
      <c r="D218" s="82"/>
      <c r="E218" s="82"/>
      <c r="F218" s="82"/>
      <c r="G218" s="83"/>
      <c r="H218" s="82"/>
      <c r="I218" s="82"/>
      <c r="J218" s="82"/>
      <c r="K218" s="82"/>
      <c r="L218" s="76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76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76"/>
      <c r="AM218" s="82"/>
      <c r="AN218" s="82"/>
      <c r="AO218" s="82"/>
      <c r="AP218" s="82"/>
      <c r="AQ218" s="82"/>
    </row>
    <row r="219" spans="1:43" ht="15" x14ac:dyDescent="0.35">
      <c r="A219" s="85"/>
      <c r="B219" s="86"/>
      <c r="C219" s="87"/>
      <c r="D219" s="87"/>
      <c r="E219" s="87"/>
      <c r="F219" s="87"/>
      <c r="G219" s="88"/>
      <c r="H219" s="87"/>
      <c r="I219" s="87"/>
      <c r="J219" s="87"/>
      <c r="K219" s="8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M219" s="17"/>
      <c r="AN219" s="17"/>
      <c r="AO219" s="17"/>
      <c r="AP219" s="17"/>
      <c r="AQ219" s="17"/>
    </row>
    <row r="220" spans="1:43" s="84" customFormat="1" ht="15" x14ac:dyDescent="0.35">
      <c r="A220" s="80"/>
      <c r="B220" s="81"/>
      <c r="C220" s="82"/>
      <c r="D220" s="82"/>
      <c r="E220" s="82"/>
      <c r="F220" s="82"/>
      <c r="G220" s="83"/>
      <c r="H220" s="82"/>
      <c r="I220" s="82"/>
      <c r="J220" s="82"/>
      <c r="K220" s="82"/>
      <c r="L220" s="76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76"/>
      <c r="Z220" s="82"/>
      <c r="AA220" s="82"/>
      <c r="AB220" s="82"/>
      <c r="AC220" s="82"/>
      <c r="AD220" s="82"/>
      <c r="AE220" s="82"/>
      <c r="AF220" s="82"/>
      <c r="AG220" s="82"/>
      <c r="AH220" s="82"/>
      <c r="AI220" s="82"/>
      <c r="AJ220" s="82"/>
      <c r="AK220" s="82"/>
      <c r="AL220" s="76"/>
      <c r="AM220" s="82"/>
      <c r="AN220" s="82"/>
      <c r="AO220" s="82"/>
      <c r="AP220" s="82"/>
      <c r="AQ220" s="82"/>
    </row>
    <row r="221" spans="1:43" ht="15" x14ac:dyDescent="0.35">
      <c r="A221" s="85"/>
      <c r="B221" s="86"/>
      <c r="C221" s="87"/>
      <c r="D221" s="87"/>
      <c r="E221" s="87"/>
      <c r="F221" s="87"/>
      <c r="G221" s="88"/>
      <c r="H221" s="87"/>
      <c r="I221" s="87"/>
      <c r="J221" s="87"/>
      <c r="K221" s="8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M221" s="17"/>
      <c r="AN221" s="17"/>
      <c r="AO221" s="17"/>
      <c r="AP221" s="17"/>
      <c r="AQ221" s="17"/>
    </row>
    <row r="222" spans="1:43" s="84" customFormat="1" ht="15" x14ac:dyDescent="0.35">
      <c r="A222" s="80"/>
      <c r="B222" s="81"/>
      <c r="C222" s="82"/>
      <c r="D222" s="82"/>
      <c r="E222" s="82"/>
      <c r="F222" s="82"/>
      <c r="G222" s="83"/>
      <c r="H222" s="82"/>
      <c r="I222" s="82"/>
      <c r="J222" s="82"/>
      <c r="K222" s="82"/>
      <c r="L222" s="76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76"/>
      <c r="Z222" s="82"/>
      <c r="AA222" s="82"/>
      <c r="AB222" s="82"/>
      <c r="AC222" s="82"/>
      <c r="AD222" s="82"/>
      <c r="AE222" s="82"/>
      <c r="AF222" s="82"/>
      <c r="AG222" s="82"/>
      <c r="AH222" s="82"/>
      <c r="AI222" s="82"/>
      <c r="AJ222" s="82"/>
      <c r="AK222" s="82"/>
      <c r="AL222" s="76"/>
      <c r="AM222" s="82"/>
      <c r="AN222" s="82"/>
      <c r="AO222" s="82"/>
      <c r="AP222" s="82"/>
      <c r="AQ222" s="82"/>
    </row>
    <row r="223" spans="1:43" ht="15" x14ac:dyDescent="0.35">
      <c r="A223" s="85"/>
      <c r="B223" s="86"/>
      <c r="C223" s="87"/>
      <c r="D223" s="87"/>
      <c r="E223" s="87"/>
      <c r="F223" s="87"/>
      <c r="G223" s="88"/>
      <c r="H223" s="87"/>
      <c r="I223" s="87"/>
      <c r="J223" s="87"/>
      <c r="K223" s="8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M223" s="17"/>
      <c r="AN223" s="17"/>
      <c r="AO223" s="17"/>
      <c r="AP223" s="17"/>
      <c r="AQ223" s="17"/>
    </row>
    <row r="224" spans="1:43" s="84" customFormat="1" ht="15" x14ac:dyDescent="0.35">
      <c r="A224" s="80"/>
      <c r="B224" s="81"/>
      <c r="C224" s="82"/>
      <c r="D224" s="82"/>
      <c r="E224" s="82"/>
      <c r="F224" s="82"/>
      <c r="G224" s="83"/>
      <c r="H224" s="82"/>
      <c r="I224" s="82"/>
      <c r="J224" s="82"/>
      <c r="K224" s="82"/>
      <c r="L224" s="76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76"/>
      <c r="Z224" s="82"/>
      <c r="AA224" s="82"/>
      <c r="AB224" s="82"/>
      <c r="AC224" s="82"/>
      <c r="AD224" s="82"/>
      <c r="AE224" s="82"/>
      <c r="AF224" s="82"/>
      <c r="AG224" s="82"/>
      <c r="AH224" s="82"/>
      <c r="AI224" s="82"/>
      <c r="AJ224" s="82"/>
      <c r="AK224" s="82"/>
      <c r="AL224" s="76"/>
      <c r="AM224" s="82"/>
      <c r="AN224" s="82"/>
      <c r="AO224" s="82"/>
      <c r="AP224" s="82"/>
      <c r="AQ224" s="82"/>
    </row>
    <row r="225" spans="1:43" ht="15" x14ac:dyDescent="0.35">
      <c r="A225" s="85"/>
      <c r="B225" s="86"/>
      <c r="C225" s="87"/>
      <c r="D225" s="87"/>
      <c r="E225" s="87"/>
      <c r="F225" s="87"/>
      <c r="G225" s="88"/>
      <c r="H225" s="87"/>
      <c r="I225" s="87"/>
      <c r="J225" s="87"/>
      <c r="K225" s="8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M225" s="17"/>
      <c r="AN225" s="17"/>
      <c r="AO225" s="17"/>
      <c r="AP225" s="17"/>
      <c r="AQ225" s="17"/>
    </row>
    <row r="226" spans="1:43" s="84" customFormat="1" ht="15" x14ac:dyDescent="0.35">
      <c r="A226" s="80"/>
      <c r="B226" s="81"/>
      <c r="C226" s="82"/>
      <c r="D226" s="82"/>
      <c r="E226" s="82"/>
      <c r="F226" s="82"/>
      <c r="G226" s="83"/>
      <c r="H226" s="82"/>
      <c r="I226" s="82"/>
      <c r="J226" s="82"/>
      <c r="K226" s="82"/>
      <c r="L226" s="76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76"/>
      <c r="Z226" s="82"/>
      <c r="AA226" s="82"/>
      <c r="AB226" s="82"/>
      <c r="AC226" s="82"/>
      <c r="AD226" s="82"/>
      <c r="AE226" s="82"/>
      <c r="AF226" s="82"/>
      <c r="AG226" s="82"/>
      <c r="AH226" s="82"/>
      <c r="AI226" s="82"/>
      <c r="AJ226" s="82"/>
      <c r="AK226" s="82"/>
      <c r="AL226" s="76"/>
      <c r="AM226" s="82"/>
      <c r="AN226" s="82"/>
      <c r="AO226" s="82"/>
      <c r="AP226" s="82"/>
      <c r="AQ226" s="82"/>
    </row>
    <row r="227" spans="1:43" ht="15" x14ac:dyDescent="0.35">
      <c r="A227" s="85"/>
      <c r="B227" s="86"/>
      <c r="C227" s="87"/>
      <c r="D227" s="87"/>
      <c r="E227" s="87"/>
      <c r="F227" s="87"/>
      <c r="G227" s="88"/>
      <c r="H227" s="87"/>
      <c r="I227" s="87"/>
      <c r="J227" s="87"/>
      <c r="K227" s="8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M227" s="17"/>
      <c r="AN227" s="17"/>
      <c r="AO227" s="17"/>
      <c r="AP227" s="17"/>
      <c r="AQ227" s="17"/>
    </row>
    <row r="228" spans="1:43" s="84" customFormat="1" ht="15" x14ac:dyDescent="0.35">
      <c r="A228" s="80"/>
      <c r="B228" s="81"/>
      <c r="C228" s="82"/>
      <c r="D228" s="82"/>
      <c r="E228" s="82"/>
      <c r="F228" s="82"/>
      <c r="G228" s="83"/>
      <c r="H228" s="82"/>
      <c r="I228" s="82"/>
      <c r="J228" s="82"/>
      <c r="K228" s="82"/>
      <c r="L228" s="76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76"/>
      <c r="Z228" s="82"/>
      <c r="AA228" s="82"/>
      <c r="AB228" s="82"/>
      <c r="AC228" s="82"/>
      <c r="AD228" s="82"/>
      <c r="AE228" s="82"/>
      <c r="AF228" s="82"/>
      <c r="AG228" s="82"/>
      <c r="AH228" s="82"/>
      <c r="AI228" s="82"/>
      <c r="AJ228" s="82"/>
      <c r="AK228" s="82"/>
      <c r="AL228" s="76"/>
      <c r="AM228" s="82"/>
      <c r="AN228" s="82"/>
      <c r="AO228" s="82"/>
      <c r="AP228" s="82"/>
      <c r="AQ228" s="82"/>
    </row>
    <row r="229" spans="1:43" ht="15" x14ac:dyDescent="0.35">
      <c r="A229" s="85"/>
      <c r="B229" s="86"/>
      <c r="C229" s="87"/>
      <c r="D229" s="87"/>
      <c r="E229" s="87"/>
      <c r="F229" s="87"/>
      <c r="G229" s="88"/>
      <c r="H229" s="87"/>
      <c r="I229" s="87"/>
      <c r="J229" s="87"/>
      <c r="K229" s="8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M229" s="17"/>
      <c r="AN229" s="17"/>
      <c r="AO229" s="17"/>
      <c r="AP229" s="17"/>
      <c r="AQ229" s="17"/>
    </row>
    <row r="230" spans="1:43" s="84" customFormat="1" ht="15" x14ac:dyDescent="0.35">
      <c r="A230" s="80"/>
      <c r="B230" s="81"/>
      <c r="C230" s="82"/>
      <c r="D230" s="82"/>
      <c r="E230" s="82"/>
      <c r="F230" s="82"/>
      <c r="G230" s="83"/>
      <c r="H230" s="82"/>
      <c r="I230" s="82"/>
      <c r="J230" s="82"/>
      <c r="K230" s="82"/>
      <c r="L230" s="76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76"/>
      <c r="Z230" s="82"/>
      <c r="AA230" s="82"/>
      <c r="AB230" s="82"/>
      <c r="AC230" s="82"/>
      <c r="AD230" s="82"/>
      <c r="AE230" s="82"/>
      <c r="AF230" s="82"/>
      <c r="AG230" s="82"/>
      <c r="AH230" s="82"/>
      <c r="AI230" s="82"/>
      <c r="AJ230" s="82"/>
      <c r="AK230" s="82"/>
      <c r="AL230" s="76"/>
      <c r="AM230" s="82"/>
      <c r="AN230" s="82"/>
      <c r="AO230" s="82"/>
      <c r="AP230" s="82"/>
      <c r="AQ230" s="82"/>
    </row>
    <row r="231" spans="1:43" ht="15" x14ac:dyDescent="0.35">
      <c r="A231" s="85"/>
      <c r="B231" s="86"/>
      <c r="C231" s="87"/>
      <c r="D231" s="87"/>
      <c r="E231" s="87"/>
      <c r="F231" s="87"/>
      <c r="G231" s="88"/>
      <c r="H231" s="87"/>
      <c r="I231" s="87"/>
      <c r="J231" s="87"/>
      <c r="K231" s="8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M231" s="17"/>
      <c r="AN231" s="17"/>
      <c r="AO231" s="17"/>
      <c r="AP231" s="17"/>
      <c r="AQ231" s="17"/>
    </row>
    <row r="232" spans="1:43" s="84" customFormat="1" ht="15" x14ac:dyDescent="0.35">
      <c r="A232" s="80"/>
      <c r="B232" s="81"/>
      <c r="C232" s="82"/>
      <c r="D232" s="82"/>
      <c r="E232" s="82"/>
      <c r="F232" s="82"/>
      <c r="G232" s="83"/>
      <c r="H232" s="82"/>
      <c r="I232" s="82"/>
      <c r="J232" s="82"/>
      <c r="K232" s="82"/>
      <c r="L232" s="76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76"/>
      <c r="Z232" s="82"/>
      <c r="AA232" s="82"/>
      <c r="AB232" s="82"/>
      <c r="AC232" s="82"/>
      <c r="AD232" s="82"/>
      <c r="AE232" s="82"/>
      <c r="AF232" s="82"/>
      <c r="AG232" s="82"/>
      <c r="AH232" s="82"/>
      <c r="AI232" s="82"/>
      <c r="AJ232" s="82"/>
      <c r="AK232" s="82"/>
      <c r="AL232" s="76"/>
      <c r="AM232" s="82"/>
      <c r="AN232" s="82"/>
      <c r="AO232" s="82"/>
      <c r="AP232" s="82"/>
      <c r="AQ232" s="82"/>
    </row>
    <row r="233" spans="1:43" ht="15" x14ac:dyDescent="0.35">
      <c r="A233" s="85"/>
      <c r="B233" s="86"/>
      <c r="C233" s="87"/>
      <c r="D233" s="87"/>
      <c r="E233" s="87"/>
      <c r="F233" s="87"/>
      <c r="G233" s="88"/>
      <c r="H233" s="87"/>
      <c r="I233" s="87"/>
      <c r="J233" s="87"/>
      <c r="K233" s="8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M233" s="17"/>
      <c r="AN233" s="17"/>
      <c r="AO233" s="17"/>
      <c r="AP233" s="17"/>
      <c r="AQ233" s="17"/>
    </row>
    <row r="234" spans="1:43" s="84" customFormat="1" ht="15" x14ac:dyDescent="0.35">
      <c r="A234" s="80"/>
      <c r="B234" s="81"/>
      <c r="C234" s="82"/>
      <c r="D234" s="82"/>
      <c r="E234" s="82"/>
      <c r="F234" s="82"/>
      <c r="G234" s="83"/>
      <c r="H234" s="82"/>
      <c r="I234" s="82"/>
      <c r="J234" s="82"/>
      <c r="K234" s="82"/>
      <c r="L234" s="76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76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2"/>
      <c r="AL234" s="76"/>
      <c r="AM234" s="82"/>
      <c r="AN234" s="82"/>
      <c r="AO234" s="82"/>
      <c r="AP234" s="82"/>
      <c r="AQ234" s="82"/>
    </row>
    <row r="235" spans="1:43" ht="15" x14ac:dyDescent="0.35">
      <c r="A235" s="85"/>
      <c r="B235" s="86"/>
      <c r="C235" s="87"/>
      <c r="D235" s="87"/>
      <c r="E235" s="87"/>
      <c r="F235" s="87"/>
      <c r="G235" s="88"/>
      <c r="H235" s="87"/>
      <c r="I235" s="87"/>
      <c r="J235" s="87"/>
      <c r="K235" s="8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M235" s="17"/>
      <c r="AN235" s="17"/>
      <c r="AO235" s="17"/>
      <c r="AP235" s="17"/>
      <c r="AQ235" s="17"/>
    </row>
    <row r="236" spans="1:43" s="84" customFormat="1" ht="15" x14ac:dyDescent="0.35">
      <c r="A236" s="80"/>
      <c r="B236" s="81"/>
      <c r="C236" s="82"/>
      <c r="D236" s="82"/>
      <c r="E236" s="82"/>
      <c r="F236" s="82"/>
      <c r="G236" s="83"/>
      <c r="H236" s="82"/>
      <c r="I236" s="82"/>
      <c r="J236" s="82"/>
      <c r="K236" s="82"/>
      <c r="L236" s="76"/>
      <c r="M236" s="82"/>
      <c r="N236" s="82"/>
      <c r="O236" s="82"/>
      <c r="P236" s="82"/>
      <c r="Q236" s="82"/>
      <c r="R236" s="82"/>
      <c r="S236" s="82"/>
      <c r="T236" s="82"/>
      <c r="U236" s="82"/>
      <c r="V236" s="82"/>
      <c r="W236" s="82"/>
      <c r="X236" s="82"/>
      <c r="Y236" s="76"/>
      <c r="Z236" s="82"/>
      <c r="AA236" s="82"/>
      <c r="AB236" s="82"/>
      <c r="AC236" s="82"/>
      <c r="AD236" s="82"/>
      <c r="AE236" s="82"/>
      <c r="AF236" s="82"/>
      <c r="AG236" s="82"/>
      <c r="AH236" s="82"/>
      <c r="AI236" s="82"/>
      <c r="AJ236" s="82"/>
      <c r="AK236" s="82"/>
      <c r="AL236" s="76"/>
      <c r="AM236" s="82"/>
      <c r="AN236" s="82"/>
      <c r="AO236" s="82"/>
      <c r="AP236" s="82"/>
      <c r="AQ236" s="82"/>
    </row>
    <row r="237" spans="1:43" ht="15" x14ac:dyDescent="0.35">
      <c r="A237" s="85"/>
      <c r="B237" s="86"/>
      <c r="C237" s="87"/>
      <c r="D237" s="87"/>
      <c r="E237" s="87"/>
      <c r="F237" s="87"/>
      <c r="G237" s="88"/>
      <c r="H237" s="87"/>
      <c r="I237" s="87"/>
      <c r="J237" s="87"/>
      <c r="K237" s="8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M237" s="17"/>
      <c r="AN237" s="17"/>
      <c r="AO237" s="17"/>
      <c r="AP237" s="17"/>
      <c r="AQ237" s="17"/>
    </row>
    <row r="238" spans="1:43" s="84" customFormat="1" ht="15" x14ac:dyDescent="0.35">
      <c r="A238" s="80"/>
      <c r="B238" s="81"/>
      <c r="C238" s="82"/>
      <c r="D238" s="82"/>
      <c r="E238" s="82"/>
      <c r="F238" s="82"/>
      <c r="G238" s="83"/>
      <c r="H238" s="82"/>
      <c r="I238" s="82"/>
      <c r="J238" s="82"/>
      <c r="K238" s="82"/>
      <c r="L238" s="76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76"/>
      <c r="Z238" s="82"/>
      <c r="AA238" s="82"/>
      <c r="AB238" s="82"/>
      <c r="AC238" s="82"/>
      <c r="AD238" s="82"/>
      <c r="AE238" s="82"/>
      <c r="AF238" s="82"/>
      <c r="AG238" s="82"/>
      <c r="AH238" s="82"/>
      <c r="AI238" s="82"/>
      <c r="AJ238" s="82"/>
      <c r="AK238" s="82"/>
      <c r="AL238" s="76"/>
      <c r="AM238" s="82"/>
      <c r="AN238" s="82"/>
      <c r="AO238" s="82"/>
      <c r="AP238" s="82"/>
      <c r="AQ238" s="82"/>
    </row>
    <row r="239" spans="1:43" ht="15" x14ac:dyDescent="0.35">
      <c r="A239" s="85"/>
      <c r="B239" s="86"/>
      <c r="C239" s="87"/>
      <c r="D239" s="87"/>
      <c r="E239" s="87"/>
      <c r="F239" s="87"/>
      <c r="G239" s="88"/>
      <c r="H239" s="87"/>
      <c r="I239" s="87"/>
      <c r="J239" s="87"/>
      <c r="K239" s="8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M239" s="17"/>
      <c r="AN239" s="17"/>
      <c r="AO239" s="17"/>
      <c r="AP239" s="17"/>
      <c r="AQ239" s="17"/>
    </row>
    <row r="240" spans="1:43" s="84" customFormat="1" ht="15" x14ac:dyDescent="0.35">
      <c r="A240" s="80"/>
      <c r="B240" s="81"/>
      <c r="C240" s="82"/>
      <c r="D240" s="82"/>
      <c r="E240" s="82"/>
      <c r="F240" s="82"/>
      <c r="G240" s="83"/>
      <c r="H240" s="82"/>
      <c r="I240" s="82"/>
      <c r="J240" s="82"/>
      <c r="K240" s="82"/>
      <c r="L240" s="76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76"/>
      <c r="Z240" s="82"/>
      <c r="AA240" s="82"/>
      <c r="AB240" s="82"/>
      <c r="AC240" s="82"/>
      <c r="AD240" s="82"/>
      <c r="AE240" s="82"/>
      <c r="AF240" s="82"/>
      <c r="AG240" s="82"/>
      <c r="AH240" s="82"/>
      <c r="AI240" s="82"/>
      <c r="AJ240" s="82"/>
      <c r="AK240" s="82"/>
      <c r="AL240" s="76"/>
      <c r="AM240" s="82"/>
      <c r="AN240" s="82"/>
      <c r="AO240" s="82"/>
      <c r="AP240" s="82"/>
      <c r="AQ240" s="82"/>
    </row>
    <row r="241" spans="1:43" ht="15" x14ac:dyDescent="0.35">
      <c r="A241" s="85"/>
      <c r="B241" s="86"/>
      <c r="C241" s="87"/>
      <c r="D241" s="87"/>
      <c r="E241" s="87"/>
      <c r="F241" s="87"/>
      <c r="G241" s="88"/>
      <c r="H241" s="87"/>
      <c r="I241" s="87"/>
      <c r="J241" s="87"/>
      <c r="K241" s="8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M241" s="17"/>
      <c r="AN241" s="17"/>
      <c r="AO241" s="17"/>
      <c r="AP241" s="17"/>
      <c r="AQ241" s="17"/>
    </row>
    <row r="242" spans="1:43" s="84" customFormat="1" ht="15" x14ac:dyDescent="0.35">
      <c r="A242" s="80"/>
      <c r="B242" s="81"/>
      <c r="C242" s="82"/>
      <c r="D242" s="82"/>
      <c r="E242" s="82"/>
      <c r="F242" s="82"/>
      <c r="G242" s="83"/>
      <c r="H242" s="82"/>
      <c r="I242" s="82"/>
      <c r="J242" s="82"/>
      <c r="K242" s="82"/>
      <c r="L242" s="76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76"/>
      <c r="Z242" s="82"/>
      <c r="AA242" s="82"/>
      <c r="AB242" s="82"/>
      <c r="AC242" s="82"/>
      <c r="AD242" s="82"/>
      <c r="AE242" s="82"/>
      <c r="AF242" s="82"/>
      <c r="AG242" s="82"/>
      <c r="AH242" s="82"/>
      <c r="AI242" s="82"/>
      <c r="AJ242" s="82"/>
      <c r="AK242" s="82"/>
      <c r="AL242" s="76"/>
      <c r="AM242" s="82"/>
      <c r="AN242" s="82"/>
      <c r="AO242" s="82"/>
      <c r="AP242" s="82"/>
      <c r="AQ242" s="82"/>
    </row>
    <row r="243" spans="1:43" ht="15" x14ac:dyDescent="0.35">
      <c r="A243" s="85"/>
      <c r="B243" s="86"/>
      <c r="C243" s="87"/>
      <c r="D243" s="87"/>
      <c r="E243" s="87"/>
      <c r="F243" s="87"/>
      <c r="G243" s="88"/>
      <c r="H243" s="87"/>
      <c r="I243" s="87"/>
      <c r="J243" s="87"/>
      <c r="K243" s="8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M243" s="17"/>
      <c r="AN243" s="17"/>
      <c r="AO243" s="17"/>
      <c r="AP243" s="17"/>
      <c r="AQ243" s="17"/>
    </row>
    <row r="244" spans="1:43" s="84" customFormat="1" ht="15" x14ac:dyDescent="0.35">
      <c r="A244" s="80"/>
      <c r="B244" s="81"/>
      <c r="C244" s="82"/>
      <c r="D244" s="82"/>
      <c r="E244" s="82"/>
      <c r="F244" s="82"/>
      <c r="G244" s="83"/>
      <c r="H244" s="82"/>
      <c r="I244" s="82"/>
      <c r="J244" s="82"/>
      <c r="K244" s="82"/>
      <c r="L244" s="76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76"/>
      <c r="Z244" s="82"/>
      <c r="AA244" s="82"/>
      <c r="AB244" s="82"/>
      <c r="AC244" s="82"/>
      <c r="AD244" s="82"/>
      <c r="AE244" s="82"/>
      <c r="AF244" s="82"/>
      <c r="AG244" s="82"/>
      <c r="AH244" s="82"/>
      <c r="AI244" s="82"/>
      <c r="AJ244" s="82"/>
      <c r="AK244" s="82"/>
      <c r="AL244" s="76"/>
      <c r="AM244" s="82"/>
      <c r="AN244" s="82"/>
      <c r="AO244" s="82"/>
      <c r="AP244" s="82"/>
      <c r="AQ244" s="82"/>
    </row>
    <row r="245" spans="1:43" ht="15" x14ac:dyDescent="0.35">
      <c r="A245" s="85"/>
      <c r="B245" s="86"/>
      <c r="C245" s="87"/>
      <c r="D245" s="87"/>
      <c r="E245" s="87"/>
      <c r="F245" s="87"/>
      <c r="G245" s="88"/>
      <c r="H245" s="87"/>
      <c r="I245" s="87"/>
      <c r="J245" s="87"/>
      <c r="K245" s="8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M245" s="17"/>
      <c r="AN245" s="17"/>
      <c r="AO245" s="17"/>
      <c r="AP245" s="17"/>
      <c r="AQ245" s="17"/>
    </row>
    <row r="246" spans="1:43" s="84" customFormat="1" ht="15" x14ac:dyDescent="0.35">
      <c r="A246" s="80"/>
      <c r="B246" s="81"/>
      <c r="C246" s="82"/>
      <c r="D246" s="82"/>
      <c r="E246" s="82"/>
      <c r="F246" s="82"/>
      <c r="G246" s="83"/>
      <c r="H246" s="82"/>
      <c r="I246" s="82"/>
      <c r="J246" s="82"/>
      <c r="K246" s="82"/>
      <c r="L246" s="76"/>
      <c r="M246" s="82"/>
      <c r="N246" s="82"/>
      <c r="O246" s="82"/>
      <c r="P246" s="82"/>
      <c r="Q246" s="82"/>
      <c r="R246" s="82"/>
      <c r="S246" s="82"/>
      <c r="T246" s="82"/>
      <c r="U246" s="82"/>
      <c r="V246" s="82"/>
      <c r="W246" s="82"/>
      <c r="X246" s="82"/>
      <c r="Y246" s="76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76"/>
      <c r="AM246" s="82"/>
      <c r="AN246" s="82"/>
      <c r="AO246" s="82"/>
      <c r="AP246" s="82"/>
      <c r="AQ246" s="82"/>
    </row>
    <row r="247" spans="1:43" ht="15" x14ac:dyDescent="0.35">
      <c r="A247" s="85"/>
      <c r="B247" s="86"/>
      <c r="C247" s="87"/>
      <c r="D247" s="87"/>
      <c r="E247" s="87"/>
      <c r="F247" s="87"/>
      <c r="G247" s="88"/>
      <c r="H247" s="87"/>
      <c r="I247" s="87"/>
      <c r="J247" s="87"/>
      <c r="K247" s="8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M247" s="17"/>
      <c r="AN247" s="17"/>
      <c r="AO247" s="17"/>
      <c r="AP247" s="17"/>
      <c r="AQ247" s="17"/>
    </row>
    <row r="248" spans="1:43" s="84" customFormat="1" ht="15" x14ac:dyDescent="0.35">
      <c r="A248" s="80"/>
      <c r="B248" s="81"/>
      <c r="C248" s="82"/>
      <c r="D248" s="82"/>
      <c r="E248" s="82"/>
      <c r="F248" s="82"/>
      <c r="G248" s="83"/>
      <c r="H248" s="82"/>
      <c r="I248" s="82"/>
      <c r="J248" s="82"/>
      <c r="K248" s="82"/>
      <c r="L248" s="76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76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76"/>
      <c r="AM248" s="82"/>
      <c r="AN248" s="82"/>
      <c r="AO248" s="82"/>
      <c r="AP248" s="82"/>
      <c r="AQ248" s="82"/>
    </row>
    <row r="249" spans="1:43" ht="15" x14ac:dyDescent="0.35">
      <c r="A249" s="85"/>
      <c r="B249" s="86"/>
      <c r="C249" s="87"/>
      <c r="D249" s="87"/>
      <c r="E249" s="87"/>
      <c r="F249" s="87"/>
      <c r="G249" s="88"/>
      <c r="H249" s="87"/>
      <c r="I249" s="87"/>
      <c r="J249" s="87"/>
      <c r="K249" s="8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M249" s="17"/>
      <c r="AN249" s="17"/>
      <c r="AO249" s="17"/>
      <c r="AP249" s="17"/>
      <c r="AQ249" s="17"/>
    </row>
    <row r="250" spans="1:43" s="84" customFormat="1" ht="15" x14ac:dyDescent="0.35">
      <c r="A250" s="80"/>
      <c r="B250" s="81"/>
      <c r="C250" s="82"/>
      <c r="D250" s="82"/>
      <c r="E250" s="82"/>
      <c r="F250" s="82"/>
      <c r="G250" s="83"/>
      <c r="H250" s="82"/>
      <c r="I250" s="82"/>
      <c r="J250" s="82"/>
      <c r="K250" s="82"/>
      <c r="L250" s="76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76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76"/>
      <c r="AM250" s="82"/>
      <c r="AN250" s="82"/>
      <c r="AO250" s="82"/>
      <c r="AP250" s="82"/>
      <c r="AQ250" s="82"/>
    </row>
    <row r="251" spans="1:43" ht="15" x14ac:dyDescent="0.35">
      <c r="A251" s="85"/>
      <c r="B251" s="86"/>
      <c r="C251" s="87"/>
      <c r="D251" s="87"/>
      <c r="E251" s="87"/>
      <c r="F251" s="87"/>
      <c r="G251" s="88"/>
      <c r="H251" s="87"/>
      <c r="I251" s="87"/>
      <c r="J251" s="87"/>
      <c r="K251" s="8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M251" s="17"/>
      <c r="AN251" s="17"/>
      <c r="AO251" s="17"/>
      <c r="AP251" s="17"/>
      <c r="AQ251" s="17"/>
    </row>
    <row r="252" spans="1:43" s="84" customFormat="1" ht="15" x14ac:dyDescent="0.35">
      <c r="A252" s="80"/>
      <c r="B252" s="81"/>
      <c r="C252" s="82"/>
      <c r="D252" s="82"/>
      <c r="E252" s="82"/>
      <c r="F252" s="82"/>
      <c r="G252" s="83"/>
      <c r="H252" s="82"/>
      <c r="I252" s="82"/>
      <c r="J252" s="82"/>
      <c r="K252" s="82"/>
      <c r="L252" s="76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76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76"/>
      <c r="AM252" s="82"/>
      <c r="AN252" s="82"/>
      <c r="AO252" s="82"/>
      <c r="AP252" s="82"/>
      <c r="AQ252" s="82"/>
    </row>
    <row r="253" spans="1:43" ht="15" x14ac:dyDescent="0.35">
      <c r="A253" s="85"/>
      <c r="B253" s="86"/>
      <c r="C253" s="87"/>
      <c r="D253" s="87"/>
      <c r="E253" s="87"/>
      <c r="F253" s="87"/>
      <c r="G253" s="88"/>
      <c r="H253" s="87"/>
      <c r="I253" s="87"/>
      <c r="J253" s="87"/>
      <c r="K253" s="8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M253" s="17"/>
      <c r="AN253" s="17"/>
      <c r="AO253" s="17"/>
      <c r="AP253" s="17"/>
      <c r="AQ253" s="17"/>
    </row>
    <row r="254" spans="1:43" s="84" customFormat="1" ht="15" x14ac:dyDescent="0.35">
      <c r="A254" s="80"/>
      <c r="B254" s="81"/>
      <c r="C254" s="82"/>
      <c r="D254" s="82"/>
      <c r="E254" s="82"/>
      <c r="F254" s="82"/>
      <c r="G254" s="83"/>
      <c r="H254" s="82"/>
      <c r="I254" s="82"/>
      <c r="J254" s="82"/>
      <c r="K254" s="82"/>
      <c r="L254" s="76"/>
      <c r="M254" s="82"/>
      <c r="N254" s="82"/>
      <c r="O254" s="82"/>
      <c r="P254" s="82"/>
      <c r="Q254" s="82"/>
      <c r="R254" s="82"/>
      <c r="S254" s="82"/>
      <c r="T254" s="82"/>
      <c r="U254" s="82"/>
      <c r="V254" s="82"/>
      <c r="W254" s="82"/>
      <c r="X254" s="82"/>
      <c r="Y254" s="76"/>
      <c r="Z254" s="82"/>
      <c r="AA254" s="82"/>
      <c r="AB254" s="82"/>
      <c r="AC254" s="82"/>
      <c r="AD254" s="82"/>
      <c r="AE254" s="82"/>
      <c r="AF254" s="82"/>
      <c r="AG254" s="82"/>
      <c r="AH254" s="82"/>
      <c r="AI254" s="82"/>
      <c r="AJ254" s="82"/>
      <c r="AK254" s="82"/>
      <c r="AL254" s="76"/>
      <c r="AM254" s="82"/>
      <c r="AN254" s="82"/>
      <c r="AO254" s="82"/>
      <c r="AP254" s="82"/>
      <c r="AQ254" s="82"/>
    </row>
    <row r="255" spans="1:43" ht="15" x14ac:dyDescent="0.35">
      <c r="A255" s="85"/>
      <c r="B255" s="86"/>
      <c r="C255" s="87"/>
      <c r="D255" s="87"/>
      <c r="E255" s="87"/>
      <c r="F255" s="87"/>
      <c r="G255" s="88"/>
      <c r="H255" s="87"/>
      <c r="I255" s="87"/>
      <c r="J255" s="87"/>
      <c r="K255" s="8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M255" s="17"/>
      <c r="AN255" s="17"/>
      <c r="AO255" s="17"/>
      <c r="AP255" s="17"/>
      <c r="AQ255" s="17"/>
    </row>
    <row r="256" spans="1:43" s="84" customFormat="1" ht="15" x14ac:dyDescent="0.35">
      <c r="A256" s="80"/>
      <c r="B256" s="81"/>
      <c r="C256" s="82"/>
      <c r="D256" s="82"/>
      <c r="E256" s="82"/>
      <c r="F256" s="82"/>
      <c r="G256" s="83"/>
      <c r="H256" s="82"/>
      <c r="I256" s="82"/>
      <c r="J256" s="82"/>
      <c r="K256" s="82"/>
      <c r="L256" s="76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76"/>
      <c r="Z256" s="82"/>
      <c r="AA256" s="82"/>
      <c r="AB256" s="82"/>
      <c r="AC256" s="82"/>
      <c r="AD256" s="82"/>
      <c r="AE256" s="82"/>
      <c r="AF256" s="82"/>
      <c r="AG256" s="82"/>
      <c r="AH256" s="82"/>
      <c r="AI256" s="82"/>
      <c r="AJ256" s="82"/>
      <c r="AK256" s="82"/>
      <c r="AL256" s="76"/>
      <c r="AM256" s="82"/>
      <c r="AN256" s="82"/>
      <c r="AO256" s="82"/>
      <c r="AP256" s="82"/>
      <c r="AQ256" s="82"/>
    </row>
    <row r="257" spans="1:43" ht="15" x14ac:dyDescent="0.35">
      <c r="A257" s="85"/>
      <c r="B257" s="86"/>
      <c r="C257" s="87"/>
      <c r="D257" s="87"/>
      <c r="E257" s="87"/>
      <c r="F257" s="87"/>
      <c r="G257" s="88"/>
      <c r="H257" s="87"/>
      <c r="I257" s="87"/>
      <c r="J257" s="87"/>
      <c r="K257" s="8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M257" s="17"/>
      <c r="AN257" s="17"/>
      <c r="AO257" s="17"/>
      <c r="AP257" s="17"/>
      <c r="AQ257" s="17"/>
    </row>
    <row r="258" spans="1:43" s="84" customFormat="1" ht="15" x14ac:dyDescent="0.35">
      <c r="A258" s="80"/>
      <c r="B258" s="81"/>
      <c r="C258" s="82"/>
      <c r="D258" s="82"/>
      <c r="E258" s="82"/>
      <c r="F258" s="82"/>
      <c r="G258" s="83"/>
      <c r="H258" s="82"/>
      <c r="I258" s="82"/>
      <c r="J258" s="82"/>
      <c r="K258" s="82"/>
      <c r="L258" s="76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76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76"/>
      <c r="AM258" s="82"/>
      <c r="AN258" s="82"/>
      <c r="AO258" s="82"/>
      <c r="AP258" s="82"/>
      <c r="AQ258" s="82"/>
    </row>
    <row r="259" spans="1:43" ht="15" x14ac:dyDescent="0.35">
      <c r="A259" s="85"/>
      <c r="B259" s="86"/>
      <c r="C259" s="87"/>
      <c r="D259" s="87"/>
      <c r="E259" s="87"/>
      <c r="F259" s="87"/>
      <c r="G259" s="88"/>
      <c r="H259" s="87"/>
      <c r="I259" s="87"/>
      <c r="J259" s="87"/>
      <c r="K259" s="8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M259" s="17"/>
      <c r="AN259" s="17"/>
      <c r="AO259" s="17"/>
      <c r="AP259" s="17"/>
      <c r="AQ259" s="17"/>
    </row>
    <row r="260" spans="1:43" s="84" customFormat="1" ht="15" x14ac:dyDescent="0.35">
      <c r="A260" s="80"/>
      <c r="B260" s="81"/>
      <c r="C260" s="82"/>
      <c r="D260" s="82"/>
      <c r="E260" s="82"/>
      <c r="F260" s="82"/>
      <c r="G260" s="83"/>
      <c r="H260" s="82"/>
      <c r="I260" s="82"/>
      <c r="J260" s="82"/>
      <c r="K260" s="82"/>
      <c r="L260" s="76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76"/>
      <c r="Z260" s="82"/>
      <c r="AA260" s="82"/>
      <c r="AB260" s="82"/>
      <c r="AC260" s="82"/>
      <c r="AD260" s="82"/>
      <c r="AE260" s="82"/>
      <c r="AF260" s="82"/>
      <c r="AG260" s="82"/>
      <c r="AH260" s="82"/>
      <c r="AI260" s="82"/>
      <c r="AJ260" s="82"/>
      <c r="AK260" s="82"/>
      <c r="AL260" s="76"/>
      <c r="AM260" s="82"/>
      <c r="AN260" s="82"/>
      <c r="AO260" s="82"/>
      <c r="AP260" s="82"/>
      <c r="AQ260" s="82"/>
    </row>
    <row r="261" spans="1:43" ht="15" x14ac:dyDescent="0.35">
      <c r="A261" s="85"/>
      <c r="B261" s="86"/>
      <c r="C261" s="87"/>
      <c r="D261" s="87"/>
      <c r="E261" s="87"/>
      <c r="F261" s="87"/>
      <c r="G261" s="88"/>
      <c r="H261" s="87"/>
      <c r="I261" s="87"/>
      <c r="J261" s="87"/>
      <c r="K261" s="8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M261" s="17"/>
      <c r="AN261" s="17"/>
      <c r="AO261" s="17"/>
      <c r="AP261" s="17"/>
      <c r="AQ261" s="17"/>
    </row>
    <row r="262" spans="1:43" s="84" customFormat="1" ht="15" x14ac:dyDescent="0.35">
      <c r="A262" s="80"/>
      <c r="B262" s="81"/>
      <c r="C262" s="82"/>
      <c r="D262" s="82"/>
      <c r="E262" s="82"/>
      <c r="F262" s="82"/>
      <c r="G262" s="83"/>
      <c r="H262" s="82"/>
      <c r="I262" s="82"/>
      <c r="J262" s="82"/>
      <c r="K262" s="82"/>
      <c r="L262" s="76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76"/>
      <c r="Z262" s="82"/>
      <c r="AA262" s="82"/>
      <c r="AB262" s="82"/>
      <c r="AC262" s="82"/>
      <c r="AD262" s="82"/>
      <c r="AE262" s="82"/>
      <c r="AF262" s="82"/>
      <c r="AG262" s="82"/>
      <c r="AH262" s="82"/>
      <c r="AI262" s="82"/>
      <c r="AJ262" s="82"/>
      <c r="AK262" s="82"/>
      <c r="AL262" s="76"/>
      <c r="AM262" s="82"/>
      <c r="AN262" s="82"/>
      <c r="AO262" s="82"/>
      <c r="AP262" s="82"/>
      <c r="AQ262" s="82"/>
    </row>
    <row r="263" spans="1:43" ht="15" x14ac:dyDescent="0.35">
      <c r="A263" s="85"/>
      <c r="B263" s="86"/>
      <c r="C263" s="87"/>
      <c r="D263" s="87"/>
      <c r="E263" s="87"/>
      <c r="F263" s="87"/>
      <c r="G263" s="88"/>
      <c r="H263" s="87"/>
      <c r="I263" s="87"/>
      <c r="J263" s="87"/>
      <c r="K263" s="8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M263" s="17"/>
      <c r="AN263" s="17"/>
      <c r="AO263" s="17"/>
      <c r="AP263" s="17"/>
      <c r="AQ263" s="17"/>
    </row>
    <row r="264" spans="1:43" s="84" customFormat="1" ht="15" x14ac:dyDescent="0.35">
      <c r="A264" s="80"/>
      <c r="B264" s="81"/>
      <c r="C264" s="82"/>
      <c r="D264" s="82"/>
      <c r="E264" s="82"/>
      <c r="F264" s="82"/>
      <c r="G264" s="83"/>
      <c r="H264" s="82"/>
      <c r="I264" s="82"/>
      <c r="J264" s="82"/>
      <c r="K264" s="82"/>
      <c r="L264" s="76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76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76"/>
      <c r="AM264" s="82"/>
      <c r="AN264" s="82"/>
      <c r="AO264" s="82"/>
      <c r="AP264" s="82"/>
      <c r="AQ264" s="82"/>
    </row>
    <row r="265" spans="1:43" ht="15" x14ac:dyDescent="0.35">
      <c r="A265" s="85"/>
      <c r="B265" s="86"/>
      <c r="C265" s="87"/>
      <c r="D265" s="87"/>
      <c r="E265" s="87"/>
      <c r="F265" s="87"/>
      <c r="G265" s="88"/>
      <c r="H265" s="87"/>
      <c r="I265" s="87"/>
      <c r="J265" s="87"/>
      <c r="K265" s="8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M265" s="17"/>
      <c r="AN265" s="17"/>
      <c r="AO265" s="17"/>
      <c r="AP265" s="17"/>
      <c r="AQ265" s="17"/>
    </row>
    <row r="266" spans="1:43" s="84" customFormat="1" ht="15" x14ac:dyDescent="0.35">
      <c r="A266" s="80"/>
      <c r="B266" s="81"/>
      <c r="C266" s="82"/>
      <c r="D266" s="82"/>
      <c r="E266" s="82"/>
      <c r="F266" s="82"/>
      <c r="G266" s="83"/>
      <c r="H266" s="82"/>
      <c r="I266" s="82"/>
      <c r="J266" s="82"/>
      <c r="K266" s="82"/>
      <c r="L266" s="76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76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76"/>
      <c r="AM266" s="82"/>
      <c r="AN266" s="82"/>
      <c r="AO266" s="82"/>
      <c r="AP266" s="82"/>
      <c r="AQ266" s="82"/>
    </row>
    <row r="267" spans="1:43" ht="15" x14ac:dyDescent="0.35">
      <c r="A267" s="85"/>
      <c r="B267" s="86"/>
      <c r="C267" s="87"/>
      <c r="D267" s="87"/>
      <c r="E267" s="87"/>
      <c r="F267" s="87"/>
      <c r="G267" s="88"/>
      <c r="H267" s="87"/>
      <c r="I267" s="87"/>
      <c r="J267" s="87"/>
      <c r="K267" s="8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M267" s="17"/>
      <c r="AN267" s="17"/>
      <c r="AO267" s="17"/>
      <c r="AP267" s="17"/>
      <c r="AQ267" s="17"/>
    </row>
    <row r="268" spans="1:43" s="84" customFormat="1" ht="15" x14ac:dyDescent="0.35">
      <c r="A268" s="80"/>
      <c r="B268" s="81"/>
      <c r="C268" s="82"/>
      <c r="D268" s="82"/>
      <c r="E268" s="82"/>
      <c r="F268" s="82"/>
      <c r="G268" s="83"/>
      <c r="H268" s="82"/>
      <c r="I268" s="82"/>
      <c r="J268" s="82"/>
      <c r="K268" s="82"/>
      <c r="L268" s="76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76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76"/>
      <c r="AM268" s="82"/>
      <c r="AN268" s="82"/>
      <c r="AO268" s="82"/>
      <c r="AP268" s="82"/>
      <c r="AQ268" s="82"/>
    </row>
    <row r="269" spans="1:43" ht="15" x14ac:dyDescent="0.35">
      <c r="A269" s="85"/>
      <c r="B269" s="86"/>
      <c r="C269" s="87"/>
      <c r="D269" s="87"/>
      <c r="E269" s="87"/>
      <c r="F269" s="87"/>
      <c r="G269" s="88"/>
      <c r="H269" s="87"/>
      <c r="I269" s="87"/>
      <c r="J269" s="87"/>
      <c r="K269" s="8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M269" s="17"/>
      <c r="AN269" s="17"/>
      <c r="AO269" s="17"/>
      <c r="AP269" s="17"/>
      <c r="AQ269" s="17"/>
    </row>
    <row r="270" spans="1:43" s="84" customFormat="1" ht="15" x14ac:dyDescent="0.35">
      <c r="A270" s="80"/>
      <c r="B270" s="81"/>
      <c r="C270" s="82"/>
      <c r="D270" s="82"/>
      <c r="E270" s="82"/>
      <c r="F270" s="82"/>
      <c r="G270" s="83"/>
      <c r="H270" s="82"/>
      <c r="I270" s="82"/>
      <c r="J270" s="82"/>
      <c r="K270" s="82"/>
      <c r="L270" s="76"/>
      <c r="M270" s="82"/>
      <c r="N270" s="82"/>
      <c r="O270" s="82"/>
      <c r="P270" s="82"/>
      <c r="Q270" s="82"/>
      <c r="R270" s="82"/>
      <c r="S270" s="82"/>
      <c r="T270" s="82"/>
      <c r="U270" s="82"/>
      <c r="V270" s="82"/>
      <c r="W270" s="82"/>
      <c r="X270" s="82"/>
      <c r="Y270" s="76"/>
      <c r="Z270" s="82"/>
      <c r="AA270" s="82"/>
      <c r="AB270" s="82"/>
      <c r="AC270" s="82"/>
      <c r="AD270" s="82"/>
      <c r="AE270" s="82"/>
      <c r="AF270" s="82"/>
      <c r="AG270" s="82"/>
      <c r="AH270" s="82"/>
      <c r="AI270" s="82"/>
      <c r="AJ270" s="82"/>
      <c r="AK270" s="82"/>
      <c r="AL270" s="76"/>
      <c r="AM270" s="82"/>
      <c r="AN270" s="82"/>
      <c r="AO270" s="82"/>
      <c r="AP270" s="82"/>
      <c r="AQ270" s="82"/>
    </row>
    <row r="271" spans="1:43" ht="15" x14ac:dyDescent="0.35">
      <c r="A271" s="85"/>
      <c r="B271" s="86"/>
      <c r="C271" s="87"/>
      <c r="D271" s="87"/>
      <c r="E271" s="87"/>
      <c r="F271" s="87"/>
      <c r="G271" s="88"/>
      <c r="H271" s="87"/>
      <c r="I271" s="87"/>
      <c r="J271" s="87"/>
      <c r="K271" s="8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M271" s="17"/>
      <c r="AN271" s="17"/>
      <c r="AO271" s="17"/>
      <c r="AP271" s="17"/>
      <c r="AQ271" s="17"/>
    </row>
    <row r="272" spans="1:43" s="84" customFormat="1" ht="15" x14ac:dyDescent="0.35">
      <c r="A272" s="80"/>
      <c r="B272" s="81"/>
      <c r="C272" s="82"/>
      <c r="D272" s="82"/>
      <c r="E272" s="82"/>
      <c r="F272" s="82"/>
      <c r="G272" s="83"/>
      <c r="H272" s="82"/>
      <c r="I272" s="82"/>
      <c r="J272" s="82"/>
      <c r="K272" s="82"/>
      <c r="L272" s="76"/>
      <c r="M272" s="82"/>
      <c r="N272" s="82"/>
      <c r="O272" s="82"/>
      <c r="P272" s="82"/>
      <c r="Q272" s="82"/>
      <c r="R272" s="82"/>
      <c r="S272" s="82"/>
      <c r="T272" s="82"/>
      <c r="U272" s="82"/>
      <c r="V272" s="82"/>
      <c r="W272" s="82"/>
      <c r="X272" s="82"/>
      <c r="Y272" s="76"/>
      <c r="Z272" s="82"/>
      <c r="AA272" s="82"/>
      <c r="AB272" s="82"/>
      <c r="AC272" s="82"/>
      <c r="AD272" s="82"/>
      <c r="AE272" s="82"/>
      <c r="AF272" s="82"/>
      <c r="AG272" s="82"/>
      <c r="AH272" s="82"/>
      <c r="AI272" s="82"/>
      <c r="AJ272" s="82"/>
      <c r="AK272" s="82"/>
      <c r="AL272" s="76"/>
      <c r="AM272" s="82"/>
      <c r="AN272" s="82"/>
      <c r="AO272" s="82"/>
      <c r="AP272" s="82"/>
      <c r="AQ272" s="82"/>
    </row>
    <row r="273" spans="1:43" ht="15" x14ac:dyDescent="0.35">
      <c r="A273" s="85"/>
      <c r="B273" s="86"/>
      <c r="C273" s="87"/>
      <c r="D273" s="87"/>
      <c r="E273" s="87"/>
      <c r="F273" s="87"/>
      <c r="G273" s="88"/>
      <c r="H273" s="87"/>
      <c r="I273" s="87"/>
      <c r="J273" s="87"/>
      <c r="K273" s="8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M273" s="17"/>
      <c r="AN273" s="17"/>
      <c r="AO273" s="17"/>
      <c r="AP273" s="17"/>
      <c r="AQ273" s="17"/>
    </row>
    <row r="274" spans="1:43" s="84" customFormat="1" ht="15" x14ac:dyDescent="0.35">
      <c r="A274" s="80"/>
      <c r="B274" s="81"/>
      <c r="C274" s="82"/>
      <c r="D274" s="82"/>
      <c r="E274" s="82"/>
      <c r="F274" s="82"/>
      <c r="G274" s="83"/>
      <c r="H274" s="82"/>
      <c r="I274" s="82"/>
      <c r="J274" s="82"/>
      <c r="K274" s="82"/>
      <c r="L274" s="76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76"/>
      <c r="Z274" s="82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76"/>
      <c r="AM274" s="82"/>
      <c r="AN274" s="82"/>
      <c r="AO274" s="82"/>
      <c r="AP274" s="82"/>
      <c r="AQ274" s="82"/>
    </row>
    <row r="275" spans="1:43" ht="15" x14ac:dyDescent="0.35">
      <c r="A275" s="85"/>
      <c r="B275" s="86"/>
      <c r="C275" s="87"/>
      <c r="D275" s="87"/>
      <c r="E275" s="87"/>
      <c r="F275" s="87"/>
      <c r="G275" s="88"/>
      <c r="H275" s="87"/>
      <c r="I275" s="87"/>
      <c r="J275" s="87"/>
      <c r="K275" s="8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M275" s="17"/>
      <c r="AN275" s="17"/>
      <c r="AO275" s="17"/>
      <c r="AP275" s="17"/>
      <c r="AQ275" s="17"/>
    </row>
    <row r="276" spans="1:43" s="84" customFormat="1" ht="15" x14ac:dyDescent="0.35">
      <c r="A276" s="80"/>
      <c r="B276" s="81"/>
      <c r="C276" s="82"/>
      <c r="D276" s="82"/>
      <c r="E276" s="82"/>
      <c r="F276" s="82"/>
      <c r="G276" s="83"/>
      <c r="H276" s="82"/>
      <c r="I276" s="82"/>
      <c r="J276" s="82"/>
      <c r="K276" s="82"/>
      <c r="L276" s="76"/>
      <c r="M276" s="82"/>
      <c r="N276" s="82"/>
      <c r="O276" s="82"/>
      <c r="P276" s="82"/>
      <c r="Q276" s="82"/>
      <c r="R276" s="82"/>
      <c r="S276" s="82"/>
      <c r="T276" s="82"/>
      <c r="U276" s="82"/>
      <c r="V276" s="82"/>
      <c r="W276" s="82"/>
      <c r="X276" s="82"/>
      <c r="Y276" s="76"/>
      <c r="Z276" s="82"/>
      <c r="AA276" s="82"/>
      <c r="AB276" s="82"/>
      <c r="AC276" s="82"/>
      <c r="AD276" s="82"/>
      <c r="AE276" s="82"/>
      <c r="AF276" s="82"/>
      <c r="AG276" s="82"/>
      <c r="AH276" s="82"/>
      <c r="AI276" s="82"/>
      <c r="AJ276" s="82"/>
      <c r="AK276" s="82"/>
      <c r="AL276" s="76"/>
      <c r="AM276" s="82"/>
      <c r="AN276" s="82"/>
      <c r="AO276" s="82"/>
      <c r="AP276" s="82"/>
      <c r="AQ276" s="82"/>
    </row>
    <row r="277" spans="1:43" ht="15" x14ac:dyDescent="0.35">
      <c r="A277" s="85"/>
      <c r="B277" s="86"/>
      <c r="C277" s="87"/>
      <c r="D277" s="87"/>
      <c r="E277" s="87"/>
      <c r="F277" s="87"/>
      <c r="G277" s="88"/>
      <c r="H277" s="87"/>
      <c r="I277" s="87"/>
      <c r="J277" s="87"/>
      <c r="K277" s="8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M277" s="17"/>
      <c r="AN277" s="17"/>
      <c r="AO277" s="17"/>
      <c r="AP277" s="17"/>
      <c r="AQ277" s="17"/>
    </row>
    <row r="278" spans="1:43" s="84" customFormat="1" ht="15" x14ac:dyDescent="0.35">
      <c r="A278" s="80"/>
      <c r="B278" s="81"/>
      <c r="C278" s="82"/>
      <c r="D278" s="82"/>
      <c r="E278" s="82"/>
      <c r="F278" s="82"/>
      <c r="G278" s="83"/>
      <c r="H278" s="82"/>
      <c r="I278" s="82"/>
      <c r="J278" s="82"/>
      <c r="K278" s="82"/>
      <c r="L278" s="76"/>
      <c r="M278" s="82"/>
      <c r="N278" s="82"/>
      <c r="O278" s="82"/>
      <c r="P278" s="82"/>
      <c r="Q278" s="82"/>
      <c r="R278" s="82"/>
      <c r="S278" s="82"/>
      <c r="T278" s="82"/>
      <c r="U278" s="82"/>
      <c r="V278" s="82"/>
      <c r="W278" s="82"/>
      <c r="X278" s="82"/>
      <c r="Y278" s="76"/>
      <c r="Z278" s="82"/>
      <c r="AA278" s="82"/>
      <c r="AB278" s="82"/>
      <c r="AC278" s="82"/>
      <c r="AD278" s="82"/>
      <c r="AE278" s="82"/>
      <c r="AF278" s="82"/>
      <c r="AG278" s="82"/>
      <c r="AH278" s="82"/>
      <c r="AI278" s="82"/>
      <c r="AJ278" s="82"/>
      <c r="AK278" s="82"/>
      <c r="AL278" s="76"/>
      <c r="AM278" s="82"/>
      <c r="AN278" s="82"/>
      <c r="AO278" s="82"/>
      <c r="AP278" s="82"/>
      <c r="AQ278" s="82"/>
    </row>
    <row r="279" spans="1:43" ht="15" x14ac:dyDescent="0.35">
      <c r="A279" s="85"/>
      <c r="B279" s="86"/>
      <c r="C279" s="87"/>
      <c r="D279" s="87"/>
      <c r="E279" s="87"/>
      <c r="F279" s="87"/>
      <c r="G279" s="88"/>
      <c r="H279" s="87"/>
      <c r="I279" s="87"/>
      <c r="J279" s="87"/>
      <c r="K279" s="8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M279" s="17"/>
      <c r="AN279" s="17"/>
      <c r="AO279" s="17"/>
      <c r="AP279" s="17"/>
      <c r="AQ279" s="17"/>
    </row>
    <row r="280" spans="1:43" s="84" customFormat="1" ht="15" x14ac:dyDescent="0.35">
      <c r="A280" s="80"/>
      <c r="B280" s="81"/>
      <c r="C280" s="82"/>
      <c r="D280" s="82"/>
      <c r="E280" s="82"/>
      <c r="F280" s="82"/>
      <c r="G280" s="83"/>
      <c r="H280" s="82"/>
      <c r="I280" s="82"/>
      <c r="J280" s="82"/>
      <c r="K280" s="82"/>
      <c r="L280" s="76"/>
      <c r="M280" s="82"/>
      <c r="N280" s="82"/>
      <c r="O280" s="82"/>
      <c r="P280" s="82"/>
      <c r="Q280" s="82"/>
      <c r="R280" s="82"/>
      <c r="S280" s="82"/>
      <c r="T280" s="82"/>
      <c r="U280" s="82"/>
      <c r="V280" s="82"/>
      <c r="W280" s="82"/>
      <c r="X280" s="82"/>
      <c r="Y280" s="76"/>
      <c r="Z280" s="82"/>
      <c r="AA280" s="82"/>
      <c r="AB280" s="82"/>
      <c r="AC280" s="82"/>
      <c r="AD280" s="82"/>
      <c r="AE280" s="82"/>
      <c r="AF280" s="82"/>
      <c r="AG280" s="82"/>
      <c r="AH280" s="82"/>
      <c r="AI280" s="82"/>
      <c r="AJ280" s="82"/>
      <c r="AK280" s="82"/>
      <c r="AL280" s="76"/>
      <c r="AM280" s="82"/>
      <c r="AN280" s="82"/>
      <c r="AO280" s="82"/>
      <c r="AP280" s="82"/>
      <c r="AQ280" s="82"/>
    </row>
    <row r="281" spans="1:43" ht="15" x14ac:dyDescent="0.35">
      <c r="A281" s="85"/>
      <c r="B281" s="86"/>
      <c r="C281" s="87"/>
      <c r="D281" s="87"/>
      <c r="E281" s="87"/>
      <c r="F281" s="87"/>
      <c r="G281" s="88"/>
      <c r="H281" s="87"/>
      <c r="I281" s="87"/>
      <c r="J281" s="87"/>
      <c r="K281" s="8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M281" s="17"/>
      <c r="AN281" s="17"/>
      <c r="AO281" s="17"/>
      <c r="AP281" s="17"/>
      <c r="AQ281" s="17"/>
    </row>
    <row r="282" spans="1:43" s="84" customFormat="1" ht="15" x14ac:dyDescent="0.35">
      <c r="A282" s="80"/>
      <c r="B282" s="81"/>
      <c r="C282" s="82"/>
      <c r="D282" s="82"/>
      <c r="E282" s="82"/>
      <c r="F282" s="82"/>
      <c r="G282" s="83"/>
      <c r="H282" s="82"/>
      <c r="I282" s="82"/>
      <c r="J282" s="82"/>
      <c r="K282" s="82"/>
      <c r="L282" s="76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82"/>
      <c r="Y282" s="76"/>
      <c r="Z282" s="82"/>
      <c r="AA282" s="82"/>
      <c r="AB282" s="82"/>
      <c r="AC282" s="82"/>
      <c r="AD282" s="82"/>
      <c r="AE282" s="82"/>
      <c r="AF282" s="82"/>
      <c r="AG282" s="82"/>
      <c r="AH282" s="82"/>
      <c r="AI282" s="82"/>
      <c r="AJ282" s="82"/>
      <c r="AK282" s="82"/>
      <c r="AL282" s="76"/>
      <c r="AM282" s="82"/>
      <c r="AN282" s="82"/>
      <c r="AO282" s="82"/>
      <c r="AP282" s="82"/>
      <c r="AQ282" s="82"/>
    </row>
    <row r="283" spans="1:43" ht="15" x14ac:dyDescent="0.35">
      <c r="A283" s="85"/>
      <c r="B283" s="86"/>
      <c r="C283" s="87"/>
      <c r="D283" s="87"/>
      <c r="E283" s="87"/>
      <c r="F283" s="87"/>
      <c r="G283" s="88"/>
      <c r="H283" s="87"/>
      <c r="I283" s="87"/>
      <c r="J283" s="87"/>
      <c r="K283" s="8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M283" s="17"/>
      <c r="AN283" s="17"/>
      <c r="AO283" s="17"/>
      <c r="AP283" s="17"/>
      <c r="AQ283" s="17"/>
    </row>
    <row r="284" spans="1:43" s="84" customFormat="1" ht="15" x14ac:dyDescent="0.35">
      <c r="A284" s="80"/>
      <c r="B284" s="81"/>
      <c r="C284" s="82"/>
      <c r="D284" s="82"/>
      <c r="E284" s="82"/>
      <c r="F284" s="82"/>
      <c r="G284" s="83"/>
      <c r="H284" s="82"/>
      <c r="I284" s="82"/>
      <c r="J284" s="82"/>
      <c r="K284" s="82"/>
      <c r="L284" s="76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76"/>
      <c r="Z284" s="82"/>
      <c r="AA284" s="82"/>
      <c r="AB284" s="82"/>
      <c r="AC284" s="82"/>
      <c r="AD284" s="82"/>
      <c r="AE284" s="82"/>
      <c r="AF284" s="82"/>
      <c r="AG284" s="82"/>
      <c r="AH284" s="82"/>
      <c r="AI284" s="82"/>
      <c r="AJ284" s="82"/>
      <c r="AK284" s="82"/>
      <c r="AL284" s="76"/>
      <c r="AM284" s="82"/>
      <c r="AN284" s="82"/>
      <c r="AO284" s="82"/>
      <c r="AP284" s="82"/>
      <c r="AQ284" s="82"/>
    </row>
    <row r="285" spans="1:43" ht="15" x14ac:dyDescent="0.35">
      <c r="A285" s="85"/>
      <c r="B285" s="86"/>
      <c r="C285" s="87"/>
      <c r="D285" s="87"/>
      <c r="E285" s="87"/>
      <c r="F285" s="87"/>
      <c r="G285" s="88"/>
      <c r="H285" s="87"/>
      <c r="I285" s="87"/>
      <c r="J285" s="87"/>
      <c r="K285" s="8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M285" s="17"/>
      <c r="AN285" s="17"/>
      <c r="AO285" s="17"/>
      <c r="AP285" s="17"/>
      <c r="AQ285" s="17"/>
    </row>
    <row r="286" spans="1:43" s="84" customFormat="1" ht="15" x14ac:dyDescent="0.35">
      <c r="A286" s="80"/>
      <c r="B286" s="81"/>
      <c r="C286" s="82"/>
      <c r="D286" s="82"/>
      <c r="E286" s="82"/>
      <c r="F286" s="82"/>
      <c r="G286" s="83"/>
      <c r="H286" s="82"/>
      <c r="I286" s="82"/>
      <c r="J286" s="82"/>
      <c r="K286" s="82"/>
      <c r="L286" s="76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76"/>
      <c r="Z286" s="82"/>
      <c r="AA286" s="82"/>
      <c r="AB286" s="82"/>
      <c r="AC286" s="82"/>
      <c r="AD286" s="82"/>
      <c r="AE286" s="82"/>
      <c r="AF286" s="82"/>
      <c r="AG286" s="82"/>
      <c r="AH286" s="82"/>
      <c r="AI286" s="82"/>
      <c r="AJ286" s="82"/>
      <c r="AK286" s="82"/>
      <c r="AL286" s="76"/>
      <c r="AM286" s="82"/>
      <c r="AN286" s="82"/>
      <c r="AO286" s="82"/>
      <c r="AP286" s="82"/>
      <c r="AQ286" s="82"/>
    </row>
    <row r="287" spans="1:43" ht="15" x14ac:dyDescent="0.35">
      <c r="A287" s="85"/>
      <c r="B287" s="86"/>
      <c r="C287" s="87"/>
      <c r="D287" s="87"/>
      <c r="E287" s="87"/>
      <c r="F287" s="87"/>
      <c r="G287" s="88"/>
      <c r="H287" s="87"/>
      <c r="I287" s="87"/>
      <c r="J287" s="87"/>
      <c r="K287" s="8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M287" s="17"/>
      <c r="AN287" s="17"/>
      <c r="AO287" s="17"/>
      <c r="AP287" s="17"/>
      <c r="AQ287" s="17"/>
    </row>
    <row r="288" spans="1:43" s="84" customFormat="1" ht="15" x14ac:dyDescent="0.35">
      <c r="A288" s="80"/>
      <c r="B288" s="81"/>
      <c r="C288" s="82"/>
      <c r="D288" s="82"/>
      <c r="E288" s="82"/>
      <c r="F288" s="82"/>
      <c r="G288" s="83"/>
      <c r="H288" s="82"/>
      <c r="I288" s="82"/>
      <c r="J288" s="82"/>
      <c r="K288" s="82"/>
      <c r="L288" s="76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76"/>
      <c r="Z288" s="82"/>
      <c r="AA288" s="82"/>
      <c r="AB288" s="82"/>
      <c r="AC288" s="82"/>
      <c r="AD288" s="82"/>
      <c r="AE288" s="82"/>
      <c r="AF288" s="82"/>
      <c r="AG288" s="82"/>
      <c r="AH288" s="82"/>
      <c r="AI288" s="82"/>
      <c r="AJ288" s="82"/>
      <c r="AK288" s="82"/>
      <c r="AL288" s="76"/>
      <c r="AM288" s="82"/>
      <c r="AN288" s="82"/>
      <c r="AO288" s="82"/>
      <c r="AP288" s="82"/>
      <c r="AQ288" s="82"/>
    </row>
    <row r="289" spans="1:43" ht="15" x14ac:dyDescent="0.35">
      <c r="A289" s="85"/>
      <c r="B289" s="86"/>
      <c r="C289" s="87"/>
      <c r="D289" s="87"/>
      <c r="E289" s="87"/>
      <c r="F289" s="87"/>
      <c r="G289" s="88"/>
      <c r="H289" s="87"/>
      <c r="I289" s="87"/>
      <c r="J289" s="87"/>
      <c r="K289" s="8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M289" s="17"/>
      <c r="AN289" s="17"/>
      <c r="AO289" s="17"/>
      <c r="AP289" s="17"/>
      <c r="AQ289" s="17"/>
    </row>
    <row r="290" spans="1:43" s="84" customFormat="1" ht="15" x14ac:dyDescent="0.35">
      <c r="A290" s="80"/>
      <c r="B290" s="81"/>
      <c r="C290" s="82"/>
      <c r="D290" s="82"/>
      <c r="E290" s="82"/>
      <c r="F290" s="82"/>
      <c r="G290" s="83"/>
      <c r="H290" s="82"/>
      <c r="I290" s="82"/>
      <c r="J290" s="82"/>
      <c r="K290" s="82"/>
      <c r="L290" s="76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76"/>
      <c r="Z290" s="82"/>
      <c r="AA290" s="82"/>
      <c r="AB290" s="82"/>
      <c r="AC290" s="82"/>
      <c r="AD290" s="82"/>
      <c r="AE290" s="82"/>
      <c r="AF290" s="82"/>
      <c r="AG290" s="82"/>
      <c r="AH290" s="82"/>
      <c r="AI290" s="82"/>
      <c r="AJ290" s="82"/>
      <c r="AK290" s="82"/>
      <c r="AL290" s="76"/>
      <c r="AM290" s="82"/>
      <c r="AN290" s="82"/>
      <c r="AO290" s="82"/>
      <c r="AP290" s="82"/>
      <c r="AQ290" s="82"/>
    </row>
    <row r="291" spans="1:43" ht="15" x14ac:dyDescent="0.35">
      <c r="A291" s="85"/>
      <c r="B291" s="86"/>
      <c r="C291" s="87"/>
      <c r="D291" s="87"/>
      <c r="E291" s="87"/>
      <c r="F291" s="87"/>
      <c r="G291" s="88"/>
      <c r="H291" s="87"/>
      <c r="I291" s="87"/>
      <c r="J291" s="87"/>
      <c r="K291" s="8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M291" s="17"/>
      <c r="AN291" s="17"/>
      <c r="AO291" s="17"/>
      <c r="AP291" s="17"/>
      <c r="AQ291" s="17"/>
    </row>
    <row r="292" spans="1:43" s="84" customFormat="1" ht="15" x14ac:dyDescent="0.35">
      <c r="A292" s="80"/>
      <c r="B292" s="81"/>
      <c r="C292" s="82"/>
      <c r="D292" s="82"/>
      <c r="E292" s="82"/>
      <c r="F292" s="82"/>
      <c r="G292" s="83"/>
      <c r="H292" s="82"/>
      <c r="I292" s="82"/>
      <c r="J292" s="82"/>
      <c r="K292" s="82"/>
      <c r="L292" s="76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76"/>
      <c r="Z292" s="82"/>
      <c r="AA292" s="82"/>
      <c r="AB292" s="82"/>
      <c r="AC292" s="82"/>
      <c r="AD292" s="82"/>
      <c r="AE292" s="82"/>
      <c r="AF292" s="82"/>
      <c r="AG292" s="82"/>
      <c r="AH292" s="82"/>
      <c r="AI292" s="82"/>
      <c r="AJ292" s="82"/>
      <c r="AK292" s="82"/>
      <c r="AL292" s="76"/>
      <c r="AM292" s="82"/>
      <c r="AN292" s="82"/>
      <c r="AO292" s="82"/>
      <c r="AP292" s="82"/>
      <c r="AQ292" s="82"/>
    </row>
    <row r="293" spans="1:43" ht="15" x14ac:dyDescent="0.35">
      <c r="A293" s="85"/>
      <c r="B293" s="86"/>
      <c r="C293" s="87"/>
      <c r="D293" s="87"/>
      <c r="E293" s="87"/>
      <c r="F293" s="87"/>
      <c r="G293" s="88"/>
      <c r="H293" s="87"/>
      <c r="I293" s="87"/>
      <c r="J293" s="87"/>
      <c r="K293" s="8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M293" s="17"/>
      <c r="AN293" s="17"/>
      <c r="AO293" s="17"/>
      <c r="AP293" s="17"/>
      <c r="AQ293" s="17"/>
    </row>
    <row r="294" spans="1:43" s="84" customFormat="1" ht="15" x14ac:dyDescent="0.35">
      <c r="A294" s="80"/>
      <c r="B294" s="81"/>
      <c r="C294" s="82"/>
      <c r="D294" s="82"/>
      <c r="E294" s="82"/>
      <c r="F294" s="82"/>
      <c r="G294" s="83"/>
      <c r="H294" s="82"/>
      <c r="I294" s="82"/>
      <c r="J294" s="82"/>
      <c r="K294" s="82"/>
      <c r="L294" s="76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76"/>
      <c r="Z294" s="82"/>
      <c r="AA294" s="82"/>
      <c r="AB294" s="82"/>
      <c r="AC294" s="82"/>
      <c r="AD294" s="82"/>
      <c r="AE294" s="82"/>
      <c r="AF294" s="82"/>
      <c r="AG294" s="82"/>
      <c r="AH294" s="82"/>
      <c r="AI294" s="82"/>
      <c r="AJ294" s="82"/>
      <c r="AK294" s="82"/>
      <c r="AL294" s="76"/>
      <c r="AM294" s="82"/>
      <c r="AN294" s="82"/>
      <c r="AO294" s="82"/>
      <c r="AP294" s="82"/>
      <c r="AQ294" s="82"/>
    </row>
    <row r="295" spans="1:43" ht="15" x14ac:dyDescent="0.35">
      <c r="A295" s="85"/>
      <c r="B295" s="86"/>
      <c r="C295" s="87"/>
      <c r="D295" s="87"/>
      <c r="E295" s="87"/>
      <c r="F295" s="87"/>
      <c r="G295" s="88"/>
      <c r="H295" s="87"/>
      <c r="I295" s="87"/>
      <c r="J295" s="87"/>
      <c r="K295" s="8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M295" s="17"/>
      <c r="AN295" s="17"/>
      <c r="AO295" s="17"/>
      <c r="AP295" s="17"/>
      <c r="AQ295" s="17"/>
    </row>
    <row r="296" spans="1:43" s="84" customFormat="1" ht="15" x14ac:dyDescent="0.35">
      <c r="A296" s="80"/>
      <c r="B296" s="81"/>
      <c r="C296" s="82"/>
      <c r="D296" s="82"/>
      <c r="E296" s="82"/>
      <c r="F296" s="82"/>
      <c r="G296" s="83"/>
      <c r="H296" s="82"/>
      <c r="I296" s="82"/>
      <c r="J296" s="82"/>
      <c r="K296" s="82"/>
      <c r="L296" s="76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76"/>
      <c r="Z296" s="82"/>
      <c r="AA296" s="82"/>
      <c r="AB296" s="82"/>
      <c r="AC296" s="82"/>
      <c r="AD296" s="82"/>
      <c r="AE296" s="82"/>
      <c r="AF296" s="82"/>
      <c r="AG296" s="82"/>
      <c r="AH296" s="82"/>
      <c r="AI296" s="82"/>
      <c r="AJ296" s="82"/>
      <c r="AK296" s="82"/>
      <c r="AL296" s="76"/>
      <c r="AM296" s="82"/>
      <c r="AN296" s="82"/>
      <c r="AO296" s="82"/>
      <c r="AP296" s="82"/>
      <c r="AQ296" s="82"/>
    </row>
    <row r="297" spans="1:43" ht="15" x14ac:dyDescent="0.35">
      <c r="A297" s="85"/>
      <c r="B297" s="86"/>
      <c r="C297" s="87"/>
      <c r="D297" s="87"/>
      <c r="E297" s="87"/>
      <c r="F297" s="87"/>
      <c r="G297" s="88"/>
      <c r="H297" s="87"/>
      <c r="I297" s="87"/>
      <c r="J297" s="87"/>
      <c r="K297" s="8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M297" s="17"/>
      <c r="AN297" s="17"/>
      <c r="AO297" s="17"/>
      <c r="AP297" s="17"/>
      <c r="AQ297" s="17"/>
    </row>
    <row r="298" spans="1:43" s="84" customFormat="1" ht="15" x14ac:dyDescent="0.35">
      <c r="A298" s="80"/>
      <c r="B298" s="81"/>
      <c r="C298" s="82"/>
      <c r="D298" s="82"/>
      <c r="E298" s="82"/>
      <c r="F298" s="82"/>
      <c r="G298" s="83"/>
      <c r="H298" s="82"/>
      <c r="I298" s="82"/>
      <c r="J298" s="82"/>
      <c r="K298" s="82"/>
      <c r="L298" s="76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76"/>
      <c r="Z298" s="82"/>
      <c r="AA298" s="82"/>
      <c r="AB298" s="82"/>
      <c r="AC298" s="82"/>
      <c r="AD298" s="82"/>
      <c r="AE298" s="82"/>
      <c r="AF298" s="82"/>
      <c r="AG298" s="82"/>
      <c r="AH298" s="82"/>
      <c r="AI298" s="82"/>
      <c r="AJ298" s="82"/>
      <c r="AK298" s="82"/>
      <c r="AL298" s="76"/>
      <c r="AM298" s="82"/>
      <c r="AN298" s="82"/>
      <c r="AO298" s="82"/>
      <c r="AP298" s="82"/>
      <c r="AQ298" s="82"/>
    </row>
    <row r="299" spans="1:43" ht="15" x14ac:dyDescent="0.35">
      <c r="A299" s="85"/>
      <c r="B299" s="86"/>
      <c r="C299" s="87"/>
      <c r="D299" s="87"/>
      <c r="E299" s="87"/>
      <c r="F299" s="87"/>
      <c r="G299" s="88"/>
      <c r="H299" s="87"/>
      <c r="I299" s="87"/>
      <c r="J299" s="87"/>
      <c r="K299" s="8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M299" s="17"/>
      <c r="AN299" s="17"/>
      <c r="AO299" s="17"/>
      <c r="AP299" s="17"/>
      <c r="AQ299" s="17"/>
    </row>
    <row r="300" spans="1:43" s="84" customFormat="1" ht="15" x14ac:dyDescent="0.35">
      <c r="A300" s="80"/>
      <c r="B300" s="81"/>
      <c r="C300" s="82"/>
      <c r="D300" s="82"/>
      <c r="E300" s="82"/>
      <c r="F300" s="82"/>
      <c r="G300" s="83"/>
      <c r="H300" s="82"/>
      <c r="I300" s="82"/>
      <c r="J300" s="82"/>
      <c r="K300" s="82"/>
      <c r="L300" s="76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76"/>
      <c r="Z300" s="82"/>
      <c r="AA300" s="82"/>
      <c r="AB300" s="82"/>
      <c r="AC300" s="82"/>
      <c r="AD300" s="82"/>
      <c r="AE300" s="82"/>
      <c r="AF300" s="82"/>
      <c r="AG300" s="82"/>
      <c r="AH300" s="82"/>
      <c r="AI300" s="82"/>
      <c r="AJ300" s="82"/>
      <c r="AK300" s="82"/>
      <c r="AL300" s="76"/>
      <c r="AM300" s="82"/>
      <c r="AN300" s="82"/>
      <c r="AO300" s="82"/>
      <c r="AP300" s="82"/>
      <c r="AQ300" s="82"/>
    </row>
    <row r="301" spans="1:43" ht="15" x14ac:dyDescent="0.35">
      <c r="A301" s="85"/>
      <c r="B301" s="86"/>
      <c r="C301" s="87"/>
      <c r="D301" s="87"/>
      <c r="E301" s="87"/>
      <c r="F301" s="87"/>
      <c r="G301" s="88"/>
      <c r="H301" s="87"/>
      <c r="I301" s="87"/>
      <c r="J301" s="87"/>
      <c r="K301" s="8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M301" s="17"/>
      <c r="AN301" s="17"/>
      <c r="AO301" s="17"/>
      <c r="AP301" s="17"/>
      <c r="AQ301" s="17"/>
    </row>
    <row r="302" spans="1:43" s="84" customFormat="1" ht="15" x14ac:dyDescent="0.35">
      <c r="A302" s="80"/>
      <c r="B302" s="81"/>
      <c r="C302" s="82"/>
      <c r="D302" s="82"/>
      <c r="E302" s="82"/>
      <c r="F302" s="82"/>
      <c r="G302" s="83"/>
      <c r="H302" s="82"/>
      <c r="I302" s="82"/>
      <c r="J302" s="82"/>
      <c r="K302" s="82"/>
      <c r="L302" s="76"/>
      <c r="M302" s="82"/>
      <c r="N302" s="82"/>
      <c r="O302" s="82"/>
      <c r="P302" s="82"/>
      <c r="Q302" s="82"/>
      <c r="R302" s="82"/>
      <c r="S302" s="82"/>
      <c r="T302" s="82"/>
      <c r="U302" s="82"/>
      <c r="V302" s="82"/>
      <c r="W302" s="82"/>
      <c r="X302" s="82"/>
      <c r="Y302" s="76"/>
      <c r="Z302" s="82"/>
      <c r="AA302" s="82"/>
      <c r="AB302" s="82"/>
      <c r="AC302" s="82"/>
      <c r="AD302" s="82"/>
      <c r="AE302" s="82"/>
      <c r="AF302" s="82"/>
      <c r="AG302" s="82"/>
      <c r="AH302" s="82"/>
      <c r="AI302" s="82"/>
      <c r="AJ302" s="82"/>
      <c r="AK302" s="82"/>
      <c r="AL302" s="76"/>
      <c r="AM302" s="82"/>
      <c r="AN302" s="82"/>
      <c r="AO302" s="82"/>
      <c r="AP302" s="82"/>
      <c r="AQ302" s="82"/>
    </row>
    <row r="303" spans="1:43" ht="15" x14ac:dyDescent="0.35">
      <c r="A303" s="85"/>
      <c r="B303" s="86"/>
      <c r="C303" s="87"/>
      <c r="D303" s="87"/>
      <c r="E303" s="87"/>
      <c r="F303" s="87"/>
      <c r="G303" s="88"/>
      <c r="H303" s="87"/>
      <c r="I303" s="87"/>
      <c r="J303" s="87"/>
      <c r="K303" s="8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M303" s="17"/>
      <c r="AN303" s="17"/>
      <c r="AO303" s="17"/>
      <c r="AP303" s="17"/>
      <c r="AQ303" s="17"/>
    </row>
    <row r="304" spans="1:43" s="84" customFormat="1" ht="15" x14ac:dyDescent="0.35">
      <c r="A304" s="80"/>
      <c r="B304" s="81"/>
      <c r="C304" s="82"/>
      <c r="D304" s="82"/>
      <c r="E304" s="82"/>
      <c r="F304" s="82"/>
      <c r="G304" s="83"/>
      <c r="H304" s="82"/>
      <c r="I304" s="82"/>
      <c r="J304" s="82"/>
      <c r="K304" s="82"/>
      <c r="L304" s="76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76"/>
      <c r="Z304" s="82"/>
      <c r="AA304" s="82"/>
      <c r="AB304" s="82"/>
      <c r="AC304" s="82"/>
      <c r="AD304" s="82"/>
      <c r="AE304" s="82"/>
      <c r="AF304" s="82"/>
      <c r="AG304" s="82"/>
      <c r="AH304" s="82"/>
      <c r="AI304" s="82"/>
      <c r="AJ304" s="82"/>
      <c r="AK304" s="82"/>
      <c r="AL304" s="76"/>
      <c r="AM304" s="82"/>
      <c r="AN304" s="82"/>
      <c r="AO304" s="82"/>
      <c r="AP304" s="82"/>
      <c r="AQ304" s="82"/>
    </row>
    <row r="305" spans="1:43" ht="15" x14ac:dyDescent="0.35">
      <c r="A305" s="85"/>
      <c r="B305" s="86"/>
      <c r="C305" s="87"/>
      <c r="D305" s="87"/>
      <c r="E305" s="87"/>
      <c r="F305" s="87"/>
      <c r="G305" s="88"/>
      <c r="H305" s="87"/>
      <c r="I305" s="87"/>
      <c r="J305" s="87"/>
      <c r="K305" s="8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M305" s="17"/>
      <c r="AN305" s="17"/>
      <c r="AO305" s="17"/>
      <c r="AP305" s="17"/>
      <c r="AQ305" s="17"/>
    </row>
    <row r="306" spans="1:43" s="84" customFormat="1" ht="15" x14ac:dyDescent="0.35">
      <c r="A306" s="80"/>
      <c r="B306" s="81"/>
      <c r="C306" s="82"/>
      <c r="D306" s="82"/>
      <c r="E306" s="82"/>
      <c r="F306" s="82"/>
      <c r="G306" s="83"/>
      <c r="H306" s="82"/>
      <c r="I306" s="82"/>
      <c r="J306" s="82"/>
      <c r="K306" s="82"/>
      <c r="L306" s="76"/>
      <c r="M306" s="82"/>
      <c r="N306" s="82"/>
      <c r="O306" s="82"/>
      <c r="P306" s="82"/>
      <c r="Q306" s="82"/>
      <c r="R306" s="82"/>
      <c r="S306" s="82"/>
      <c r="T306" s="82"/>
      <c r="U306" s="82"/>
      <c r="V306" s="82"/>
      <c r="W306" s="82"/>
      <c r="X306" s="82"/>
      <c r="Y306" s="76"/>
      <c r="Z306" s="82"/>
      <c r="AA306" s="82"/>
      <c r="AB306" s="82"/>
      <c r="AC306" s="82"/>
      <c r="AD306" s="82"/>
      <c r="AE306" s="82"/>
      <c r="AF306" s="82"/>
      <c r="AG306" s="82"/>
      <c r="AH306" s="82"/>
      <c r="AI306" s="82"/>
      <c r="AJ306" s="82"/>
      <c r="AK306" s="82"/>
      <c r="AL306" s="76"/>
      <c r="AM306" s="82"/>
      <c r="AN306" s="82"/>
      <c r="AO306" s="82"/>
      <c r="AP306" s="82"/>
      <c r="AQ306" s="82"/>
    </row>
    <row r="307" spans="1:43" ht="15" x14ac:dyDescent="0.35">
      <c r="A307" s="85"/>
      <c r="B307" s="86"/>
      <c r="C307" s="87"/>
      <c r="D307" s="87"/>
      <c r="E307" s="87"/>
      <c r="F307" s="87"/>
      <c r="G307" s="88"/>
      <c r="H307" s="87"/>
      <c r="I307" s="87"/>
      <c r="J307" s="87"/>
      <c r="K307" s="8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M307" s="17"/>
      <c r="AN307" s="17"/>
      <c r="AO307" s="17"/>
      <c r="AP307" s="17"/>
      <c r="AQ307" s="17"/>
    </row>
    <row r="308" spans="1:43" s="84" customFormat="1" ht="15" x14ac:dyDescent="0.35">
      <c r="A308" s="80"/>
      <c r="B308" s="81"/>
      <c r="C308" s="82"/>
      <c r="D308" s="82"/>
      <c r="E308" s="82"/>
      <c r="F308" s="82"/>
      <c r="G308" s="83"/>
      <c r="H308" s="82"/>
      <c r="I308" s="82"/>
      <c r="J308" s="82"/>
      <c r="K308" s="82"/>
      <c r="L308" s="76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76"/>
      <c r="Z308" s="82"/>
      <c r="AA308" s="82"/>
      <c r="AB308" s="82"/>
      <c r="AC308" s="82"/>
      <c r="AD308" s="82"/>
      <c r="AE308" s="82"/>
      <c r="AF308" s="82"/>
      <c r="AG308" s="82"/>
      <c r="AH308" s="82"/>
      <c r="AI308" s="82"/>
      <c r="AJ308" s="82"/>
      <c r="AK308" s="82"/>
      <c r="AL308" s="76"/>
      <c r="AM308" s="82"/>
      <c r="AN308" s="82"/>
      <c r="AO308" s="82"/>
      <c r="AP308" s="82"/>
      <c r="AQ308" s="82"/>
    </row>
    <row r="309" spans="1:43" ht="15" x14ac:dyDescent="0.35">
      <c r="A309" s="85"/>
      <c r="B309" s="86"/>
      <c r="C309" s="87"/>
      <c r="D309" s="87"/>
      <c r="E309" s="87"/>
      <c r="F309" s="87"/>
      <c r="G309" s="88"/>
      <c r="H309" s="87"/>
      <c r="I309" s="87"/>
      <c r="J309" s="87"/>
      <c r="K309" s="8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M309" s="17"/>
      <c r="AN309" s="17"/>
      <c r="AO309" s="17"/>
      <c r="AP309" s="17"/>
      <c r="AQ309" s="17"/>
    </row>
    <row r="310" spans="1:43" s="84" customFormat="1" ht="15" x14ac:dyDescent="0.35">
      <c r="A310" s="80"/>
      <c r="B310" s="81"/>
      <c r="C310" s="82"/>
      <c r="D310" s="82"/>
      <c r="E310" s="82"/>
      <c r="F310" s="82"/>
      <c r="G310" s="83"/>
      <c r="H310" s="82"/>
      <c r="I310" s="82"/>
      <c r="J310" s="82"/>
      <c r="K310" s="82"/>
      <c r="L310" s="76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76"/>
      <c r="Z310" s="82"/>
      <c r="AA310" s="82"/>
      <c r="AB310" s="82"/>
      <c r="AC310" s="82"/>
      <c r="AD310" s="82"/>
      <c r="AE310" s="82"/>
      <c r="AF310" s="82"/>
      <c r="AG310" s="82"/>
      <c r="AH310" s="82"/>
      <c r="AI310" s="82"/>
      <c r="AJ310" s="82"/>
      <c r="AK310" s="82"/>
      <c r="AL310" s="76"/>
      <c r="AM310" s="82"/>
      <c r="AN310" s="82"/>
      <c r="AO310" s="82"/>
      <c r="AP310" s="82"/>
      <c r="AQ310" s="82"/>
    </row>
    <row r="311" spans="1:43" ht="15" x14ac:dyDescent="0.35">
      <c r="A311" s="85"/>
      <c r="B311" s="86"/>
      <c r="C311" s="87"/>
      <c r="D311" s="87"/>
      <c r="E311" s="87"/>
      <c r="F311" s="87"/>
      <c r="G311" s="88"/>
      <c r="H311" s="87"/>
      <c r="I311" s="87"/>
      <c r="J311" s="87"/>
      <c r="K311" s="8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M311" s="17"/>
      <c r="AN311" s="17"/>
      <c r="AO311" s="17"/>
      <c r="AP311" s="17"/>
      <c r="AQ311" s="17"/>
    </row>
    <row r="312" spans="1:43" s="84" customFormat="1" ht="15" x14ac:dyDescent="0.35">
      <c r="A312" s="80"/>
      <c r="B312" s="81"/>
      <c r="C312" s="82"/>
      <c r="D312" s="82"/>
      <c r="E312" s="82"/>
      <c r="F312" s="82"/>
      <c r="G312" s="83"/>
      <c r="H312" s="82"/>
      <c r="I312" s="82"/>
      <c r="J312" s="82"/>
      <c r="K312" s="82"/>
      <c r="L312" s="76"/>
      <c r="M312" s="82"/>
      <c r="N312" s="82"/>
      <c r="O312" s="82"/>
      <c r="P312" s="82"/>
      <c r="Q312" s="82"/>
      <c r="R312" s="82"/>
      <c r="S312" s="82"/>
      <c r="T312" s="82"/>
      <c r="U312" s="82"/>
      <c r="V312" s="82"/>
      <c r="W312" s="82"/>
      <c r="X312" s="82"/>
      <c r="Y312" s="76"/>
      <c r="Z312" s="82"/>
      <c r="AA312" s="82"/>
      <c r="AB312" s="82"/>
      <c r="AC312" s="82"/>
      <c r="AD312" s="82"/>
      <c r="AE312" s="82"/>
      <c r="AF312" s="82"/>
      <c r="AG312" s="82"/>
      <c r="AH312" s="82"/>
      <c r="AI312" s="82"/>
      <c r="AJ312" s="82"/>
      <c r="AK312" s="82"/>
      <c r="AL312" s="76"/>
      <c r="AM312" s="82"/>
      <c r="AN312" s="82"/>
      <c r="AO312" s="82"/>
      <c r="AP312" s="82"/>
      <c r="AQ312" s="82"/>
    </row>
    <row r="313" spans="1:43" ht="15" x14ac:dyDescent="0.35">
      <c r="A313" s="85"/>
      <c r="B313" s="86"/>
      <c r="C313" s="87"/>
      <c r="D313" s="87"/>
      <c r="E313" s="87"/>
      <c r="F313" s="87"/>
      <c r="G313" s="88"/>
      <c r="H313" s="87"/>
      <c r="I313" s="87"/>
      <c r="J313" s="87"/>
      <c r="K313" s="8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M313" s="17"/>
      <c r="AN313" s="17"/>
      <c r="AO313" s="17"/>
      <c r="AP313" s="17"/>
      <c r="AQ313" s="17"/>
    </row>
    <row r="314" spans="1:43" s="84" customFormat="1" ht="15" x14ac:dyDescent="0.35">
      <c r="A314" s="80"/>
      <c r="B314" s="81"/>
      <c r="C314" s="82"/>
      <c r="D314" s="82"/>
      <c r="E314" s="82"/>
      <c r="F314" s="82"/>
      <c r="G314" s="83"/>
      <c r="H314" s="82"/>
      <c r="I314" s="82"/>
      <c r="J314" s="82"/>
      <c r="K314" s="82"/>
      <c r="L314" s="76"/>
      <c r="M314" s="82"/>
      <c r="N314" s="82"/>
      <c r="O314" s="82"/>
      <c r="P314" s="82"/>
      <c r="Q314" s="82"/>
      <c r="R314" s="82"/>
      <c r="S314" s="82"/>
      <c r="T314" s="82"/>
      <c r="U314" s="82"/>
      <c r="V314" s="82"/>
      <c r="W314" s="82"/>
      <c r="X314" s="82"/>
      <c r="Y314" s="76"/>
      <c r="Z314" s="82"/>
      <c r="AA314" s="82"/>
      <c r="AB314" s="82"/>
      <c r="AC314" s="82"/>
      <c r="AD314" s="82"/>
      <c r="AE314" s="82"/>
      <c r="AF314" s="82"/>
      <c r="AG314" s="82"/>
      <c r="AH314" s="82"/>
      <c r="AI314" s="82"/>
      <c r="AJ314" s="82"/>
      <c r="AK314" s="82"/>
      <c r="AL314" s="76"/>
      <c r="AM314" s="82"/>
      <c r="AN314" s="82"/>
      <c r="AO314" s="82"/>
      <c r="AP314" s="82"/>
      <c r="AQ314" s="82"/>
    </row>
    <row r="315" spans="1:43" ht="15" x14ac:dyDescent="0.35">
      <c r="A315" s="85"/>
      <c r="B315" s="86"/>
      <c r="C315" s="87"/>
      <c r="D315" s="87"/>
      <c r="E315" s="87"/>
      <c r="F315" s="87"/>
      <c r="G315" s="88"/>
      <c r="H315" s="87"/>
      <c r="I315" s="87"/>
      <c r="J315" s="87"/>
      <c r="K315" s="8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M315" s="17"/>
      <c r="AN315" s="17"/>
      <c r="AO315" s="17"/>
      <c r="AP315" s="17"/>
      <c r="AQ315" s="17"/>
    </row>
    <row r="316" spans="1:43" s="84" customFormat="1" ht="15" x14ac:dyDescent="0.35">
      <c r="A316" s="80"/>
      <c r="B316" s="81"/>
      <c r="C316" s="82"/>
      <c r="D316" s="82"/>
      <c r="E316" s="82"/>
      <c r="F316" s="82"/>
      <c r="G316" s="83"/>
      <c r="H316" s="82"/>
      <c r="I316" s="82"/>
      <c r="J316" s="82"/>
      <c r="K316" s="82"/>
      <c r="L316" s="76"/>
      <c r="M316" s="82"/>
      <c r="N316" s="82"/>
      <c r="O316" s="82"/>
      <c r="P316" s="82"/>
      <c r="Q316" s="82"/>
      <c r="R316" s="82"/>
      <c r="S316" s="82"/>
      <c r="T316" s="82"/>
      <c r="U316" s="82"/>
      <c r="V316" s="82"/>
      <c r="W316" s="82"/>
      <c r="X316" s="82"/>
      <c r="Y316" s="76"/>
      <c r="Z316" s="82"/>
      <c r="AA316" s="82"/>
      <c r="AB316" s="82"/>
      <c r="AC316" s="82"/>
      <c r="AD316" s="82"/>
      <c r="AE316" s="82"/>
      <c r="AF316" s="82"/>
      <c r="AG316" s="82"/>
      <c r="AH316" s="82"/>
      <c r="AI316" s="82"/>
      <c r="AJ316" s="82"/>
      <c r="AK316" s="82"/>
      <c r="AL316" s="76"/>
      <c r="AM316" s="82"/>
      <c r="AN316" s="82"/>
      <c r="AO316" s="82"/>
      <c r="AP316" s="82"/>
      <c r="AQ316" s="82"/>
    </row>
    <row r="317" spans="1:43" ht="15" x14ac:dyDescent="0.35">
      <c r="A317" s="85"/>
      <c r="B317" s="86"/>
      <c r="C317" s="87"/>
      <c r="D317" s="87"/>
      <c r="E317" s="87"/>
      <c r="F317" s="87"/>
      <c r="G317" s="88"/>
      <c r="H317" s="87"/>
      <c r="I317" s="87"/>
      <c r="J317" s="87"/>
      <c r="K317" s="8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M317" s="17"/>
      <c r="AN317" s="17"/>
      <c r="AO317" s="17"/>
      <c r="AP317" s="17"/>
      <c r="AQ317" s="17"/>
    </row>
    <row r="318" spans="1:43" s="84" customFormat="1" ht="15" x14ac:dyDescent="0.35">
      <c r="A318" s="80"/>
      <c r="B318" s="81"/>
      <c r="C318" s="82"/>
      <c r="D318" s="82"/>
      <c r="E318" s="82"/>
      <c r="F318" s="82"/>
      <c r="G318" s="83"/>
      <c r="H318" s="82"/>
      <c r="I318" s="82"/>
      <c r="J318" s="82"/>
      <c r="K318" s="82"/>
      <c r="L318" s="76"/>
      <c r="M318" s="82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76"/>
      <c r="Z318" s="82"/>
      <c r="AA318" s="82"/>
      <c r="AB318" s="82"/>
      <c r="AC318" s="82"/>
      <c r="AD318" s="82"/>
      <c r="AE318" s="82"/>
      <c r="AF318" s="82"/>
      <c r="AG318" s="82"/>
      <c r="AH318" s="82"/>
      <c r="AI318" s="82"/>
      <c r="AJ318" s="82"/>
      <c r="AK318" s="82"/>
      <c r="AL318" s="76"/>
      <c r="AM318" s="82"/>
      <c r="AN318" s="82"/>
      <c r="AO318" s="82"/>
      <c r="AP318" s="82"/>
      <c r="AQ318" s="82"/>
    </row>
    <row r="319" spans="1:43" ht="15" x14ac:dyDescent="0.35">
      <c r="A319" s="85"/>
      <c r="B319" s="86"/>
      <c r="C319" s="87"/>
      <c r="D319" s="87"/>
      <c r="E319" s="87"/>
      <c r="F319" s="87"/>
      <c r="G319" s="88"/>
      <c r="H319" s="87"/>
      <c r="I319" s="87"/>
      <c r="J319" s="87"/>
      <c r="K319" s="8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M319" s="17"/>
      <c r="AN319" s="17"/>
      <c r="AO319" s="17"/>
      <c r="AP319" s="17"/>
      <c r="AQ319" s="17"/>
    </row>
    <row r="320" spans="1:43" s="84" customFormat="1" ht="15" x14ac:dyDescent="0.35">
      <c r="A320" s="80"/>
      <c r="B320" s="81"/>
      <c r="C320" s="82"/>
      <c r="D320" s="82"/>
      <c r="E320" s="82"/>
      <c r="F320" s="82"/>
      <c r="G320" s="83"/>
      <c r="H320" s="82"/>
      <c r="I320" s="82"/>
      <c r="J320" s="82"/>
      <c r="K320" s="82"/>
      <c r="L320" s="76"/>
      <c r="M320" s="82"/>
      <c r="N320" s="82"/>
      <c r="O320" s="82"/>
      <c r="P320" s="82"/>
      <c r="Q320" s="82"/>
      <c r="R320" s="82"/>
      <c r="S320" s="82"/>
      <c r="T320" s="82"/>
      <c r="U320" s="82"/>
      <c r="V320" s="82"/>
      <c r="W320" s="82"/>
      <c r="X320" s="82"/>
      <c r="Y320" s="76"/>
      <c r="Z320" s="82"/>
      <c r="AA320" s="82"/>
      <c r="AB320" s="82"/>
      <c r="AC320" s="82"/>
      <c r="AD320" s="82"/>
      <c r="AE320" s="82"/>
      <c r="AF320" s="82"/>
      <c r="AG320" s="82"/>
      <c r="AH320" s="82"/>
      <c r="AI320" s="82"/>
      <c r="AJ320" s="82"/>
      <c r="AK320" s="82"/>
      <c r="AL320" s="76"/>
      <c r="AM320" s="82"/>
      <c r="AN320" s="82"/>
      <c r="AO320" s="82"/>
      <c r="AP320" s="82"/>
      <c r="AQ320" s="82"/>
    </row>
    <row r="321" spans="1:43" ht="15" x14ac:dyDescent="0.35">
      <c r="A321" s="85"/>
      <c r="B321" s="86"/>
      <c r="C321" s="87"/>
      <c r="D321" s="87"/>
      <c r="E321" s="87"/>
      <c r="F321" s="87"/>
      <c r="G321" s="88"/>
      <c r="H321" s="87"/>
      <c r="I321" s="87"/>
      <c r="J321" s="87"/>
      <c r="K321" s="8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M321" s="17"/>
      <c r="AN321" s="17"/>
      <c r="AO321" s="17"/>
      <c r="AP321" s="17"/>
      <c r="AQ321" s="17"/>
    </row>
    <row r="322" spans="1:43" s="84" customFormat="1" ht="15" x14ac:dyDescent="0.35">
      <c r="A322" s="80"/>
      <c r="B322" s="81"/>
      <c r="C322" s="82"/>
      <c r="D322" s="82"/>
      <c r="E322" s="82"/>
      <c r="F322" s="82"/>
      <c r="G322" s="83"/>
      <c r="H322" s="82"/>
      <c r="I322" s="82"/>
      <c r="J322" s="82"/>
      <c r="K322" s="82"/>
      <c r="L322" s="76"/>
      <c r="M322" s="82"/>
      <c r="N322" s="82"/>
      <c r="O322" s="82"/>
      <c r="P322" s="82"/>
      <c r="Q322" s="82"/>
      <c r="R322" s="82"/>
      <c r="S322" s="82"/>
      <c r="T322" s="82"/>
      <c r="U322" s="82"/>
      <c r="V322" s="82"/>
      <c r="W322" s="82"/>
      <c r="X322" s="82"/>
      <c r="Y322" s="76"/>
      <c r="Z322" s="82"/>
      <c r="AA322" s="82"/>
      <c r="AB322" s="82"/>
      <c r="AC322" s="82"/>
      <c r="AD322" s="82"/>
      <c r="AE322" s="82"/>
      <c r="AF322" s="82"/>
      <c r="AG322" s="82"/>
      <c r="AH322" s="82"/>
      <c r="AI322" s="82"/>
      <c r="AJ322" s="82"/>
      <c r="AK322" s="82"/>
      <c r="AL322" s="76"/>
      <c r="AM322" s="82"/>
      <c r="AN322" s="82"/>
      <c r="AO322" s="82"/>
      <c r="AP322" s="82"/>
      <c r="AQ322" s="82"/>
    </row>
    <row r="323" spans="1:43" ht="15" x14ac:dyDescent="0.35">
      <c r="A323" s="85"/>
      <c r="B323" s="86"/>
      <c r="C323" s="87"/>
      <c r="D323" s="87"/>
      <c r="E323" s="87"/>
      <c r="F323" s="87"/>
      <c r="G323" s="88"/>
      <c r="H323" s="87"/>
      <c r="I323" s="87"/>
      <c r="J323" s="87"/>
      <c r="K323" s="8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M323" s="17"/>
      <c r="AN323" s="17"/>
      <c r="AO323" s="17"/>
      <c r="AP323" s="17"/>
      <c r="AQ323" s="17"/>
    </row>
    <row r="324" spans="1:43" s="84" customFormat="1" ht="15" x14ac:dyDescent="0.35">
      <c r="A324" s="80"/>
      <c r="B324" s="81"/>
      <c r="C324" s="82"/>
      <c r="D324" s="82"/>
      <c r="E324" s="82"/>
      <c r="F324" s="82"/>
      <c r="G324" s="83"/>
      <c r="H324" s="82"/>
      <c r="I324" s="82"/>
      <c r="J324" s="82"/>
      <c r="K324" s="82"/>
      <c r="L324" s="76"/>
      <c r="M324" s="82"/>
      <c r="N324" s="82"/>
      <c r="O324" s="82"/>
      <c r="P324" s="82"/>
      <c r="Q324" s="82"/>
      <c r="R324" s="82"/>
      <c r="S324" s="82"/>
      <c r="T324" s="82"/>
      <c r="U324" s="82"/>
      <c r="V324" s="82"/>
      <c r="W324" s="82"/>
      <c r="X324" s="82"/>
      <c r="Y324" s="76"/>
      <c r="Z324" s="82"/>
      <c r="AA324" s="82"/>
      <c r="AB324" s="82"/>
      <c r="AC324" s="82"/>
      <c r="AD324" s="82"/>
      <c r="AE324" s="82"/>
      <c r="AF324" s="82"/>
      <c r="AG324" s="82"/>
      <c r="AH324" s="82"/>
      <c r="AI324" s="82"/>
      <c r="AJ324" s="82"/>
      <c r="AK324" s="82"/>
      <c r="AL324" s="76"/>
      <c r="AM324" s="82"/>
      <c r="AN324" s="82"/>
      <c r="AO324" s="82"/>
      <c r="AP324" s="82"/>
      <c r="AQ324" s="82"/>
    </row>
    <row r="325" spans="1:43" ht="15" x14ac:dyDescent="0.35">
      <c r="A325" s="85"/>
      <c r="B325" s="86"/>
      <c r="C325" s="87"/>
      <c r="D325" s="87"/>
      <c r="E325" s="87"/>
      <c r="F325" s="87"/>
      <c r="G325" s="88"/>
      <c r="H325" s="87"/>
      <c r="I325" s="87"/>
      <c r="J325" s="87"/>
      <c r="K325" s="8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M325" s="17"/>
      <c r="AN325" s="17"/>
      <c r="AO325" s="17"/>
      <c r="AP325" s="17"/>
      <c r="AQ325" s="17"/>
    </row>
    <row r="326" spans="1:43" s="84" customFormat="1" ht="15" x14ac:dyDescent="0.35">
      <c r="A326" s="80"/>
      <c r="B326" s="81"/>
      <c r="C326" s="82"/>
      <c r="D326" s="82"/>
      <c r="E326" s="82"/>
      <c r="F326" s="82"/>
      <c r="G326" s="83"/>
      <c r="H326" s="82"/>
      <c r="I326" s="82"/>
      <c r="J326" s="82"/>
      <c r="K326" s="82"/>
      <c r="L326" s="76"/>
      <c r="M326" s="82"/>
      <c r="N326" s="82"/>
      <c r="O326" s="82"/>
      <c r="P326" s="82"/>
      <c r="Q326" s="82"/>
      <c r="R326" s="82"/>
      <c r="S326" s="82"/>
      <c r="T326" s="82"/>
      <c r="U326" s="82"/>
      <c r="V326" s="82"/>
      <c r="W326" s="82"/>
      <c r="X326" s="82"/>
      <c r="Y326" s="76"/>
      <c r="Z326" s="82"/>
      <c r="AA326" s="82"/>
      <c r="AB326" s="82"/>
      <c r="AC326" s="82"/>
      <c r="AD326" s="82"/>
      <c r="AE326" s="82"/>
      <c r="AF326" s="82"/>
      <c r="AG326" s="82"/>
      <c r="AH326" s="82"/>
      <c r="AI326" s="82"/>
      <c r="AJ326" s="82"/>
      <c r="AK326" s="82"/>
      <c r="AL326" s="76"/>
      <c r="AM326" s="82"/>
      <c r="AN326" s="82"/>
      <c r="AO326" s="82"/>
      <c r="AP326" s="82"/>
      <c r="AQ326" s="82"/>
    </row>
    <row r="327" spans="1:43" ht="15" x14ac:dyDescent="0.35">
      <c r="A327" s="85"/>
      <c r="B327" s="86"/>
      <c r="C327" s="87"/>
      <c r="D327" s="87"/>
      <c r="E327" s="87"/>
      <c r="F327" s="87"/>
      <c r="G327" s="88"/>
      <c r="H327" s="87"/>
      <c r="I327" s="87"/>
      <c r="J327" s="87"/>
      <c r="K327" s="8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M327" s="17"/>
      <c r="AN327" s="17"/>
      <c r="AO327" s="17"/>
      <c r="AP327" s="17"/>
      <c r="AQ327" s="17"/>
    </row>
    <row r="328" spans="1:43" s="84" customFormat="1" ht="15" x14ac:dyDescent="0.35">
      <c r="A328" s="80"/>
      <c r="B328" s="81"/>
      <c r="C328" s="82"/>
      <c r="D328" s="82"/>
      <c r="E328" s="82"/>
      <c r="F328" s="82"/>
      <c r="G328" s="83"/>
      <c r="H328" s="82"/>
      <c r="I328" s="82"/>
      <c r="J328" s="82"/>
      <c r="K328" s="82"/>
      <c r="L328" s="76"/>
      <c r="M328" s="82"/>
      <c r="N328" s="82"/>
      <c r="O328" s="82"/>
      <c r="P328" s="82"/>
      <c r="Q328" s="82"/>
      <c r="R328" s="82"/>
      <c r="S328" s="82"/>
      <c r="T328" s="82"/>
      <c r="U328" s="82"/>
      <c r="V328" s="82"/>
      <c r="W328" s="82"/>
      <c r="X328" s="82"/>
      <c r="Y328" s="76"/>
      <c r="Z328" s="82"/>
      <c r="AA328" s="82"/>
      <c r="AB328" s="82"/>
      <c r="AC328" s="82"/>
      <c r="AD328" s="82"/>
      <c r="AE328" s="82"/>
      <c r="AF328" s="82"/>
      <c r="AG328" s="82"/>
      <c r="AH328" s="82"/>
      <c r="AI328" s="82"/>
      <c r="AJ328" s="82"/>
      <c r="AK328" s="82"/>
      <c r="AL328" s="76"/>
      <c r="AM328" s="82"/>
      <c r="AN328" s="82"/>
      <c r="AO328" s="82"/>
      <c r="AP328" s="82"/>
      <c r="AQ328" s="82"/>
    </row>
    <row r="329" spans="1:43" ht="15" x14ac:dyDescent="0.35">
      <c r="A329" s="85"/>
      <c r="B329" s="86"/>
      <c r="C329" s="87"/>
      <c r="D329" s="87"/>
      <c r="E329" s="87"/>
      <c r="F329" s="87"/>
      <c r="G329" s="88"/>
      <c r="H329" s="87"/>
      <c r="I329" s="87"/>
      <c r="J329" s="87"/>
      <c r="K329" s="8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M329" s="17"/>
      <c r="AN329" s="17"/>
      <c r="AO329" s="17"/>
      <c r="AP329" s="17"/>
      <c r="AQ329" s="17"/>
    </row>
    <row r="330" spans="1:43" s="84" customFormat="1" ht="15" x14ac:dyDescent="0.35">
      <c r="A330" s="80"/>
      <c r="B330" s="81"/>
      <c r="C330" s="82"/>
      <c r="D330" s="82"/>
      <c r="E330" s="82"/>
      <c r="F330" s="82"/>
      <c r="G330" s="83"/>
      <c r="H330" s="82"/>
      <c r="I330" s="82"/>
      <c r="J330" s="82"/>
      <c r="K330" s="82"/>
      <c r="L330" s="76"/>
      <c r="M330" s="82"/>
      <c r="N330" s="82"/>
      <c r="O330" s="82"/>
      <c r="P330" s="82"/>
      <c r="Q330" s="82"/>
      <c r="R330" s="82"/>
      <c r="S330" s="82"/>
      <c r="T330" s="82"/>
      <c r="U330" s="82"/>
      <c r="V330" s="82"/>
      <c r="W330" s="82"/>
      <c r="X330" s="82"/>
      <c r="Y330" s="76"/>
      <c r="Z330" s="82"/>
      <c r="AA330" s="82"/>
      <c r="AB330" s="82"/>
      <c r="AC330" s="82"/>
      <c r="AD330" s="82"/>
      <c r="AE330" s="82"/>
      <c r="AF330" s="82"/>
      <c r="AG330" s="82"/>
      <c r="AH330" s="82"/>
      <c r="AI330" s="82"/>
      <c r="AJ330" s="82"/>
      <c r="AK330" s="82"/>
      <c r="AL330" s="76"/>
      <c r="AM330" s="82"/>
      <c r="AN330" s="82"/>
      <c r="AO330" s="82"/>
      <c r="AP330" s="82"/>
      <c r="AQ330" s="82"/>
    </row>
    <row r="331" spans="1:43" ht="15" x14ac:dyDescent="0.35">
      <c r="A331" s="85"/>
      <c r="B331" s="86"/>
      <c r="C331" s="87"/>
      <c r="D331" s="87"/>
      <c r="E331" s="87"/>
      <c r="F331" s="87"/>
      <c r="G331" s="88"/>
      <c r="H331" s="87"/>
      <c r="I331" s="87"/>
      <c r="J331" s="87"/>
      <c r="K331" s="8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M331" s="17"/>
      <c r="AN331" s="17"/>
      <c r="AO331" s="17"/>
      <c r="AP331" s="17"/>
      <c r="AQ331" s="17"/>
    </row>
    <row r="332" spans="1:43" s="84" customFormat="1" ht="15" x14ac:dyDescent="0.35">
      <c r="A332" s="80"/>
      <c r="B332" s="81"/>
      <c r="C332" s="82"/>
      <c r="D332" s="82"/>
      <c r="E332" s="82"/>
      <c r="F332" s="82"/>
      <c r="G332" s="83"/>
      <c r="H332" s="82"/>
      <c r="I332" s="82"/>
      <c r="J332" s="82"/>
      <c r="K332" s="82"/>
      <c r="L332" s="76"/>
      <c r="M332" s="82"/>
      <c r="N332" s="82"/>
      <c r="O332" s="82"/>
      <c r="P332" s="82"/>
      <c r="Q332" s="82"/>
      <c r="R332" s="82"/>
      <c r="S332" s="82"/>
      <c r="T332" s="82"/>
      <c r="U332" s="82"/>
      <c r="V332" s="82"/>
      <c r="W332" s="82"/>
      <c r="X332" s="82"/>
      <c r="Y332" s="76"/>
      <c r="Z332" s="82"/>
      <c r="AA332" s="82"/>
      <c r="AB332" s="82"/>
      <c r="AC332" s="82"/>
      <c r="AD332" s="82"/>
      <c r="AE332" s="82"/>
      <c r="AF332" s="82"/>
      <c r="AG332" s="82"/>
      <c r="AH332" s="82"/>
      <c r="AI332" s="82"/>
      <c r="AJ332" s="82"/>
      <c r="AK332" s="82"/>
      <c r="AL332" s="76"/>
      <c r="AM332" s="82"/>
      <c r="AN332" s="82"/>
      <c r="AO332" s="82"/>
      <c r="AP332" s="82"/>
      <c r="AQ332" s="82"/>
    </row>
    <row r="333" spans="1:43" ht="15" x14ac:dyDescent="0.35">
      <c r="A333" s="85"/>
      <c r="B333" s="86"/>
      <c r="C333" s="87"/>
      <c r="D333" s="87"/>
      <c r="E333" s="87"/>
      <c r="F333" s="87"/>
      <c r="G333" s="88"/>
      <c r="H333" s="87"/>
      <c r="I333" s="87"/>
      <c r="J333" s="87"/>
      <c r="K333" s="8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M333" s="17"/>
      <c r="AN333" s="17"/>
      <c r="AO333" s="17"/>
      <c r="AP333" s="17"/>
      <c r="AQ333" s="17"/>
    </row>
    <row r="334" spans="1:43" s="84" customFormat="1" ht="15" x14ac:dyDescent="0.35">
      <c r="A334" s="80"/>
      <c r="B334" s="81"/>
      <c r="C334" s="82"/>
      <c r="D334" s="82"/>
      <c r="E334" s="82"/>
      <c r="F334" s="82"/>
      <c r="G334" s="83"/>
      <c r="H334" s="82"/>
      <c r="I334" s="82"/>
      <c r="J334" s="82"/>
      <c r="K334" s="82"/>
      <c r="L334" s="76"/>
      <c r="M334" s="82"/>
      <c r="N334" s="82"/>
      <c r="O334" s="82"/>
      <c r="P334" s="82"/>
      <c r="Q334" s="82"/>
      <c r="R334" s="82"/>
      <c r="S334" s="82"/>
      <c r="T334" s="82"/>
      <c r="U334" s="82"/>
      <c r="V334" s="82"/>
      <c r="W334" s="82"/>
      <c r="X334" s="82"/>
      <c r="Y334" s="76"/>
      <c r="Z334" s="82"/>
      <c r="AA334" s="82"/>
      <c r="AB334" s="82"/>
      <c r="AC334" s="82"/>
      <c r="AD334" s="82"/>
      <c r="AE334" s="82"/>
      <c r="AF334" s="82"/>
      <c r="AG334" s="82"/>
      <c r="AH334" s="82"/>
      <c r="AI334" s="82"/>
      <c r="AJ334" s="82"/>
      <c r="AK334" s="82"/>
      <c r="AL334" s="76"/>
      <c r="AM334" s="82"/>
      <c r="AN334" s="82"/>
      <c r="AO334" s="82"/>
      <c r="AP334" s="82"/>
      <c r="AQ334" s="82"/>
    </row>
    <row r="335" spans="1:43" ht="15" x14ac:dyDescent="0.35">
      <c r="A335" s="85"/>
      <c r="B335" s="86"/>
      <c r="C335" s="87"/>
      <c r="D335" s="87"/>
      <c r="E335" s="87"/>
      <c r="F335" s="87"/>
      <c r="G335" s="88"/>
      <c r="H335" s="87"/>
      <c r="I335" s="87"/>
      <c r="J335" s="87"/>
      <c r="K335" s="8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M335" s="17"/>
      <c r="AN335" s="17"/>
      <c r="AO335" s="17"/>
      <c r="AP335" s="17"/>
      <c r="AQ335" s="17"/>
    </row>
    <row r="336" spans="1:43" s="84" customFormat="1" ht="15" x14ac:dyDescent="0.35">
      <c r="A336" s="80"/>
      <c r="B336" s="81"/>
      <c r="C336" s="82"/>
      <c r="D336" s="82"/>
      <c r="E336" s="82"/>
      <c r="F336" s="82"/>
      <c r="G336" s="83"/>
      <c r="H336" s="82"/>
      <c r="I336" s="82"/>
      <c r="J336" s="82"/>
      <c r="K336" s="82"/>
      <c r="L336" s="76"/>
      <c r="M336" s="82"/>
      <c r="N336" s="82"/>
      <c r="O336" s="82"/>
      <c r="P336" s="82"/>
      <c r="Q336" s="82"/>
      <c r="R336" s="82"/>
      <c r="S336" s="82"/>
      <c r="T336" s="82"/>
      <c r="U336" s="82"/>
      <c r="V336" s="82"/>
      <c r="W336" s="82"/>
      <c r="X336" s="82"/>
      <c r="Y336" s="76"/>
      <c r="Z336" s="82"/>
      <c r="AA336" s="82"/>
      <c r="AB336" s="82"/>
      <c r="AC336" s="82"/>
      <c r="AD336" s="82"/>
      <c r="AE336" s="82"/>
      <c r="AF336" s="82"/>
      <c r="AG336" s="82"/>
      <c r="AH336" s="82"/>
      <c r="AI336" s="82"/>
      <c r="AJ336" s="82"/>
      <c r="AK336" s="82"/>
      <c r="AL336" s="76"/>
      <c r="AM336" s="82"/>
      <c r="AN336" s="82"/>
      <c r="AO336" s="82"/>
      <c r="AP336" s="82"/>
      <c r="AQ336" s="82"/>
    </row>
    <row r="337" spans="1:43" ht="15" x14ac:dyDescent="0.35">
      <c r="A337" s="85"/>
      <c r="B337" s="86"/>
      <c r="C337" s="87"/>
      <c r="D337" s="87"/>
      <c r="E337" s="87"/>
      <c r="F337" s="87"/>
      <c r="G337" s="88"/>
      <c r="H337" s="87"/>
      <c r="I337" s="87"/>
      <c r="J337" s="87"/>
      <c r="K337" s="8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M337" s="17"/>
      <c r="AN337" s="17"/>
      <c r="AO337" s="17"/>
      <c r="AP337" s="17"/>
      <c r="AQ337" s="17"/>
    </row>
    <row r="338" spans="1:43" s="84" customFormat="1" ht="15" x14ac:dyDescent="0.35">
      <c r="A338" s="80"/>
      <c r="B338" s="81"/>
      <c r="C338" s="82"/>
      <c r="D338" s="82"/>
      <c r="E338" s="82"/>
      <c r="F338" s="82"/>
      <c r="G338" s="83"/>
      <c r="H338" s="82"/>
      <c r="I338" s="82"/>
      <c r="J338" s="82"/>
      <c r="K338" s="82"/>
      <c r="L338" s="76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76"/>
      <c r="Z338" s="82"/>
      <c r="AA338" s="82"/>
      <c r="AB338" s="82"/>
      <c r="AC338" s="82"/>
      <c r="AD338" s="82"/>
      <c r="AE338" s="82"/>
      <c r="AF338" s="82"/>
      <c r="AG338" s="82"/>
      <c r="AH338" s="82"/>
      <c r="AI338" s="82"/>
      <c r="AJ338" s="82"/>
      <c r="AK338" s="82"/>
      <c r="AL338" s="76"/>
      <c r="AM338" s="82"/>
      <c r="AN338" s="82"/>
      <c r="AO338" s="82"/>
      <c r="AP338" s="82"/>
      <c r="AQ338" s="82"/>
    </row>
    <row r="339" spans="1:43" ht="15" x14ac:dyDescent="0.35">
      <c r="A339" s="85"/>
      <c r="B339" s="86"/>
      <c r="C339" s="87"/>
      <c r="D339" s="87"/>
      <c r="E339" s="87"/>
      <c r="F339" s="87"/>
      <c r="G339" s="88"/>
      <c r="H339" s="87"/>
      <c r="I339" s="87"/>
      <c r="J339" s="87"/>
      <c r="K339" s="8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M339" s="17"/>
      <c r="AN339" s="17"/>
      <c r="AO339" s="17"/>
      <c r="AP339" s="17"/>
      <c r="AQ339" s="17"/>
    </row>
    <row r="340" spans="1:43" s="84" customFormat="1" ht="15" x14ac:dyDescent="0.35">
      <c r="A340" s="80"/>
      <c r="B340" s="81"/>
      <c r="C340" s="82"/>
      <c r="D340" s="82"/>
      <c r="E340" s="82"/>
      <c r="F340" s="82"/>
      <c r="G340" s="83"/>
      <c r="H340" s="82"/>
      <c r="I340" s="82"/>
      <c r="J340" s="82"/>
      <c r="K340" s="82"/>
      <c r="L340" s="76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76"/>
      <c r="Z340" s="82"/>
      <c r="AA340" s="82"/>
      <c r="AB340" s="82"/>
      <c r="AC340" s="82"/>
      <c r="AD340" s="82"/>
      <c r="AE340" s="82"/>
      <c r="AF340" s="82"/>
      <c r="AG340" s="82"/>
      <c r="AH340" s="82"/>
      <c r="AI340" s="82"/>
      <c r="AJ340" s="82"/>
      <c r="AK340" s="82"/>
      <c r="AL340" s="76"/>
      <c r="AM340" s="82"/>
      <c r="AN340" s="82"/>
      <c r="AO340" s="82"/>
      <c r="AP340" s="82"/>
      <c r="AQ340" s="82"/>
    </row>
    <row r="341" spans="1:43" ht="15" x14ac:dyDescent="0.35">
      <c r="A341" s="85"/>
      <c r="B341" s="86"/>
      <c r="C341" s="87"/>
      <c r="D341" s="87"/>
      <c r="E341" s="87"/>
      <c r="F341" s="87"/>
      <c r="G341" s="88"/>
      <c r="H341" s="87"/>
      <c r="I341" s="87"/>
      <c r="J341" s="87"/>
      <c r="K341" s="8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M341" s="17"/>
      <c r="AN341" s="17"/>
      <c r="AO341" s="17"/>
      <c r="AP341" s="17"/>
      <c r="AQ341" s="17"/>
    </row>
    <row r="342" spans="1:43" s="84" customFormat="1" ht="15" x14ac:dyDescent="0.35">
      <c r="A342" s="80"/>
      <c r="B342" s="81"/>
      <c r="C342" s="82"/>
      <c r="D342" s="82"/>
      <c r="E342" s="82"/>
      <c r="F342" s="82"/>
      <c r="G342" s="83"/>
      <c r="H342" s="82"/>
      <c r="I342" s="82"/>
      <c r="J342" s="82"/>
      <c r="K342" s="82"/>
      <c r="L342" s="76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76"/>
      <c r="Z342" s="82"/>
      <c r="AA342" s="82"/>
      <c r="AB342" s="82"/>
      <c r="AC342" s="82"/>
      <c r="AD342" s="82"/>
      <c r="AE342" s="82"/>
      <c r="AF342" s="82"/>
      <c r="AG342" s="82"/>
      <c r="AH342" s="82"/>
      <c r="AI342" s="82"/>
      <c r="AJ342" s="82"/>
      <c r="AK342" s="82"/>
      <c r="AL342" s="76"/>
      <c r="AM342" s="82"/>
      <c r="AN342" s="82"/>
      <c r="AO342" s="82"/>
      <c r="AP342" s="82"/>
      <c r="AQ342" s="82"/>
    </row>
    <row r="343" spans="1:43" ht="15" x14ac:dyDescent="0.35">
      <c r="A343" s="85"/>
      <c r="B343" s="86"/>
      <c r="C343" s="87"/>
      <c r="D343" s="87"/>
      <c r="E343" s="87"/>
      <c r="F343" s="87"/>
      <c r="G343" s="88"/>
      <c r="H343" s="87"/>
      <c r="I343" s="87"/>
      <c r="J343" s="87"/>
      <c r="K343" s="8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M343" s="17"/>
      <c r="AN343" s="17"/>
      <c r="AO343" s="17"/>
      <c r="AP343" s="17"/>
      <c r="AQ343" s="17"/>
    </row>
    <row r="344" spans="1:43" s="84" customFormat="1" ht="15" x14ac:dyDescent="0.35">
      <c r="A344" s="80"/>
      <c r="B344" s="81"/>
      <c r="C344" s="82"/>
      <c r="D344" s="82"/>
      <c r="E344" s="82"/>
      <c r="F344" s="82"/>
      <c r="G344" s="83"/>
      <c r="H344" s="82"/>
      <c r="I344" s="82"/>
      <c r="J344" s="82"/>
      <c r="K344" s="82"/>
      <c r="L344" s="76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76"/>
      <c r="Z344" s="82"/>
      <c r="AA344" s="82"/>
      <c r="AB344" s="82"/>
      <c r="AC344" s="82"/>
      <c r="AD344" s="82"/>
      <c r="AE344" s="82"/>
      <c r="AF344" s="82"/>
      <c r="AG344" s="82"/>
      <c r="AH344" s="82"/>
      <c r="AI344" s="82"/>
      <c r="AJ344" s="82"/>
      <c r="AK344" s="82"/>
      <c r="AL344" s="76"/>
      <c r="AM344" s="82"/>
      <c r="AN344" s="82"/>
      <c r="AO344" s="82"/>
      <c r="AP344" s="82"/>
      <c r="AQ344" s="82"/>
    </row>
    <row r="345" spans="1:43" ht="15" x14ac:dyDescent="0.35">
      <c r="A345" s="85"/>
      <c r="B345" s="86"/>
      <c r="C345" s="87"/>
      <c r="D345" s="87"/>
      <c r="E345" s="87"/>
      <c r="F345" s="87"/>
      <c r="G345" s="88"/>
      <c r="H345" s="87"/>
      <c r="I345" s="87"/>
      <c r="J345" s="87"/>
      <c r="K345" s="8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M345" s="17"/>
      <c r="AN345" s="17"/>
      <c r="AO345" s="17"/>
      <c r="AP345" s="17"/>
      <c r="AQ345" s="17"/>
    </row>
    <row r="346" spans="1:43" s="84" customFormat="1" ht="15" x14ac:dyDescent="0.35">
      <c r="A346" s="80"/>
      <c r="B346" s="81"/>
      <c r="C346" s="82"/>
      <c r="D346" s="82"/>
      <c r="E346" s="82"/>
      <c r="F346" s="82"/>
      <c r="G346" s="83"/>
      <c r="H346" s="82"/>
      <c r="I346" s="82"/>
      <c r="J346" s="82"/>
      <c r="K346" s="82"/>
      <c r="L346" s="76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76"/>
      <c r="Z346" s="82"/>
      <c r="AA346" s="82"/>
      <c r="AB346" s="82"/>
      <c r="AC346" s="82"/>
      <c r="AD346" s="82"/>
      <c r="AE346" s="82"/>
      <c r="AF346" s="82"/>
      <c r="AG346" s="82"/>
      <c r="AH346" s="82"/>
      <c r="AI346" s="82"/>
      <c r="AJ346" s="82"/>
      <c r="AK346" s="82"/>
      <c r="AL346" s="76"/>
      <c r="AM346" s="82"/>
      <c r="AN346" s="82"/>
      <c r="AO346" s="82"/>
      <c r="AP346" s="82"/>
      <c r="AQ346" s="82"/>
    </row>
    <row r="347" spans="1:43" ht="15" x14ac:dyDescent="0.35">
      <c r="A347" s="85"/>
      <c r="B347" s="86"/>
      <c r="C347" s="87"/>
      <c r="D347" s="87"/>
      <c r="E347" s="87"/>
      <c r="F347" s="87"/>
      <c r="G347" s="88"/>
      <c r="H347" s="87"/>
      <c r="I347" s="87"/>
      <c r="J347" s="87"/>
      <c r="K347" s="8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M347" s="17"/>
      <c r="AN347" s="17"/>
      <c r="AO347" s="17"/>
      <c r="AP347" s="17"/>
      <c r="AQ347" s="17"/>
    </row>
    <row r="348" spans="1:43" s="84" customFormat="1" ht="15" x14ac:dyDescent="0.35">
      <c r="A348" s="80"/>
      <c r="B348" s="81"/>
      <c r="C348" s="82"/>
      <c r="D348" s="82"/>
      <c r="E348" s="82"/>
      <c r="F348" s="82"/>
      <c r="G348" s="83"/>
      <c r="H348" s="82"/>
      <c r="I348" s="82"/>
      <c r="J348" s="82"/>
      <c r="K348" s="82"/>
      <c r="L348" s="76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76"/>
      <c r="Z348" s="82"/>
      <c r="AA348" s="82"/>
      <c r="AB348" s="82"/>
      <c r="AC348" s="82"/>
      <c r="AD348" s="82"/>
      <c r="AE348" s="82"/>
      <c r="AF348" s="82"/>
      <c r="AG348" s="82"/>
      <c r="AH348" s="82"/>
      <c r="AI348" s="82"/>
      <c r="AJ348" s="82"/>
      <c r="AK348" s="82"/>
      <c r="AL348" s="76"/>
      <c r="AM348" s="82"/>
      <c r="AN348" s="82"/>
      <c r="AO348" s="82"/>
      <c r="AP348" s="82"/>
      <c r="AQ348" s="82"/>
    </row>
    <row r="349" spans="1:43" ht="15" x14ac:dyDescent="0.35">
      <c r="A349" s="85"/>
      <c r="B349" s="86"/>
      <c r="C349" s="87"/>
      <c r="D349" s="87"/>
      <c r="E349" s="87"/>
      <c r="F349" s="87"/>
      <c r="G349" s="88"/>
      <c r="H349" s="87"/>
      <c r="I349" s="87"/>
      <c r="J349" s="87"/>
      <c r="K349" s="8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M349" s="17"/>
      <c r="AN349" s="17"/>
      <c r="AO349" s="17"/>
      <c r="AP349" s="17"/>
      <c r="AQ349" s="17"/>
    </row>
    <row r="350" spans="1:43" s="84" customFormat="1" ht="15" x14ac:dyDescent="0.35">
      <c r="A350" s="80"/>
      <c r="B350" s="81"/>
      <c r="C350" s="82"/>
      <c r="D350" s="82"/>
      <c r="E350" s="82"/>
      <c r="F350" s="82"/>
      <c r="G350" s="83"/>
      <c r="H350" s="82"/>
      <c r="I350" s="82"/>
      <c r="J350" s="82"/>
      <c r="K350" s="82"/>
      <c r="L350" s="76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76"/>
      <c r="Z350" s="82"/>
      <c r="AA350" s="82"/>
      <c r="AB350" s="82"/>
      <c r="AC350" s="82"/>
      <c r="AD350" s="82"/>
      <c r="AE350" s="82"/>
      <c r="AF350" s="82"/>
      <c r="AG350" s="82"/>
      <c r="AH350" s="82"/>
      <c r="AI350" s="82"/>
      <c r="AJ350" s="82"/>
      <c r="AK350" s="82"/>
      <c r="AL350" s="76"/>
      <c r="AM350" s="82"/>
      <c r="AN350" s="82"/>
      <c r="AO350" s="82"/>
      <c r="AP350" s="82"/>
      <c r="AQ350" s="82"/>
    </row>
    <row r="351" spans="1:43" ht="15" x14ac:dyDescent="0.35">
      <c r="A351" s="85"/>
      <c r="B351" s="86"/>
      <c r="C351" s="87"/>
      <c r="D351" s="87"/>
      <c r="E351" s="87"/>
      <c r="F351" s="87"/>
      <c r="G351" s="88"/>
      <c r="H351" s="87"/>
      <c r="I351" s="87"/>
      <c r="J351" s="87"/>
      <c r="K351" s="8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M351" s="17"/>
      <c r="AN351" s="17"/>
      <c r="AO351" s="17"/>
      <c r="AP351" s="17"/>
      <c r="AQ351" s="17"/>
    </row>
    <row r="352" spans="1:43" s="84" customFormat="1" ht="15" x14ac:dyDescent="0.35">
      <c r="A352" s="80"/>
      <c r="B352" s="81"/>
      <c r="C352" s="82"/>
      <c r="D352" s="82"/>
      <c r="E352" s="82"/>
      <c r="F352" s="82"/>
      <c r="G352" s="83"/>
      <c r="H352" s="82"/>
      <c r="I352" s="82"/>
      <c r="J352" s="82"/>
      <c r="K352" s="82"/>
      <c r="L352" s="76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76"/>
      <c r="Z352" s="82"/>
      <c r="AA352" s="82"/>
      <c r="AB352" s="82"/>
      <c r="AC352" s="82"/>
      <c r="AD352" s="82"/>
      <c r="AE352" s="82"/>
      <c r="AF352" s="82"/>
      <c r="AG352" s="82"/>
      <c r="AH352" s="82"/>
      <c r="AI352" s="82"/>
      <c r="AJ352" s="82"/>
      <c r="AK352" s="82"/>
      <c r="AL352" s="76"/>
      <c r="AM352" s="82"/>
      <c r="AN352" s="82"/>
      <c r="AO352" s="82"/>
      <c r="AP352" s="82"/>
      <c r="AQ352" s="82"/>
    </row>
    <row r="353" spans="1:43" ht="15" x14ac:dyDescent="0.35">
      <c r="A353" s="85"/>
      <c r="B353" s="86"/>
      <c r="C353" s="87"/>
      <c r="D353" s="87"/>
      <c r="E353" s="87"/>
      <c r="F353" s="87"/>
      <c r="G353" s="88"/>
      <c r="H353" s="87"/>
      <c r="I353" s="87"/>
      <c r="J353" s="87"/>
      <c r="K353" s="8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M353" s="17"/>
      <c r="AN353" s="17"/>
      <c r="AO353" s="17"/>
      <c r="AP353" s="17"/>
      <c r="AQ353" s="17"/>
    </row>
    <row r="354" spans="1:43" s="84" customFormat="1" ht="15" x14ac:dyDescent="0.35">
      <c r="A354" s="80"/>
      <c r="B354" s="81"/>
      <c r="C354" s="82"/>
      <c r="D354" s="82"/>
      <c r="E354" s="82"/>
      <c r="F354" s="82"/>
      <c r="G354" s="83"/>
      <c r="H354" s="82"/>
      <c r="I354" s="82"/>
      <c r="J354" s="82"/>
      <c r="K354" s="82"/>
      <c r="L354" s="76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76"/>
      <c r="Z354" s="82"/>
      <c r="AA354" s="82"/>
      <c r="AB354" s="82"/>
      <c r="AC354" s="82"/>
      <c r="AD354" s="82"/>
      <c r="AE354" s="82"/>
      <c r="AF354" s="82"/>
      <c r="AG354" s="82"/>
      <c r="AH354" s="82"/>
      <c r="AI354" s="82"/>
      <c r="AJ354" s="82"/>
      <c r="AK354" s="82"/>
      <c r="AL354" s="76"/>
      <c r="AM354" s="82"/>
      <c r="AN354" s="82"/>
      <c r="AO354" s="82"/>
      <c r="AP354" s="82"/>
      <c r="AQ354" s="82"/>
    </row>
    <row r="355" spans="1:43" ht="15" x14ac:dyDescent="0.35">
      <c r="A355" s="85"/>
      <c r="B355" s="86"/>
      <c r="C355" s="87"/>
      <c r="D355" s="87"/>
      <c r="E355" s="87"/>
      <c r="F355" s="87"/>
      <c r="G355" s="88"/>
      <c r="H355" s="87"/>
      <c r="I355" s="87"/>
      <c r="J355" s="87"/>
      <c r="K355" s="8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M355" s="17"/>
      <c r="AN355" s="17"/>
      <c r="AO355" s="17"/>
      <c r="AP355" s="17"/>
      <c r="AQ355" s="17"/>
    </row>
    <row r="356" spans="1:43" s="84" customFormat="1" ht="15" x14ac:dyDescent="0.35">
      <c r="A356" s="80"/>
      <c r="B356" s="81"/>
      <c r="C356" s="82"/>
      <c r="D356" s="82"/>
      <c r="E356" s="82"/>
      <c r="F356" s="82"/>
      <c r="G356" s="83"/>
      <c r="H356" s="82"/>
      <c r="I356" s="82"/>
      <c r="J356" s="82"/>
      <c r="K356" s="82"/>
      <c r="L356" s="76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76"/>
      <c r="Z356" s="82"/>
      <c r="AA356" s="82"/>
      <c r="AB356" s="82"/>
      <c r="AC356" s="82"/>
      <c r="AD356" s="82"/>
      <c r="AE356" s="82"/>
      <c r="AF356" s="82"/>
      <c r="AG356" s="82"/>
      <c r="AH356" s="82"/>
      <c r="AI356" s="82"/>
      <c r="AJ356" s="82"/>
      <c r="AK356" s="82"/>
      <c r="AL356" s="76"/>
      <c r="AM356" s="82"/>
      <c r="AN356" s="82"/>
      <c r="AO356" s="82"/>
      <c r="AP356" s="82"/>
      <c r="AQ356" s="82"/>
    </row>
    <row r="357" spans="1:43" ht="15" x14ac:dyDescent="0.35">
      <c r="A357" s="85"/>
      <c r="B357" s="86"/>
      <c r="C357" s="87"/>
      <c r="D357" s="87"/>
      <c r="E357" s="87"/>
      <c r="F357" s="87"/>
      <c r="G357" s="88"/>
      <c r="H357" s="87"/>
      <c r="I357" s="87"/>
      <c r="J357" s="87"/>
      <c r="K357" s="8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M357" s="17"/>
      <c r="AN357" s="17"/>
      <c r="AO357" s="17"/>
      <c r="AP357" s="17"/>
      <c r="AQ357" s="17"/>
    </row>
    <row r="358" spans="1:43" s="84" customFormat="1" ht="15" x14ac:dyDescent="0.35">
      <c r="A358" s="80"/>
      <c r="B358" s="81"/>
      <c r="C358" s="82"/>
      <c r="D358" s="82"/>
      <c r="E358" s="82"/>
      <c r="F358" s="82"/>
      <c r="G358" s="83"/>
      <c r="H358" s="82"/>
      <c r="I358" s="82"/>
      <c r="J358" s="82"/>
      <c r="K358" s="82"/>
      <c r="L358" s="76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76"/>
      <c r="Z358" s="82"/>
      <c r="AA358" s="82"/>
      <c r="AB358" s="82"/>
      <c r="AC358" s="82"/>
      <c r="AD358" s="82"/>
      <c r="AE358" s="82"/>
      <c r="AF358" s="82"/>
      <c r="AG358" s="82"/>
      <c r="AH358" s="82"/>
      <c r="AI358" s="82"/>
      <c r="AJ358" s="82"/>
      <c r="AK358" s="82"/>
      <c r="AL358" s="76"/>
      <c r="AM358" s="82"/>
      <c r="AN358" s="82"/>
      <c r="AO358" s="82"/>
      <c r="AP358" s="82"/>
      <c r="AQ358" s="82"/>
    </row>
    <row r="359" spans="1:43" ht="15" x14ac:dyDescent="0.35">
      <c r="A359" s="85"/>
      <c r="B359" s="86"/>
      <c r="C359" s="87"/>
      <c r="D359" s="87"/>
      <c r="E359" s="87"/>
      <c r="F359" s="87"/>
      <c r="G359" s="88"/>
      <c r="H359" s="87"/>
      <c r="I359" s="87"/>
      <c r="J359" s="87"/>
      <c r="K359" s="8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M359" s="17"/>
      <c r="AN359" s="17"/>
      <c r="AO359" s="17"/>
      <c r="AP359" s="17"/>
      <c r="AQ359" s="17"/>
    </row>
    <row r="360" spans="1:43" s="84" customFormat="1" ht="15" x14ac:dyDescent="0.35">
      <c r="A360" s="80"/>
      <c r="B360" s="81"/>
      <c r="C360" s="82"/>
      <c r="D360" s="82"/>
      <c r="E360" s="82"/>
      <c r="F360" s="82"/>
      <c r="G360" s="83"/>
      <c r="H360" s="82"/>
      <c r="I360" s="82"/>
      <c r="J360" s="82"/>
      <c r="K360" s="82"/>
      <c r="L360" s="76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76"/>
      <c r="Z360" s="82"/>
      <c r="AA360" s="82"/>
      <c r="AB360" s="82"/>
      <c r="AC360" s="82"/>
      <c r="AD360" s="82"/>
      <c r="AE360" s="82"/>
      <c r="AF360" s="82"/>
      <c r="AG360" s="82"/>
      <c r="AH360" s="82"/>
      <c r="AI360" s="82"/>
      <c r="AJ360" s="82"/>
      <c r="AK360" s="82"/>
      <c r="AL360" s="76"/>
      <c r="AM360" s="82"/>
      <c r="AN360" s="82"/>
      <c r="AO360" s="82"/>
      <c r="AP360" s="82"/>
      <c r="AQ360" s="82"/>
    </row>
    <row r="361" spans="1:43" ht="15" x14ac:dyDescent="0.35">
      <c r="A361" s="85"/>
      <c r="B361" s="86"/>
      <c r="C361" s="87"/>
      <c r="D361" s="87"/>
      <c r="E361" s="87"/>
      <c r="F361" s="87"/>
      <c r="G361" s="88"/>
      <c r="H361" s="87"/>
      <c r="I361" s="87"/>
      <c r="J361" s="87"/>
      <c r="K361" s="8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M361" s="17"/>
      <c r="AN361" s="17"/>
      <c r="AO361" s="17"/>
      <c r="AP361" s="17"/>
      <c r="AQ361" s="17"/>
    </row>
    <row r="362" spans="1:43" s="84" customFormat="1" ht="15" x14ac:dyDescent="0.35">
      <c r="A362" s="80"/>
      <c r="B362" s="81"/>
      <c r="C362" s="82"/>
      <c r="D362" s="82"/>
      <c r="E362" s="82"/>
      <c r="F362" s="82"/>
      <c r="G362" s="83"/>
      <c r="H362" s="82"/>
      <c r="I362" s="82"/>
      <c r="J362" s="82"/>
      <c r="K362" s="82"/>
      <c r="L362" s="76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76"/>
      <c r="Z362" s="82"/>
      <c r="AA362" s="82"/>
      <c r="AB362" s="82"/>
      <c r="AC362" s="82"/>
      <c r="AD362" s="82"/>
      <c r="AE362" s="82"/>
      <c r="AF362" s="82"/>
      <c r="AG362" s="82"/>
      <c r="AH362" s="82"/>
      <c r="AI362" s="82"/>
      <c r="AJ362" s="82"/>
      <c r="AK362" s="82"/>
      <c r="AL362" s="76"/>
      <c r="AM362" s="82"/>
      <c r="AN362" s="82"/>
      <c r="AO362" s="82"/>
      <c r="AP362" s="82"/>
      <c r="AQ362" s="82"/>
    </row>
    <row r="363" spans="1:43" ht="15" x14ac:dyDescent="0.35">
      <c r="A363" s="85"/>
      <c r="B363" s="86"/>
      <c r="C363" s="87"/>
      <c r="D363" s="87"/>
      <c r="E363" s="87"/>
      <c r="F363" s="87"/>
      <c r="G363" s="88"/>
      <c r="H363" s="87"/>
      <c r="I363" s="87"/>
      <c r="J363" s="87"/>
      <c r="K363" s="8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M363" s="17"/>
      <c r="AN363" s="17"/>
      <c r="AO363" s="17"/>
      <c r="AP363" s="17"/>
      <c r="AQ363" s="17"/>
    </row>
    <row r="364" spans="1:43" s="84" customFormat="1" ht="15" x14ac:dyDescent="0.35">
      <c r="A364" s="80"/>
      <c r="B364" s="81"/>
      <c r="C364" s="82"/>
      <c r="D364" s="82"/>
      <c r="E364" s="82"/>
      <c r="F364" s="82"/>
      <c r="G364" s="83"/>
      <c r="H364" s="82"/>
      <c r="I364" s="82"/>
      <c r="J364" s="82"/>
      <c r="K364" s="82"/>
      <c r="L364" s="76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76"/>
      <c r="Z364" s="82"/>
      <c r="AA364" s="82"/>
      <c r="AB364" s="82"/>
      <c r="AC364" s="82"/>
      <c r="AD364" s="82"/>
      <c r="AE364" s="82"/>
      <c r="AF364" s="82"/>
      <c r="AG364" s="82"/>
      <c r="AH364" s="82"/>
      <c r="AI364" s="82"/>
      <c r="AJ364" s="82"/>
      <c r="AK364" s="82"/>
      <c r="AL364" s="76"/>
      <c r="AM364" s="82"/>
      <c r="AN364" s="82"/>
      <c r="AO364" s="82"/>
      <c r="AP364" s="82"/>
      <c r="AQ364" s="82"/>
    </row>
    <row r="365" spans="1:43" ht="15" x14ac:dyDescent="0.35">
      <c r="A365" s="85"/>
      <c r="B365" s="86"/>
      <c r="C365" s="87"/>
      <c r="D365" s="87"/>
      <c r="E365" s="87"/>
      <c r="F365" s="87"/>
      <c r="G365" s="88"/>
      <c r="H365" s="87"/>
      <c r="I365" s="87"/>
      <c r="J365" s="87"/>
      <c r="K365" s="8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M365" s="17"/>
      <c r="AN365" s="17"/>
      <c r="AO365" s="17"/>
      <c r="AP365" s="17"/>
      <c r="AQ365" s="17"/>
    </row>
    <row r="366" spans="1:43" s="84" customFormat="1" ht="15" x14ac:dyDescent="0.35">
      <c r="A366" s="80"/>
      <c r="B366" s="81"/>
      <c r="C366" s="82"/>
      <c r="D366" s="82"/>
      <c r="E366" s="82"/>
      <c r="F366" s="82"/>
      <c r="G366" s="83"/>
      <c r="H366" s="82"/>
      <c r="I366" s="82"/>
      <c r="J366" s="82"/>
      <c r="K366" s="82"/>
      <c r="L366" s="76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76"/>
      <c r="Z366" s="82"/>
      <c r="AA366" s="82"/>
      <c r="AB366" s="82"/>
      <c r="AC366" s="82"/>
      <c r="AD366" s="82"/>
      <c r="AE366" s="82"/>
      <c r="AF366" s="82"/>
      <c r="AG366" s="82"/>
      <c r="AH366" s="82"/>
      <c r="AI366" s="82"/>
      <c r="AJ366" s="82"/>
      <c r="AK366" s="82"/>
      <c r="AL366" s="76"/>
      <c r="AM366" s="82"/>
      <c r="AN366" s="82"/>
      <c r="AO366" s="82"/>
      <c r="AP366" s="82"/>
      <c r="AQ366" s="82"/>
    </row>
    <row r="367" spans="1:43" ht="15" x14ac:dyDescent="0.35">
      <c r="A367" s="85"/>
      <c r="B367" s="86"/>
      <c r="C367" s="87"/>
      <c r="D367" s="87"/>
      <c r="E367" s="87"/>
      <c r="F367" s="87"/>
      <c r="G367" s="88"/>
      <c r="H367" s="87"/>
      <c r="I367" s="87"/>
      <c r="J367" s="87"/>
      <c r="K367" s="8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M367" s="17"/>
      <c r="AN367" s="17"/>
      <c r="AO367" s="17"/>
      <c r="AP367" s="17"/>
      <c r="AQ367" s="17"/>
    </row>
    <row r="368" spans="1:43" s="84" customFormat="1" ht="15" x14ac:dyDescent="0.35">
      <c r="A368" s="80"/>
      <c r="B368" s="81"/>
      <c r="C368" s="82"/>
      <c r="D368" s="82"/>
      <c r="E368" s="82"/>
      <c r="F368" s="82"/>
      <c r="G368" s="83"/>
      <c r="H368" s="82"/>
      <c r="I368" s="82"/>
      <c r="J368" s="82"/>
      <c r="K368" s="82"/>
      <c r="L368" s="76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76"/>
      <c r="Z368" s="82"/>
      <c r="AA368" s="82"/>
      <c r="AB368" s="82"/>
      <c r="AC368" s="82"/>
      <c r="AD368" s="82"/>
      <c r="AE368" s="82"/>
      <c r="AF368" s="82"/>
      <c r="AG368" s="82"/>
      <c r="AH368" s="82"/>
      <c r="AI368" s="82"/>
      <c r="AJ368" s="82"/>
      <c r="AK368" s="82"/>
      <c r="AL368" s="76"/>
      <c r="AM368" s="82"/>
      <c r="AN368" s="82"/>
      <c r="AO368" s="82"/>
      <c r="AP368" s="82"/>
      <c r="AQ368" s="82"/>
    </row>
    <row r="369" spans="1:43" ht="15" x14ac:dyDescent="0.35">
      <c r="A369" s="85"/>
      <c r="B369" s="86"/>
      <c r="C369" s="87"/>
      <c r="D369" s="87"/>
      <c r="E369" s="87"/>
      <c r="F369" s="87"/>
      <c r="G369" s="88"/>
      <c r="H369" s="87"/>
      <c r="I369" s="87"/>
      <c r="J369" s="87"/>
      <c r="K369" s="8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M369" s="17"/>
      <c r="AN369" s="17"/>
      <c r="AO369" s="17"/>
      <c r="AP369" s="17"/>
      <c r="AQ369" s="17"/>
    </row>
    <row r="370" spans="1:43" s="84" customFormat="1" ht="15" x14ac:dyDescent="0.35">
      <c r="A370" s="80"/>
      <c r="B370" s="81"/>
      <c r="C370" s="82"/>
      <c r="D370" s="82"/>
      <c r="E370" s="82"/>
      <c r="F370" s="82"/>
      <c r="G370" s="83"/>
      <c r="H370" s="82"/>
      <c r="I370" s="82"/>
      <c r="J370" s="82"/>
      <c r="K370" s="82"/>
      <c r="L370" s="76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76"/>
      <c r="Z370" s="82"/>
      <c r="AA370" s="82"/>
      <c r="AB370" s="82"/>
      <c r="AC370" s="82"/>
      <c r="AD370" s="82"/>
      <c r="AE370" s="82"/>
      <c r="AF370" s="82"/>
      <c r="AG370" s="82"/>
      <c r="AH370" s="82"/>
      <c r="AI370" s="82"/>
      <c r="AJ370" s="82"/>
      <c r="AK370" s="82"/>
      <c r="AL370" s="76"/>
      <c r="AM370" s="82"/>
      <c r="AN370" s="82"/>
      <c r="AO370" s="82"/>
      <c r="AP370" s="82"/>
      <c r="AQ370" s="82"/>
    </row>
    <row r="371" spans="1:43" ht="15" x14ac:dyDescent="0.35">
      <c r="A371" s="85"/>
      <c r="B371" s="86"/>
      <c r="C371" s="87"/>
      <c r="D371" s="87"/>
      <c r="E371" s="87"/>
      <c r="F371" s="87"/>
      <c r="G371" s="88"/>
      <c r="H371" s="87"/>
      <c r="I371" s="87"/>
      <c r="J371" s="87"/>
      <c r="K371" s="8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M371" s="17"/>
      <c r="AN371" s="17"/>
      <c r="AO371" s="17"/>
      <c r="AP371" s="17"/>
      <c r="AQ371" s="17"/>
    </row>
    <row r="372" spans="1:43" s="84" customFormat="1" ht="15" x14ac:dyDescent="0.35">
      <c r="A372" s="80"/>
      <c r="B372" s="81"/>
      <c r="C372" s="82"/>
      <c r="D372" s="82"/>
      <c r="E372" s="82"/>
      <c r="F372" s="82"/>
      <c r="G372" s="83"/>
      <c r="H372" s="82"/>
      <c r="I372" s="82"/>
      <c r="J372" s="82"/>
      <c r="K372" s="82"/>
      <c r="L372" s="76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76"/>
      <c r="Z372" s="82"/>
      <c r="AA372" s="82"/>
      <c r="AB372" s="82"/>
      <c r="AC372" s="82"/>
      <c r="AD372" s="82"/>
      <c r="AE372" s="82"/>
      <c r="AF372" s="82"/>
      <c r="AG372" s="82"/>
      <c r="AH372" s="82"/>
      <c r="AI372" s="82"/>
      <c r="AJ372" s="82"/>
      <c r="AK372" s="82"/>
      <c r="AL372" s="76"/>
      <c r="AM372" s="82"/>
      <c r="AN372" s="82"/>
      <c r="AO372" s="82"/>
      <c r="AP372" s="82"/>
      <c r="AQ372" s="82"/>
    </row>
    <row r="373" spans="1:43" ht="15" x14ac:dyDescent="0.35">
      <c r="A373" s="85"/>
      <c r="B373" s="86"/>
      <c r="C373" s="87"/>
      <c r="D373" s="87"/>
      <c r="E373" s="87"/>
      <c r="F373" s="87"/>
      <c r="G373" s="88"/>
      <c r="H373" s="87"/>
      <c r="I373" s="87"/>
      <c r="J373" s="87"/>
      <c r="K373" s="8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M373" s="17"/>
      <c r="AN373" s="17"/>
      <c r="AO373" s="17"/>
      <c r="AP373" s="17"/>
      <c r="AQ373" s="17"/>
    </row>
    <row r="374" spans="1:43" s="84" customFormat="1" ht="15" x14ac:dyDescent="0.35">
      <c r="A374" s="80"/>
      <c r="B374" s="81"/>
      <c r="C374" s="82"/>
      <c r="D374" s="82"/>
      <c r="E374" s="82"/>
      <c r="F374" s="82"/>
      <c r="G374" s="83"/>
      <c r="H374" s="82"/>
      <c r="I374" s="82"/>
      <c r="J374" s="82"/>
      <c r="K374" s="82"/>
      <c r="L374" s="76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76"/>
      <c r="Z374" s="82"/>
      <c r="AA374" s="82"/>
      <c r="AB374" s="82"/>
      <c r="AC374" s="82"/>
      <c r="AD374" s="82"/>
      <c r="AE374" s="82"/>
      <c r="AF374" s="82"/>
      <c r="AG374" s="82"/>
      <c r="AH374" s="82"/>
      <c r="AI374" s="82"/>
      <c r="AJ374" s="82"/>
      <c r="AK374" s="82"/>
      <c r="AL374" s="76"/>
      <c r="AM374" s="82"/>
      <c r="AN374" s="82"/>
      <c r="AO374" s="82"/>
      <c r="AP374" s="82"/>
      <c r="AQ374" s="82"/>
    </row>
    <row r="375" spans="1:43" ht="15" x14ac:dyDescent="0.35">
      <c r="A375" s="85"/>
      <c r="B375" s="86"/>
      <c r="C375" s="87"/>
      <c r="D375" s="87"/>
      <c r="E375" s="87"/>
      <c r="F375" s="87"/>
      <c r="G375" s="88"/>
      <c r="H375" s="87"/>
      <c r="I375" s="87"/>
      <c r="J375" s="87"/>
      <c r="K375" s="8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M375" s="17"/>
      <c r="AN375" s="17"/>
      <c r="AO375" s="17"/>
      <c r="AP375" s="17"/>
      <c r="AQ375" s="17"/>
    </row>
    <row r="376" spans="1:43" s="84" customFormat="1" ht="15" x14ac:dyDescent="0.35">
      <c r="A376" s="80"/>
      <c r="B376" s="81"/>
      <c r="C376" s="82"/>
      <c r="D376" s="82"/>
      <c r="E376" s="82"/>
      <c r="F376" s="82"/>
      <c r="G376" s="83"/>
      <c r="H376" s="82"/>
      <c r="I376" s="82"/>
      <c r="J376" s="82"/>
      <c r="K376" s="82"/>
      <c r="L376" s="76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76"/>
      <c r="Z376" s="82"/>
      <c r="AA376" s="82"/>
      <c r="AB376" s="82"/>
      <c r="AC376" s="82"/>
      <c r="AD376" s="82"/>
      <c r="AE376" s="82"/>
      <c r="AF376" s="82"/>
      <c r="AG376" s="82"/>
      <c r="AH376" s="82"/>
      <c r="AI376" s="82"/>
      <c r="AJ376" s="82"/>
      <c r="AK376" s="82"/>
      <c r="AL376" s="76"/>
      <c r="AM376" s="82"/>
      <c r="AN376" s="82"/>
      <c r="AO376" s="82"/>
      <c r="AP376" s="82"/>
      <c r="AQ376" s="82"/>
    </row>
    <row r="377" spans="1:43" ht="15" x14ac:dyDescent="0.35">
      <c r="A377" s="85"/>
      <c r="B377" s="86"/>
      <c r="C377" s="87"/>
      <c r="D377" s="87"/>
      <c r="E377" s="87"/>
      <c r="F377" s="87"/>
      <c r="G377" s="88"/>
      <c r="H377" s="87"/>
      <c r="I377" s="87"/>
      <c r="J377" s="87"/>
      <c r="K377" s="8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M377" s="17"/>
      <c r="AN377" s="17"/>
      <c r="AO377" s="17"/>
      <c r="AP377" s="17"/>
      <c r="AQ377" s="17"/>
    </row>
    <row r="378" spans="1:43" s="84" customFormat="1" ht="15" x14ac:dyDescent="0.35">
      <c r="A378" s="80"/>
      <c r="B378" s="81"/>
      <c r="C378" s="82"/>
      <c r="D378" s="82"/>
      <c r="E378" s="82"/>
      <c r="F378" s="82"/>
      <c r="G378" s="83"/>
      <c r="H378" s="82"/>
      <c r="I378" s="82"/>
      <c r="J378" s="82"/>
      <c r="K378" s="82"/>
      <c r="L378" s="76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76"/>
      <c r="Z378" s="82"/>
      <c r="AA378" s="82"/>
      <c r="AB378" s="82"/>
      <c r="AC378" s="82"/>
      <c r="AD378" s="82"/>
      <c r="AE378" s="82"/>
      <c r="AF378" s="82"/>
      <c r="AG378" s="82"/>
      <c r="AH378" s="82"/>
      <c r="AI378" s="82"/>
      <c r="AJ378" s="82"/>
      <c r="AK378" s="82"/>
      <c r="AL378" s="76"/>
      <c r="AM378" s="82"/>
      <c r="AN378" s="82"/>
      <c r="AO378" s="82"/>
      <c r="AP378" s="82"/>
      <c r="AQ378" s="82"/>
    </row>
    <row r="379" spans="1:43" ht="15" x14ac:dyDescent="0.35">
      <c r="A379" s="85"/>
      <c r="B379" s="86"/>
      <c r="C379" s="87"/>
      <c r="D379" s="87"/>
      <c r="E379" s="87"/>
      <c r="F379" s="87"/>
      <c r="G379" s="88"/>
      <c r="H379" s="87"/>
      <c r="I379" s="87"/>
      <c r="J379" s="87"/>
      <c r="K379" s="8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M379" s="17"/>
      <c r="AN379" s="17"/>
      <c r="AO379" s="17"/>
      <c r="AP379" s="17"/>
      <c r="AQ379" s="17"/>
    </row>
    <row r="380" spans="1:43" s="84" customFormat="1" ht="15" x14ac:dyDescent="0.35">
      <c r="A380" s="80"/>
      <c r="B380" s="81"/>
      <c r="C380" s="82"/>
      <c r="D380" s="82"/>
      <c r="E380" s="82"/>
      <c r="F380" s="82"/>
      <c r="G380" s="83"/>
      <c r="H380" s="82"/>
      <c r="I380" s="82"/>
      <c r="J380" s="82"/>
      <c r="K380" s="82"/>
      <c r="L380" s="76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76"/>
      <c r="Z380" s="82"/>
      <c r="AA380" s="82"/>
      <c r="AB380" s="82"/>
      <c r="AC380" s="82"/>
      <c r="AD380" s="82"/>
      <c r="AE380" s="82"/>
      <c r="AF380" s="82"/>
      <c r="AG380" s="82"/>
      <c r="AH380" s="82"/>
      <c r="AI380" s="82"/>
      <c r="AJ380" s="82"/>
      <c r="AK380" s="82"/>
      <c r="AL380" s="76"/>
      <c r="AM380" s="82"/>
      <c r="AN380" s="82"/>
      <c r="AO380" s="82"/>
      <c r="AP380" s="82"/>
      <c r="AQ380" s="82"/>
    </row>
    <row r="381" spans="1:43" ht="15" x14ac:dyDescent="0.35">
      <c r="A381" s="85"/>
      <c r="B381" s="86"/>
      <c r="C381" s="87"/>
      <c r="D381" s="87"/>
      <c r="E381" s="87"/>
      <c r="F381" s="87"/>
      <c r="G381" s="88"/>
      <c r="H381" s="87"/>
      <c r="I381" s="87"/>
      <c r="J381" s="87"/>
      <c r="K381" s="8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M381" s="17"/>
      <c r="AN381" s="17"/>
      <c r="AO381" s="17"/>
      <c r="AP381" s="17"/>
      <c r="AQ381" s="17"/>
    </row>
    <row r="382" spans="1:43" s="84" customFormat="1" ht="15" x14ac:dyDescent="0.35">
      <c r="A382" s="80"/>
      <c r="B382" s="81"/>
      <c r="C382" s="82"/>
      <c r="D382" s="82"/>
      <c r="E382" s="82"/>
      <c r="F382" s="82"/>
      <c r="G382" s="83"/>
      <c r="H382" s="82"/>
      <c r="I382" s="82"/>
      <c r="J382" s="82"/>
      <c r="K382" s="82"/>
      <c r="L382" s="76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76"/>
      <c r="Z382" s="82"/>
      <c r="AA382" s="82"/>
      <c r="AB382" s="82"/>
      <c r="AC382" s="82"/>
      <c r="AD382" s="82"/>
      <c r="AE382" s="82"/>
      <c r="AF382" s="82"/>
      <c r="AG382" s="82"/>
      <c r="AH382" s="82"/>
      <c r="AI382" s="82"/>
      <c r="AJ382" s="82"/>
      <c r="AK382" s="82"/>
      <c r="AL382" s="76"/>
      <c r="AM382" s="82"/>
      <c r="AN382" s="82"/>
      <c r="AO382" s="82"/>
      <c r="AP382" s="82"/>
      <c r="AQ382" s="82"/>
    </row>
    <row r="383" spans="1:43" ht="15" x14ac:dyDescent="0.35">
      <c r="A383" s="85"/>
      <c r="B383" s="86"/>
      <c r="C383" s="87"/>
      <c r="D383" s="87"/>
      <c r="E383" s="87"/>
      <c r="F383" s="87"/>
      <c r="G383" s="88"/>
      <c r="H383" s="87"/>
      <c r="I383" s="87"/>
      <c r="J383" s="87"/>
      <c r="K383" s="8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M383" s="17"/>
      <c r="AN383" s="17"/>
      <c r="AO383" s="17"/>
      <c r="AP383" s="17"/>
      <c r="AQ383" s="17"/>
    </row>
    <row r="384" spans="1:43" s="84" customFormat="1" ht="15" x14ac:dyDescent="0.35">
      <c r="A384" s="80"/>
      <c r="B384" s="81"/>
      <c r="C384" s="82"/>
      <c r="D384" s="82"/>
      <c r="E384" s="82"/>
      <c r="F384" s="82"/>
      <c r="G384" s="83"/>
      <c r="H384" s="82"/>
      <c r="I384" s="82"/>
      <c r="J384" s="82"/>
      <c r="K384" s="82"/>
      <c r="L384" s="76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76"/>
      <c r="Z384" s="82"/>
      <c r="AA384" s="82"/>
      <c r="AB384" s="82"/>
      <c r="AC384" s="82"/>
      <c r="AD384" s="82"/>
      <c r="AE384" s="82"/>
      <c r="AF384" s="82"/>
      <c r="AG384" s="82"/>
      <c r="AH384" s="82"/>
      <c r="AI384" s="82"/>
      <c r="AJ384" s="82"/>
      <c r="AK384" s="82"/>
      <c r="AL384" s="76"/>
      <c r="AM384" s="82"/>
      <c r="AN384" s="82"/>
      <c r="AO384" s="82"/>
      <c r="AP384" s="82"/>
      <c r="AQ384" s="82"/>
    </row>
    <row r="385" spans="1:43" ht="15" x14ac:dyDescent="0.35">
      <c r="A385" s="85"/>
      <c r="B385" s="86"/>
      <c r="C385" s="87"/>
      <c r="D385" s="87"/>
      <c r="E385" s="87"/>
      <c r="F385" s="87"/>
      <c r="G385" s="88"/>
      <c r="H385" s="87"/>
      <c r="I385" s="87"/>
      <c r="J385" s="87"/>
      <c r="K385" s="8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M385" s="17"/>
      <c r="AN385" s="17"/>
      <c r="AO385" s="17"/>
      <c r="AP385" s="17"/>
      <c r="AQ385" s="17"/>
    </row>
    <row r="386" spans="1:43" s="84" customFormat="1" ht="15" x14ac:dyDescent="0.35">
      <c r="A386" s="80"/>
      <c r="B386" s="81"/>
      <c r="C386" s="82"/>
      <c r="D386" s="82"/>
      <c r="E386" s="82"/>
      <c r="F386" s="82"/>
      <c r="G386" s="83"/>
      <c r="H386" s="82"/>
      <c r="I386" s="82"/>
      <c r="J386" s="82"/>
      <c r="K386" s="82"/>
      <c r="L386" s="76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76"/>
      <c r="Z386" s="82"/>
      <c r="AA386" s="82"/>
      <c r="AB386" s="82"/>
      <c r="AC386" s="82"/>
      <c r="AD386" s="82"/>
      <c r="AE386" s="82"/>
      <c r="AF386" s="82"/>
      <c r="AG386" s="82"/>
      <c r="AH386" s="82"/>
      <c r="AI386" s="82"/>
      <c r="AJ386" s="82"/>
      <c r="AK386" s="82"/>
      <c r="AL386" s="76"/>
      <c r="AM386" s="82"/>
      <c r="AN386" s="82"/>
      <c r="AO386" s="82"/>
      <c r="AP386" s="82"/>
      <c r="AQ386" s="82"/>
    </row>
    <row r="387" spans="1:43" ht="15" x14ac:dyDescent="0.35">
      <c r="A387" s="85"/>
      <c r="B387" s="86"/>
      <c r="C387" s="87"/>
      <c r="D387" s="87"/>
      <c r="E387" s="87"/>
      <c r="F387" s="87"/>
      <c r="G387" s="88"/>
      <c r="H387" s="87"/>
      <c r="I387" s="87"/>
      <c r="J387" s="87"/>
      <c r="K387" s="8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M387" s="17"/>
      <c r="AN387" s="17"/>
      <c r="AO387" s="17"/>
      <c r="AP387" s="17"/>
      <c r="AQ387" s="17"/>
    </row>
    <row r="388" spans="1:43" s="84" customFormat="1" ht="15" x14ac:dyDescent="0.35">
      <c r="A388" s="80"/>
      <c r="B388" s="81"/>
      <c r="C388" s="82"/>
      <c r="D388" s="82"/>
      <c r="E388" s="82"/>
      <c r="F388" s="82"/>
      <c r="G388" s="83"/>
      <c r="H388" s="82"/>
      <c r="I388" s="82"/>
      <c r="J388" s="82"/>
      <c r="K388" s="82"/>
      <c r="L388" s="76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76"/>
      <c r="Z388" s="82"/>
      <c r="AA388" s="82"/>
      <c r="AB388" s="82"/>
      <c r="AC388" s="82"/>
      <c r="AD388" s="82"/>
      <c r="AE388" s="82"/>
      <c r="AF388" s="82"/>
      <c r="AG388" s="82"/>
      <c r="AH388" s="82"/>
      <c r="AI388" s="82"/>
      <c r="AJ388" s="82"/>
      <c r="AK388" s="82"/>
      <c r="AL388" s="76"/>
      <c r="AM388" s="82"/>
      <c r="AN388" s="82"/>
      <c r="AO388" s="82"/>
      <c r="AP388" s="82"/>
      <c r="AQ388" s="82"/>
    </row>
    <row r="389" spans="1:43" ht="15" x14ac:dyDescent="0.35">
      <c r="A389" s="85"/>
      <c r="B389" s="86"/>
      <c r="C389" s="87"/>
      <c r="D389" s="87"/>
      <c r="E389" s="87"/>
      <c r="F389" s="87"/>
      <c r="G389" s="88"/>
      <c r="H389" s="87"/>
      <c r="I389" s="87"/>
      <c r="J389" s="87"/>
      <c r="K389" s="8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M389" s="17"/>
      <c r="AN389" s="17"/>
      <c r="AO389" s="17"/>
      <c r="AP389" s="17"/>
      <c r="AQ389" s="17"/>
    </row>
    <row r="390" spans="1:43" s="84" customFormat="1" ht="15" x14ac:dyDescent="0.35">
      <c r="A390" s="80"/>
      <c r="B390" s="81"/>
      <c r="C390" s="82"/>
      <c r="D390" s="82"/>
      <c r="E390" s="82"/>
      <c r="F390" s="82"/>
      <c r="G390" s="83"/>
      <c r="H390" s="82"/>
      <c r="I390" s="82"/>
      <c r="J390" s="82"/>
      <c r="K390" s="82"/>
      <c r="L390" s="76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76"/>
      <c r="Z390" s="82"/>
      <c r="AA390" s="82"/>
      <c r="AB390" s="82"/>
      <c r="AC390" s="82"/>
      <c r="AD390" s="82"/>
      <c r="AE390" s="82"/>
      <c r="AF390" s="82"/>
      <c r="AG390" s="82"/>
      <c r="AH390" s="82"/>
      <c r="AI390" s="82"/>
      <c r="AJ390" s="82"/>
      <c r="AK390" s="82"/>
      <c r="AL390" s="76"/>
      <c r="AM390" s="82"/>
      <c r="AN390" s="82"/>
      <c r="AO390" s="82"/>
      <c r="AP390" s="82"/>
      <c r="AQ390" s="82"/>
    </row>
    <row r="391" spans="1:43" ht="15" x14ac:dyDescent="0.35">
      <c r="A391" s="85"/>
      <c r="B391" s="86"/>
      <c r="C391" s="87"/>
      <c r="D391" s="87"/>
      <c r="E391" s="87"/>
      <c r="F391" s="87"/>
      <c r="G391" s="88"/>
      <c r="H391" s="87"/>
      <c r="I391" s="87"/>
      <c r="J391" s="87"/>
      <c r="K391" s="8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M391" s="17"/>
      <c r="AN391" s="17"/>
      <c r="AO391" s="17"/>
      <c r="AP391" s="17"/>
      <c r="AQ391" s="17"/>
    </row>
    <row r="392" spans="1:43" s="84" customFormat="1" ht="15" x14ac:dyDescent="0.35">
      <c r="A392" s="80"/>
      <c r="B392" s="81"/>
      <c r="C392" s="82"/>
      <c r="D392" s="82"/>
      <c r="E392" s="82"/>
      <c r="F392" s="82"/>
      <c r="G392" s="83"/>
      <c r="H392" s="82"/>
      <c r="I392" s="82"/>
      <c r="J392" s="82"/>
      <c r="K392" s="82"/>
      <c r="L392" s="76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76"/>
      <c r="Z392" s="82"/>
      <c r="AA392" s="82"/>
      <c r="AB392" s="82"/>
      <c r="AC392" s="82"/>
      <c r="AD392" s="82"/>
      <c r="AE392" s="82"/>
      <c r="AF392" s="82"/>
      <c r="AG392" s="82"/>
      <c r="AH392" s="82"/>
      <c r="AI392" s="82"/>
      <c r="AJ392" s="82"/>
      <c r="AK392" s="82"/>
      <c r="AL392" s="76"/>
      <c r="AM392" s="82"/>
      <c r="AN392" s="82"/>
      <c r="AO392" s="82"/>
      <c r="AP392" s="82"/>
      <c r="AQ392" s="82"/>
    </row>
    <row r="393" spans="1:43" ht="15" x14ac:dyDescent="0.35">
      <c r="A393" s="85"/>
      <c r="B393" s="86"/>
      <c r="C393" s="87"/>
      <c r="D393" s="87"/>
      <c r="E393" s="87"/>
      <c r="F393" s="87"/>
      <c r="G393" s="88"/>
      <c r="H393" s="87"/>
      <c r="I393" s="87"/>
      <c r="J393" s="87"/>
      <c r="K393" s="8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M393" s="17"/>
      <c r="AN393" s="17"/>
      <c r="AO393" s="17"/>
      <c r="AP393" s="17"/>
      <c r="AQ393" s="17"/>
    </row>
    <row r="394" spans="1:43" s="84" customFormat="1" ht="15" x14ac:dyDescent="0.35">
      <c r="A394" s="80"/>
      <c r="B394" s="81"/>
      <c r="C394" s="82"/>
      <c r="D394" s="82"/>
      <c r="E394" s="82"/>
      <c r="F394" s="82"/>
      <c r="G394" s="83"/>
      <c r="H394" s="82"/>
      <c r="I394" s="82"/>
      <c r="J394" s="82"/>
      <c r="K394" s="82"/>
      <c r="L394" s="76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76"/>
      <c r="Z394" s="82"/>
      <c r="AA394" s="82"/>
      <c r="AB394" s="82"/>
      <c r="AC394" s="82"/>
      <c r="AD394" s="82"/>
      <c r="AE394" s="82"/>
      <c r="AF394" s="82"/>
      <c r="AG394" s="82"/>
      <c r="AH394" s="82"/>
      <c r="AI394" s="82"/>
      <c r="AJ394" s="82"/>
      <c r="AK394" s="82"/>
      <c r="AL394" s="76"/>
      <c r="AM394" s="82"/>
      <c r="AN394" s="82"/>
      <c r="AO394" s="82"/>
      <c r="AP394" s="82"/>
      <c r="AQ394" s="82"/>
    </row>
    <row r="395" spans="1:43" ht="15" x14ac:dyDescent="0.35">
      <c r="A395" s="85"/>
      <c r="B395" s="86"/>
      <c r="C395" s="87"/>
      <c r="D395" s="87"/>
      <c r="E395" s="87"/>
      <c r="F395" s="87"/>
      <c r="G395" s="88"/>
      <c r="H395" s="87"/>
      <c r="I395" s="87"/>
      <c r="J395" s="87"/>
      <c r="K395" s="8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M395" s="17"/>
      <c r="AN395" s="17"/>
      <c r="AO395" s="17"/>
      <c r="AP395" s="17"/>
      <c r="AQ395" s="17"/>
    </row>
    <row r="396" spans="1:43" s="84" customFormat="1" ht="15" x14ac:dyDescent="0.35">
      <c r="A396" s="80"/>
      <c r="B396" s="81"/>
      <c r="C396" s="82"/>
      <c r="D396" s="82"/>
      <c r="E396" s="82"/>
      <c r="F396" s="82"/>
      <c r="G396" s="83"/>
      <c r="H396" s="82"/>
      <c r="I396" s="82"/>
      <c r="J396" s="82"/>
      <c r="K396" s="82"/>
      <c r="L396" s="76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76"/>
      <c r="Z396" s="82"/>
      <c r="AA396" s="82"/>
      <c r="AB396" s="82"/>
      <c r="AC396" s="82"/>
      <c r="AD396" s="82"/>
      <c r="AE396" s="82"/>
      <c r="AF396" s="82"/>
      <c r="AG396" s="82"/>
      <c r="AH396" s="82"/>
      <c r="AI396" s="82"/>
      <c r="AJ396" s="82"/>
      <c r="AK396" s="82"/>
      <c r="AL396" s="76"/>
      <c r="AM396" s="82"/>
      <c r="AN396" s="82"/>
      <c r="AO396" s="82"/>
      <c r="AP396" s="82"/>
      <c r="AQ396" s="82"/>
    </row>
    <row r="397" spans="1:43" ht="15" x14ac:dyDescent="0.35">
      <c r="A397" s="85"/>
      <c r="B397" s="86"/>
      <c r="C397" s="87"/>
      <c r="D397" s="87"/>
      <c r="E397" s="87"/>
      <c r="F397" s="87"/>
      <c r="G397" s="88"/>
      <c r="H397" s="87"/>
      <c r="I397" s="87"/>
      <c r="J397" s="87"/>
      <c r="K397" s="8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M397" s="17"/>
      <c r="AN397" s="17"/>
      <c r="AO397" s="17"/>
      <c r="AP397" s="17"/>
      <c r="AQ397" s="17"/>
    </row>
    <row r="398" spans="1:43" s="84" customFormat="1" ht="15" x14ac:dyDescent="0.35">
      <c r="A398" s="80"/>
      <c r="B398" s="81"/>
      <c r="C398" s="82"/>
      <c r="D398" s="82"/>
      <c r="E398" s="82"/>
      <c r="F398" s="82"/>
      <c r="G398" s="83"/>
      <c r="H398" s="82"/>
      <c r="I398" s="82"/>
      <c r="J398" s="82"/>
      <c r="K398" s="82"/>
      <c r="L398" s="76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76"/>
      <c r="Z398" s="82"/>
      <c r="AA398" s="82"/>
      <c r="AB398" s="82"/>
      <c r="AC398" s="82"/>
      <c r="AD398" s="82"/>
      <c r="AE398" s="82"/>
      <c r="AF398" s="82"/>
      <c r="AG398" s="82"/>
      <c r="AH398" s="82"/>
      <c r="AI398" s="82"/>
      <c r="AJ398" s="82"/>
      <c r="AK398" s="82"/>
      <c r="AL398" s="76"/>
      <c r="AM398" s="82"/>
      <c r="AN398" s="82"/>
      <c r="AO398" s="82"/>
      <c r="AP398" s="82"/>
      <c r="AQ398" s="82"/>
    </row>
    <row r="399" spans="1:43" ht="15" x14ac:dyDescent="0.35">
      <c r="A399" s="85"/>
      <c r="B399" s="86"/>
      <c r="C399" s="87"/>
      <c r="D399" s="87"/>
      <c r="E399" s="87"/>
      <c r="F399" s="87"/>
      <c r="G399" s="88"/>
      <c r="H399" s="87"/>
      <c r="I399" s="87"/>
      <c r="J399" s="87"/>
      <c r="K399" s="8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M399" s="17"/>
      <c r="AN399" s="17"/>
      <c r="AO399" s="17"/>
      <c r="AP399" s="17"/>
      <c r="AQ399" s="17"/>
    </row>
    <row r="400" spans="1:43" s="84" customFormat="1" ht="15" x14ac:dyDescent="0.35">
      <c r="A400" s="80"/>
      <c r="B400" s="81"/>
      <c r="C400" s="82"/>
      <c r="D400" s="82"/>
      <c r="E400" s="82"/>
      <c r="F400" s="82"/>
      <c r="G400" s="83"/>
      <c r="H400" s="82"/>
      <c r="I400" s="82"/>
      <c r="J400" s="82"/>
      <c r="K400" s="82"/>
      <c r="L400" s="76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76"/>
      <c r="Z400" s="82"/>
      <c r="AA400" s="82"/>
      <c r="AB400" s="82"/>
      <c r="AC400" s="82"/>
      <c r="AD400" s="82"/>
      <c r="AE400" s="82"/>
      <c r="AF400" s="82"/>
      <c r="AG400" s="82"/>
      <c r="AH400" s="82"/>
      <c r="AI400" s="82"/>
      <c r="AJ400" s="82"/>
      <c r="AK400" s="82"/>
      <c r="AL400" s="76"/>
      <c r="AM400" s="82"/>
      <c r="AN400" s="82"/>
      <c r="AO400" s="82"/>
      <c r="AP400" s="82"/>
      <c r="AQ400" s="82"/>
    </row>
    <row r="401" spans="1:43" ht="15" x14ac:dyDescent="0.35">
      <c r="A401" s="85"/>
      <c r="B401" s="86"/>
      <c r="C401" s="87"/>
      <c r="D401" s="87"/>
      <c r="E401" s="87"/>
      <c r="F401" s="87"/>
      <c r="G401" s="88"/>
      <c r="H401" s="87"/>
      <c r="I401" s="87"/>
      <c r="J401" s="87"/>
      <c r="K401" s="8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M401" s="17"/>
      <c r="AN401" s="17"/>
      <c r="AO401" s="17"/>
      <c r="AP401" s="17"/>
      <c r="AQ401" s="17"/>
    </row>
    <row r="402" spans="1:43" s="84" customFormat="1" ht="15" x14ac:dyDescent="0.35">
      <c r="A402" s="80"/>
      <c r="B402" s="81"/>
      <c r="C402" s="82"/>
      <c r="D402" s="82"/>
      <c r="E402" s="82"/>
      <c r="F402" s="82"/>
      <c r="G402" s="83"/>
      <c r="H402" s="82"/>
      <c r="I402" s="82"/>
      <c r="J402" s="82"/>
      <c r="K402" s="82"/>
      <c r="L402" s="76"/>
      <c r="M402" s="82"/>
      <c r="N402" s="82"/>
      <c r="O402" s="82"/>
      <c r="P402" s="82"/>
      <c r="Q402" s="82"/>
      <c r="R402" s="82"/>
      <c r="S402" s="82"/>
      <c r="T402" s="82"/>
      <c r="U402" s="82"/>
      <c r="V402" s="82"/>
      <c r="W402" s="82"/>
      <c r="X402" s="82"/>
      <c r="Y402" s="76"/>
      <c r="Z402" s="82"/>
      <c r="AA402" s="82"/>
      <c r="AB402" s="82"/>
      <c r="AC402" s="82"/>
      <c r="AD402" s="82"/>
      <c r="AE402" s="82"/>
      <c r="AF402" s="82"/>
      <c r="AG402" s="82"/>
      <c r="AH402" s="82"/>
      <c r="AI402" s="82"/>
      <c r="AJ402" s="82"/>
      <c r="AK402" s="82"/>
      <c r="AL402" s="76"/>
      <c r="AM402" s="82"/>
      <c r="AN402" s="82"/>
      <c r="AO402" s="82"/>
      <c r="AP402" s="82"/>
      <c r="AQ402" s="82"/>
    </row>
    <row r="403" spans="1:43" ht="15" x14ac:dyDescent="0.35">
      <c r="A403" s="85"/>
      <c r="B403" s="86"/>
      <c r="C403" s="87"/>
      <c r="D403" s="87"/>
      <c r="E403" s="87"/>
      <c r="F403" s="87"/>
      <c r="G403" s="88"/>
      <c r="H403" s="87"/>
      <c r="I403" s="87"/>
      <c r="J403" s="87"/>
      <c r="K403" s="8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M403" s="17"/>
      <c r="AN403" s="17"/>
      <c r="AO403" s="17"/>
      <c r="AP403" s="17"/>
      <c r="AQ403" s="17"/>
    </row>
    <row r="404" spans="1:43" s="84" customFormat="1" ht="15" x14ac:dyDescent="0.35">
      <c r="A404" s="80"/>
      <c r="B404" s="81"/>
      <c r="C404" s="82"/>
      <c r="D404" s="82"/>
      <c r="E404" s="82"/>
      <c r="F404" s="82"/>
      <c r="G404" s="83"/>
      <c r="H404" s="82"/>
      <c r="I404" s="82"/>
      <c r="J404" s="82"/>
      <c r="K404" s="82"/>
      <c r="L404" s="76"/>
      <c r="M404" s="82"/>
      <c r="N404" s="82"/>
      <c r="O404" s="82"/>
      <c r="P404" s="82"/>
      <c r="Q404" s="82"/>
      <c r="R404" s="82"/>
      <c r="S404" s="82"/>
      <c r="T404" s="82"/>
      <c r="U404" s="82"/>
      <c r="V404" s="82"/>
      <c r="W404" s="82"/>
      <c r="X404" s="82"/>
      <c r="Y404" s="76"/>
      <c r="Z404" s="82"/>
      <c r="AA404" s="82"/>
      <c r="AB404" s="82"/>
      <c r="AC404" s="82"/>
      <c r="AD404" s="82"/>
      <c r="AE404" s="82"/>
      <c r="AF404" s="82"/>
      <c r="AG404" s="82"/>
      <c r="AH404" s="82"/>
      <c r="AI404" s="82"/>
      <c r="AJ404" s="82"/>
      <c r="AK404" s="82"/>
      <c r="AL404" s="76"/>
      <c r="AM404" s="82"/>
      <c r="AN404" s="82"/>
      <c r="AO404" s="82"/>
      <c r="AP404" s="82"/>
      <c r="AQ404" s="82"/>
    </row>
    <row r="405" spans="1:43" ht="15" x14ac:dyDescent="0.35">
      <c r="A405" s="85"/>
      <c r="B405" s="86"/>
      <c r="C405" s="87"/>
      <c r="D405" s="87"/>
      <c r="E405" s="87"/>
      <c r="F405" s="87"/>
      <c r="G405" s="88"/>
      <c r="H405" s="87"/>
      <c r="I405" s="87"/>
      <c r="J405" s="87"/>
      <c r="K405" s="8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M405" s="17"/>
      <c r="AN405" s="17"/>
      <c r="AO405" s="17"/>
      <c r="AP405" s="17"/>
      <c r="AQ405" s="17"/>
    </row>
    <row r="406" spans="1:43" s="84" customFormat="1" ht="15" x14ac:dyDescent="0.35">
      <c r="A406" s="80"/>
      <c r="B406" s="81"/>
      <c r="C406" s="82"/>
      <c r="D406" s="82"/>
      <c r="E406" s="82"/>
      <c r="F406" s="82"/>
      <c r="G406" s="83"/>
      <c r="H406" s="82"/>
      <c r="I406" s="82"/>
      <c r="J406" s="82"/>
      <c r="K406" s="82"/>
      <c r="L406" s="76"/>
      <c r="M406" s="82"/>
      <c r="N406" s="82"/>
      <c r="O406" s="82"/>
      <c r="P406" s="82"/>
      <c r="Q406" s="82"/>
      <c r="R406" s="82"/>
      <c r="S406" s="82"/>
      <c r="T406" s="82"/>
      <c r="U406" s="82"/>
      <c r="V406" s="82"/>
      <c r="W406" s="82"/>
      <c r="X406" s="82"/>
      <c r="Y406" s="76"/>
      <c r="Z406" s="82"/>
      <c r="AA406" s="82"/>
      <c r="AB406" s="82"/>
      <c r="AC406" s="82"/>
      <c r="AD406" s="82"/>
      <c r="AE406" s="82"/>
      <c r="AF406" s="82"/>
      <c r="AG406" s="82"/>
      <c r="AH406" s="82"/>
      <c r="AI406" s="82"/>
      <c r="AJ406" s="82"/>
      <c r="AK406" s="82"/>
      <c r="AL406" s="76"/>
      <c r="AM406" s="82"/>
      <c r="AN406" s="82"/>
      <c r="AO406" s="82"/>
      <c r="AP406" s="82"/>
      <c r="AQ406" s="82"/>
    </row>
    <row r="407" spans="1:43" ht="15" x14ac:dyDescent="0.35">
      <c r="A407" s="85"/>
      <c r="B407" s="86"/>
      <c r="C407" s="87"/>
      <c r="D407" s="87"/>
      <c r="E407" s="87"/>
      <c r="F407" s="87"/>
      <c r="G407" s="88"/>
      <c r="H407" s="87"/>
      <c r="I407" s="87"/>
      <c r="J407" s="87"/>
      <c r="K407" s="8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M407" s="17"/>
      <c r="AN407" s="17"/>
      <c r="AO407" s="17"/>
      <c r="AP407" s="17"/>
      <c r="AQ407" s="17"/>
    </row>
    <row r="408" spans="1:43" s="84" customFormat="1" ht="15" x14ac:dyDescent="0.35">
      <c r="A408" s="80"/>
      <c r="B408" s="81"/>
      <c r="C408" s="82"/>
      <c r="D408" s="82"/>
      <c r="E408" s="82"/>
      <c r="F408" s="82"/>
      <c r="G408" s="83"/>
      <c r="H408" s="82"/>
      <c r="I408" s="82"/>
      <c r="J408" s="82"/>
      <c r="K408" s="82"/>
      <c r="L408" s="76"/>
      <c r="M408" s="82"/>
      <c r="N408" s="82"/>
      <c r="O408" s="82"/>
      <c r="P408" s="82"/>
      <c r="Q408" s="82"/>
      <c r="R408" s="82"/>
      <c r="S408" s="82"/>
      <c r="T408" s="82"/>
      <c r="U408" s="82"/>
      <c r="V408" s="82"/>
      <c r="W408" s="82"/>
      <c r="X408" s="82"/>
      <c r="Y408" s="76"/>
      <c r="Z408" s="82"/>
      <c r="AA408" s="82"/>
      <c r="AB408" s="82"/>
      <c r="AC408" s="82"/>
      <c r="AD408" s="82"/>
      <c r="AE408" s="82"/>
      <c r="AF408" s="82"/>
      <c r="AG408" s="82"/>
      <c r="AH408" s="82"/>
      <c r="AI408" s="82"/>
      <c r="AJ408" s="82"/>
      <c r="AK408" s="82"/>
      <c r="AL408" s="76"/>
      <c r="AM408" s="82"/>
      <c r="AN408" s="82"/>
      <c r="AO408" s="82"/>
      <c r="AP408" s="82"/>
      <c r="AQ408" s="82"/>
    </row>
    <row r="409" spans="1:43" ht="15" x14ac:dyDescent="0.35">
      <c r="A409" s="85"/>
      <c r="B409" s="86"/>
      <c r="C409" s="87"/>
      <c r="D409" s="87"/>
      <c r="E409" s="87"/>
      <c r="F409" s="87"/>
      <c r="G409" s="88"/>
      <c r="H409" s="87"/>
      <c r="I409" s="87"/>
      <c r="J409" s="87"/>
      <c r="K409" s="8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M409" s="17"/>
      <c r="AN409" s="17"/>
      <c r="AO409" s="17"/>
      <c r="AP409" s="17"/>
      <c r="AQ409" s="17"/>
    </row>
    <row r="410" spans="1:43" s="84" customFormat="1" ht="15" x14ac:dyDescent="0.35">
      <c r="A410" s="80"/>
      <c r="B410" s="81"/>
      <c r="C410" s="82"/>
      <c r="D410" s="82"/>
      <c r="E410" s="82"/>
      <c r="F410" s="82"/>
      <c r="G410" s="83"/>
      <c r="H410" s="82"/>
      <c r="I410" s="82"/>
      <c r="J410" s="82"/>
      <c r="K410" s="82"/>
      <c r="L410" s="76"/>
      <c r="M410" s="82"/>
      <c r="N410" s="82"/>
      <c r="O410" s="82"/>
      <c r="P410" s="82"/>
      <c r="Q410" s="82"/>
      <c r="R410" s="82"/>
      <c r="S410" s="82"/>
      <c r="T410" s="82"/>
      <c r="U410" s="82"/>
      <c r="V410" s="82"/>
      <c r="W410" s="82"/>
      <c r="X410" s="82"/>
      <c r="Y410" s="76"/>
      <c r="Z410" s="82"/>
      <c r="AA410" s="82"/>
      <c r="AB410" s="82"/>
      <c r="AC410" s="82"/>
      <c r="AD410" s="82"/>
      <c r="AE410" s="82"/>
      <c r="AF410" s="82"/>
      <c r="AG410" s="82"/>
      <c r="AH410" s="82"/>
      <c r="AI410" s="82"/>
      <c r="AJ410" s="82"/>
      <c r="AK410" s="82"/>
      <c r="AL410" s="76"/>
      <c r="AM410" s="82"/>
      <c r="AN410" s="82"/>
      <c r="AO410" s="82"/>
      <c r="AP410" s="82"/>
      <c r="AQ410" s="82"/>
    </row>
    <row r="411" spans="1:43" ht="15" x14ac:dyDescent="0.35">
      <c r="A411" s="85"/>
      <c r="B411" s="86"/>
      <c r="C411" s="87"/>
      <c r="D411" s="87"/>
      <c r="E411" s="87"/>
      <c r="F411" s="87"/>
      <c r="G411" s="88"/>
      <c r="H411" s="87"/>
      <c r="I411" s="87"/>
      <c r="J411" s="87"/>
      <c r="K411" s="8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M411" s="17"/>
      <c r="AN411" s="17"/>
      <c r="AO411" s="17"/>
      <c r="AP411" s="17"/>
      <c r="AQ411" s="17"/>
    </row>
    <row r="412" spans="1:43" s="84" customFormat="1" ht="15" x14ac:dyDescent="0.35">
      <c r="A412" s="80"/>
      <c r="B412" s="81"/>
      <c r="C412" s="82"/>
      <c r="D412" s="82"/>
      <c r="E412" s="82"/>
      <c r="F412" s="82"/>
      <c r="G412" s="83"/>
      <c r="H412" s="82"/>
      <c r="I412" s="82"/>
      <c r="J412" s="82"/>
      <c r="K412" s="82"/>
      <c r="L412" s="76"/>
      <c r="M412" s="82"/>
      <c r="N412" s="82"/>
      <c r="O412" s="82"/>
      <c r="P412" s="82"/>
      <c r="Q412" s="82"/>
      <c r="R412" s="82"/>
      <c r="S412" s="82"/>
      <c r="T412" s="82"/>
      <c r="U412" s="82"/>
      <c r="V412" s="82"/>
      <c r="W412" s="82"/>
      <c r="X412" s="82"/>
      <c r="Y412" s="76"/>
      <c r="Z412" s="82"/>
      <c r="AA412" s="82"/>
      <c r="AB412" s="82"/>
      <c r="AC412" s="82"/>
      <c r="AD412" s="82"/>
      <c r="AE412" s="82"/>
      <c r="AF412" s="82"/>
      <c r="AG412" s="82"/>
      <c r="AH412" s="82"/>
      <c r="AI412" s="82"/>
      <c r="AJ412" s="82"/>
      <c r="AK412" s="82"/>
      <c r="AL412" s="76"/>
      <c r="AM412" s="82"/>
      <c r="AN412" s="82"/>
      <c r="AO412" s="82"/>
      <c r="AP412" s="82"/>
      <c r="AQ412" s="82"/>
    </row>
    <row r="413" spans="1:43" ht="15" x14ac:dyDescent="0.35">
      <c r="A413" s="85"/>
      <c r="B413" s="86"/>
      <c r="C413" s="87"/>
      <c r="D413" s="87"/>
      <c r="E413" s="87"/>
      <c r="F413" s="87"/>
      <c r="G413" s="88"/>
      <c r="H413" s="87"/>
      <c r="I413" s="87"/>
      <c r="J413" s="87"/>
      <c r="K413" s="8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M413" s="17"/>
      <c r="AN413" s="17"/>
      <c r="AO413" s="17"/>
      <c r="AP413" s="17"/>
      <c r="AQ413" s="17"/>
    </row>
    <row r="414" spans="1:43" s="84" customFormat="1" ht="15" x14ac:dyDescent="0.35">
      <c r="A414" s="80"/>
      <c r="B414" s="81"/>
      <c r="C414" s="82"/>
      <c r="D414" s="82"/>
      <c r="E414" s="82"/>
      <c r="F414" s="82"/>
      <c r="G414" s="83"/>
      <c r="H414" s="82"/>
      <c r="I414" s="82"/>
      <c r="J414" s="82"/>
      <c r="K414" s="82"/>
      <c r="L414" s="76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82"/>
      <c r="X414" s="82"/>
      <c r="Y414" s="76"/>
      <c r="Z414" s="82"/>
      <c r="AA414" s="82"/>
      <c r="AB414" s="82"/>
      <c r="AC414" s="82"/>
      <c r="AD414" s="82"/>
      <c r="AE414" s="82"/>
      <c r="AF414" s="82"/>
      <c r="AG414" s="82"/>
      <c r="AH414" s="82"/>
      <c r="AI414" s="82"/>
      <c r="AJ414" s="82"/>
      <c r="AK414" s="82"/>
      <c r="AL414" s="76"/>
      <c r="AM414" s="82"/>
      <c r="AN414" s="82"/>
      <c r="AO414" s="82"/>
      <c r="AP414" s="82"/>
      <c r="AQ414" s="82"/>
    </row>
    <row r="415" spans="1:43" ht="15" x14ac:dyDescent="0.35">
      <c r="A415" s="85"/>
      <c r="B415" s="86"/>
      <c r="C415" s="87"/>
      <c r="D415" s="87"/>
      <c r="E415" s="87"/>
      <c r="F415" s="87"/>
      <c r="G415" s="88"/>
      <c r="H415" s="87"/>
      <c r="I415" s="87"/>
      <c r="J415" s="87"/>
      <c r="K415" s="8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M415" s="17"/>
      <c r="AN415" s="17"/>
      <c r="AO415" s="17"/>
      <c r="AP415" s="17"/>
      <c r="AQ415" s="17"/>
    </row>
    <row r="416" spans="1:43" s="84" customFormat="1" ht="15" x14ac:dyDescent="0.35">
      <c r="A416" s="80"/>
      <c r="B416" s="81"/>
      <c r="C416" s="82"/>
      <c r="D416" s="82"/>
      <c r="E416" s="82"/>
      <c r="F416" s="82"/>
      <c r="G416" s="83"/>
      <c r="H416" s="82"/>
      <c r="I416" s="82"/>
      <c r="J416" s="82"/>
      <c r="K416" s="82"/>
      <c r="L416" s="76"/>
      <c r="M416" s="82"/>
      <c r="N416" s="82"/>
      <c r="O416" s="82"/>
      <c r="P416" s="82"/>
      <c r="Q416" s="82"/>
      <c r="R416" s="82"/>
      <c r="S416" s="82"/>
      <c r="T416" s="82"/>
      <c r="U416" s="82"/>
      <c r="V416" s="82"/>
      <c r="W416" s="82"/>
      <c r="X416" s="82"/>
      <c r="Y416" s="76"/>
      <c r="Z416" s="82"/>
      <c r="AA416" s="82"/>
      <c r="AB416" s="82"/>
      <c r="AC416" s="82"/>
      <c r="AD416" s="82"/>
      <c r="AE416" s="82"/>
      <c r="AF416" s="82"/>
      <c r="AG416" s="82"/>
      <c r="AH416" s="82"/>
      <c r="AI416" s="82"/>
      <c r="AJ416" s="82"/>
      <c r="AK416" s="82"/>
      <c r="AL416" s="76"/>
      <c r="AM416" s="82"/>
      <c r="AN416" s="82"/>
      <c r="AO416" s="82"/>
      <c r="AP416" s="82"/>
      <c r="AQ416" s="82"/>
    </row>
    <row r="417" spans="1:43" ht="15" x14ac:dyDescent="0.35">
      <c r="A417" s="85"/>
      <c r="B417" s="86"/>
      <c r="C417" s="87"/>
      <c r="D417" s="87"/>
      <c r="E417" s="87"/>
      <c r="F417" s="87"/>
      <c r="G417" s="88"/>
      <c r="H417" s="87"/>
      <c r="I417" s="87"/>
      <c r="J417" s="87"/>
      <c r="K417" s="8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M417" s="17"/>
      <c r="AN417" s="17"/>
      <c r="AO417" s="17"/>
      <c r="AP417" s="17"/>
      <c r="AQ417" s="17"/>
    </row>
    <row r="418" spans="1:43" s="84" customFormat="1" ht="15" x14ac:dyDescent="0.35">
      <c r="A418" s="80"/>
      <c r="B418" s="81"/>
      <c r="C418" s="82"/>
      <c r="D418" s="82"/>
      <c r="E418" s="82"/>
      <c r="F418" s="82"/>
      <c r="G418" s="83"/>
      <c r="H418" s="82"/>
      <c r="I418" s="82"/>
      <c r="J418" s="82"/>
      <c r="K418" s="82"/>
      <c r="L418" s="76"/>
      <c r="M418" s="82"/>
      <c r="N418" s="82"/>
      <c r="O418" s="82"/>
      <c r="P418" s="82"/>
      <c r="Q418" s="82"/>
      <c r="R418" s="82"/>
      <c r="S418" s="82"/>
      <c r="T418" s="82"/>
      <c r="U418" s="82"/>
      <c r="V418" s="82"/>
      <c r="W418" s="82"/>
      <c r="X418" s="82"/>
      <c r="Y418" s="76"/>
      <c r="Z418" s="82"/>
      <c r="AA418" s="82"/>
      <c r="AB418" s="82"/>
      <c r="AC418" s="82"/>
      <c r="AD418" s="82"/>
      <c r="AE418" s="82"/>
      <c r="AF418" s="82"/>
      <c r="AG418" s="82"/>
      <c r="AH418" s="82"/>
      <c r="AI418" s="82"/>
      <c r="AJ418" s="82"/>
      <c r="AK418" s="82"/>
      <c r="AL418" s="76"/>
      <c r="AM418" s="82"/>
      <c r="AN418" s="82"/>
      <c r="AO418" s="82"/>
      <c r="AP418" s="82"/>
      <c r="AQ418" s="82"/>
    </row>
    <row r="419" spans="1:43" ht="15" x14ac:dyDescent="0.35">
      <c r="A419" s="85"/>
      <c r="B419" s="86"/>
      <c r="C419" s="87"/>
      <c r="D419" s="87"/>
      <c r="E419" s="87"/>
      <c r="F419" s="87"/>
      <c r="G419" s="88"/>
      <c r="H419" s="87"/>
      <c r="I419" s="87"/>
      <c r="J419" s="87"/>
      <c r="K419" s="8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M419" s="17"/>
      <c r="AN419" s="17"/>
      <c r="AO419" s="17"/>
      <c r="AP419" s="17"/>
      <c r="AQ419" s="17"/>
    </row>
    <row r="420" spans="1:43" s="84" customFormat="1" ht="15" x14ac:dyDescent="0.35">
      <c r="A420" s="80"/>
      <c r="B420" s="81"/>
      <c r="C420" s="82"/>
      <c r="D420" s="82"/>
      <c r="E420" s="82"/>
      <c r="F420" s="82"/>
      <c r="G420" s="83"/>
      <c r="H420" s="82"/>
      <c r="I420" s="82"/>
      <c r="J420" s="82"/>
      <c r="K420" s="82"/>
      <c r="L420" s="76"/>
      <c r="M420" s="82"/>
      <c r="N420" s="82"/>
      <c r="O420" s="82"/>
      <c r="P420" s="82"/>
      <c r="Q420" s="82"/>
      <c r="R420" s="82"/>
      <c r="S420" s="82"/>
      <c r="T420" s="82"/>
      <c r="U420" s="82"/>
      <c r="V420" s="82"/>
      <c r="W420" s="82"/>
      <c r="X420" s="82"/>
      <c r="Y420" s="76"/>
      <c r="Z420" s="82"/>
      <c r="AA420" s="82"/>
      <c r="AB420" s="82"/>
      <c r="AC420" s="82"/>
      <c r="AD420" s="82"/>
      <c r="AE420" s="82"/>
      <c r="AF420" s="82"/>
      <c r="AG420" s="82"/>
      <c r="AH420" s="82"/>
      <c r="AI420" s="82"/>
      <c r="AJ420" s="82"/>
      <c r="AK420" s="82"/>
      <c r="AL420" s="76"/>
      <c r="AM420" s="82"/>
      <c r="AN420" s="82"/>
      <c r="AO420" s="82"/>
      <c r="AP420" s="82"/>
      <c r="AQ420" s="82"/>
    </row>
    <row r="421" spans="1:43" ht="15" x14ac:dyDescent="0.35">
      <c r="A421" s="85"/>
      <c r="B421" s="86"/>
      <c r="C421" s="87"/>
      <c r="D421" s="87"/>
      <c r="E421" s="87"/>
      <c r="F421" s="87"/>
      <c r="G421" s="88"/>
      <c r="H421" s="87"/>
      <c r="I421" s="87"/>
      <c r="J421" s="87"/>
      <c r="K421" s="8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M421" s="17"/>
      <c r="AN421" s="17"/>
      <c r="AO421" s="17"/>
      <c r="AP421" s="17"/>
      <c r="AQ421" s="17"/>
    </row>
    <row r="422" spans="1:43" s="84" customFormat="1" ht="15" x14ac:dyDescent="0.35">
      <c r="A422" s="80"/>
      <c r="B422" s="81"/>
      <c r="C422" s="82"/>
      <c r="D422" s="82"/>
      <c r="E422" s="82"/>
      <c r="F422" s="82"/>
      <c r="G422" s="83"/>
      <c r="H422" s="82"/>
      <c r="I422" s="82"/>
      <c r="J422" s="82"/>
      <c r="K422" s="82"/>
      <c r="L422" s="76"/>
      <c r="M422" s="82"/>
      <c r="N422" s="82"/>
      <c r="O422" s="82"/>
      <c r="P422" s="82"/>
      <c r="Q422" s="82"/>
      <c r="R422" s="82"/>
      <c r="S422" s="82"/>
      <c r="T422" s="82"/>
      <c r="U422" s="82"/>
      <c r="V422" s="82"/>
      <c r="W422" s="82"/>
      <c r="X422" s="82"/>
      <c r="Y422" s="76"/>
      <c r="Z422" s="82"/>
      <c r="AA422" s="82"/>
      <c r="AB422" s="82"/>
      <c r="AC422" s="82"/>
      <c r="AD422" s="82"/>
      <c r="AE422" s="82"/>
      <c r="AF422" s="82"/>
      <c r="AG422" s="82"/>
      <c r="AH422" s="82"/>
      <c r="AI422" s="82"/>
      <c r="AJ422" s="82"/>
      <c r="AK422" s="82"/>
      <c r="AL422" s="76"/>
      <c r="AM422" s="82"/>
      <c r="AN422" s="82"/>
      <c r="AO422" s="82"/>
      <c r="AP422" s="82"/>
      <c r="AQ422" s="82"/>
    </row>
    <row r="423" spans="1:43" ht="15" x14ac:dyDescent="0.35">
      <c r="A423" s="85"/>
      <c r="B423" s="86"/>
      <c r="C423" s="87"/>
      <c r="D423" s="87"/>
      <c r="E423" s="87"/>
      <c r="F423" s="87"/>
      <c r="G423" s="88"/>
      <c r="H423" s="87"/>
      <c r="I423" s="87"/>
      <c r="J423" s="87"/>
      <c r="K423" s="8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M423" s="17"/>
      <c r="AN423" s="17"/>
      <c r="AO423" s="17"/>
      <c r="AP423" s="17"/>
      <c r="AQ423" s="17"/>
    </row>
    <row r="424" spans="1:43" s="84" customFormat="1" ht="15" x14ac:dyDescent="0.35">
      <c r="A424" s="80"/>
      <c r="B424" s="81"/>
      <c r="C424" s="82"/>
      <c r="D424" s="82"/>
      <c r="E424" s="82"/>
      <c r="F424" s="82"/>
      <c r="G424" s="83"/>
      <c r="H424" s="82"/>
      <c r="I424" s="82"/>
      <c r="J424" s="82"/>
      <c r="K424" s="82"/>
      <c r="L424" s="76"/>
      <c r="M424" s="82"/>
      <c r="N424" s="82"/>
      <c r="O424" s="82"/>
      <c r="P424" s="82"/>
      <c r="Q424" s="82"/>
      <c r="R424" s="82"/>
      <c r="S424" s="82"/>
      <c r="T424" s="82"/>
      <c r="U424" s="82"/>
      <c r="V424" s="82"/>
      <c r="W424" s="82"/>
      <c r="X424" s="82"/>
      <c r="Y424" s="76"/>
      <c r="Z424" s="82"/>
      <c r="AA424" s="82"/>
      <c r="AB424" s="82"/>
      <c r="AC424" s="82"/>
      <c r="AD424" s="82"/>
      <c r="AE424" s="82"/>
      <c r="AF424" s="82"/>
      <c r="AG424" s="82"/>
      <c r="AH424" s="82"/>
      <c r="AI424" s="82"/>
      <c r="AJ424" s="82"/>
      <c r="AK424" s="82"/>
      <c r="AL424" s="76"/>
      <c r="AM424" s="82"/>
      <c r="AN424" s="82"/>
      <c r="AO424" s="82"/>
      <c r="AP424" s="82"/>
      <c r="AQ424" s="82"/>
    </row>
    <row r="425" spans="1:43" ht="15" x14ac:dyDescent="0.35">
      <c r="A425" s="85"/>
      <c r="B425" s="86"/>
      <c r="C425" s="87"/>
      <c r="D425" s="87"/>
      <c r="E425" s="87"/>
      <c r="F425" s="87"/>
      <c r="G425" s="88"/>
      <c r="H425" s="87"/>
      <c r="I425" s="87"/>
      <c r="J425" s="87"/>
      <c r="K425" s="8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M425" s="17"/>
      <c r="AN425" s="17"/>
      <c r="AO425" s="17"/>
      <c r="AP425" s="17"/>
      <c r="AQ425" s="17"/>
    </row>
    <row r="426" spans="1:43" s="84" customFormat="1" ht="15" x14ac:dyDescent="0.35">
      <c r="A426" s="80"/>
      <c r="B426" s="81"/>
      <c r="C426" s="82"/>
      <c r="D426" s="82"/>
      <c r="E426" s="82"/>
      <c r="F426" s="82"/>
      <c r="G426" s="83"/>
      <c r="H426" s="82"/>
      <c r="I426" s="82"/>
      <c r="J426" s="82"/>
      <c r="K426" s="82"/>
      <c r="L426" s="76"/>
      <c r="M426" s="82"/>
      <c r="N426" s="82"/>
      <c r="O426" s="82"/>
      <c r="P426" s="82"/>
      <c r="Q426" s="82"/>
      <c r="R426" s="82"/>
      <c r="S426" s="82"/>
      <c r="T426" s="82"/>
      <c r="U426" s="82"/>
      <c r="V426" s="82"/>
      <c r="W426" s="82"/>
      <c r="X426" s="82"/>
      <c r="Y426" s="76"/>
      <c r="Z426" s="82"/>
      <c r="AA426" s="82"/>
      <c r="AB426" s="82"/>
      <c r="AC426" s="82"/>
      <c r="AD426" s="82"/>
      <c r="AE426" s="82"/>
      <c r="AF426" s="82"/>
      <c r="AG426" s="82"/>
      <c r="AH426" s="82"/>
      <c r="AI426" s="82"/>
      <c r="AJ426" s="82"/>
      <c r="AK426" s="82"/>
      <c r="AL426" s="76"/>
      <c r="AM426" s="82"/>
      <c r="AN426" s="82"/>
      <c r="AO426" s="82"/>
      <c r="AP426" s="82"/>
      <c r="AQ426" s="82"/>
    </row>
    <row r="427" spans="1:43" ht="15" x14ac:dyDescent="0.35">
      <c r="A427" s="85"/>
      <c r="B427" s="86"/>
      <c r="C427" s="87"/>
      <c r="D427" s="87"/>
      <c r="E427" s="87"/>
      <c r="F427" s="87"/>
      <c r="G427" s="88"/>
      <c r="H427" s="87"/>
      <c r="I427" s="87"/>
      <c r="J427" s="87"/>
      <c r="K427" s="8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M427" s="17"/>
      <c r="AN427" s="17"/>
      <c r="AO427" s="17"/>
      <c r="AP427" s="17"/>
      <c r="AQ427" s="17"/>
    </row>
    <row r="428" spans="1:43" s="84" customFormat="1" ht="15" x14ac:dyDescent="0.35">
      <c r="A428" s="80"/>
      <c r="B428" s="81"/>
      <c r="C428" s="82"/>
      <c r="D428" s="82"/>
      <c r="E428" s="82"/>
      <c r="F428" s="82"/>
      <c r="G428" s="83"/>
      <c r="H428" s="82"/>
      <c r="I428" s="82"/>
      <c r="J428" s="82"/>
      <c r="K428" s="82"/>
      <c r="L428" s="76"/>
      <c r="M428" s="82"/>
      <c r="N428" s="82"/>
      <c r="O428" s="82"/>
      <c r="P428" s="82"/>
      <c r="Q428" s="82"/>
      <c r="R428" s="82"/>
      <c r="S428" s="82"/>
      <c r="T428" s="82"/>
      <c r="U428" s="82"/>
      <c r="V428" s="82"/>
      <c r="W428" s="82"/>
      <c r="X428" s="82"/>
      <c r="Y428" s="76"/>
      <c r="Z428" s="82"/>
      <c r="AA428" s="82"/>
      <c r="AB428" s="82"/>
      <c r="AC428" s="82"/>
      <c r="AD428" s="82"/>
      <c r="AE428" s="82"/>
      <c r="AF428" s="82"/>
      <c r="AG428" s="82"/>
      <c r="AH428" s="82"/>
      <c r="AI428" s="82"/>
      <c r="AJ428" s="82"/>
      <c r="AK428" s="82"/>
      <c r="AL428" s="76"/>
      <c r="AM428" s="82"/>
      <c r="AN428" s="82"/>
      <c r="AO428" s="82"/>
      <c r="AP428" s="82"/>
      <c r="AQ428" s="82"/>
    </row>
    <row r="429" spans="1:43" ht="15" x14ac:dyDescent="0.35">
      <c r="A429" s="85"/>
      <c r="B429" s="86"/>
      <c r="C429" s="87"/>
      <c r="D429" s="87"/>
      <c r="E429" s="87"/>
      <c r="F429" s="87"/>
      <c r="G429" s="88"/>
      <c r="H429" s="87"/>
      <c r="I429" s="87"/>
      <c r="J429" s="87"/>
      <c r="K429" s="8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M429" s="17"/>
      <c r="AN429" s="17"/>
      <c r="AO429" s="17"/>
      <c r="AP429" s="17"/>
      <c r="AQ429" s="17"/>
    </row>
    <row r="430" spans="1:43" s="84" customFormat="1" ht="15" x14ac:dyDescent="0.35">
      <c r="A430" s="80"/>
      <c r="B430" s="81"/>
      <c r="C430" s="82"/>
      <c r="D430" s="82"/>
      <c r="E430" s="82"/>
      <c r="F430" s="82"/>
      <c r="G430" s="83"/>
      <c r="H430" s="82"/>
      <c r="I430" s="82"/>
      <c r="J430" s="82"/>
      <c r="K430" s="82"/>
      <c r="L430" s="76"/>
      <c r="M430" s="82"/>
      <c r="N430" s="82"/>
      <c r="O430" s="82"/>
      <c r="P430" s="82"/>
      <c r="Q430" s="82"/>
      <c r="R430" s="82"/>
      <c r="S430" s="82"/>
      <c r="T430" s="82"/>
      <c r="U430" s="82"/>
      <c r="V430" s="82"/>
      <c r="W430" s="82"/>
      <c r="X430" s="82"/>
      <c r="Y430" s="76"/>
      <c r="Z430" s="82"/>
      <c r="AA430" s="82"/>
      <c r="AB430" s="82"/>
      <c r="AC430" s="82"/>
      <c r="AD430" s="82"/>
      <c r="AE430" s="82"/>
      <c r="AF430" s="82"/>
      <c r="AG430" s="82"/>
      <c r="AH430" s="82"/>
      <c r="AI430" s="82"/>
      <c r="AJ430" s="82"/>
      <c r="AK430" s="82"/>
      <c r="AL430" s="76"/>
      <c r="AM430" s="82"/>
      <c r="AN430" s="82"/>
      <c r="AO430" s="82"/>
      <c r="AP430" s="82"/>
      <c r="AQ430" s="82"/>
    </row>
    <row r="431" spans="1:43" ht="15" x14ac:dyDescent="0.35">
      <c r="A431" s="85"/>
      <c r="B431" s="86"/>
      <c r="C431" s="87"/>
      <c r="D431" s="87"/>
      <c r="E431" s="87"/>
      <c r="F431" s="87"/>
      <c r="G431" s="88"/>
      <c r="H431" s="87"/>
      <c r="I431" s="87"/>
      <c r="J431" s="87"/>
      <c r="K431" s="8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M431" s="17"/>
      <c r="AN431" s="17"/>
      <c r="AO431" s="17"/>
      <c r="AP431" s="17"/>
      <c r="AQ431" s="17"/>
    </row>
    <row r="432" spans="1:43" s="84" customFormat="1" ht="15" x14ac:dyDescent="0.35">
      <c r="A432" s="80"/>
      <c r="B432" s="81"/>
      <c r="C432" s="82"/>
      <c r="D432" s="82"/>
      <c r="E432" s="82"/>
      <c r="F432" s="82"/>
      <c r="G432" s="83"/>
      <c r="H432" s="82"/>
      <c r="I432" s="82"/>
      <c r="J432" s="82"/>
      <c r="K432" s="82"/>
      <c r="L432" s="76"/>
      <c r="M432" s="82"/>
      <c r="N432" s="82"/>
      <c r="O432" s="82"/>
      <c r="P432" s="82"/>
      <c r="Q432" s="82"/>
      <c r="R432" s="82"/>
      <c r="S432" s="82"/>
      <c r="T432" s="82"/>
      <c r="U432" s="82"/>
      <c r="V432" s="82"/>
      <c r="W432" s="82"/>
      <c r="X432" s="82"/>
      <c r="Y432" s="76"/>
      <c r="Z432" s="82"/>
      <c r="AA432" s="82"/>
      <c r="AB432" s="82"/>
      <c r="AC432" s="82"/>
      <c r="AD432" s="82"/>
      <c r="AE432" s="82"/>
      <c r="AF432" s="82"/>
      <c r="AG432" s="82"/>
      <c r="AH432" s="82"/>
      <c r="AI432" s="82"/>
      <c r="AJ432" s="82"/>
      <c r="AK432" s="82"/>
      <c r="AL432" s="76"/>
      <c r="AM432" s="82"/>
      <c r="AN432" s="82"/>
      <c r="AO432" s="82"/>
      <c r="AP432" s="82"/>
      <c r="AQ432" s="82"/>
    </row>
    <row r="433" spans="1:43" ht="15" x14ac:dyDescent="0.35">
      <c r="A433" s="85"/>
      <c r="B433" s="86"/>
      <c r="C433" s="87"/>
      <c r="D433" s="87"/>
      <c r="E433" s="87"/>
      <c r="F433" s="87"/>
      <c r="G433" s="88"/>
      <c r="H433" s="87"/>
      <c r="I433" s="87"/>
      <c r="J433" s="87"/>
      <c r="K433" s="8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M433" s="17"/>
      <c r="AN433" s="17"/>
      <c r="AO433" s="17"/>
      <c r="AP433" s="17"/>
      <c r="AQ433" s="17"/>
    </row>
    <row r="434" spans="1:43" s="84" customFormat="1" ht="15" x14ac:dyDescent="0.35">
      <c r="A434" s="80"/>
      <c r="B434" s="81"/>
      <c r="C434" s="82"/>
      <c r="D434" s="82"/>
      <c r="E434" s="82"/>
      <c r="F434" s="82"/>
      <c r="G434" s="83"/>
      <c r="H434" s="82"/>
      <c r="I434" s="82"/>
      <c r="J434" s="82"/>
      <c r="K434" s="82"/>
      <c r="L434" s="76"/>
      <c r="M434" s="82"/>
      <c r="N434" s="82"/>
      <c r="O434" s="82"/>
      <c r="P434" s="82"/>
      <c r="Q434" s="82"/>
      <c r="R434" s="82"/>
      <c r="S434" s="82"/>
      <c r="T434" s="82"/>
      <c r="U434" s="82"/>
      <c r="V434" s="82"/>
      <c r="W434" s="82"/>
      <c r="X434" s="82"/>
      <c r="Y434" s="76"/>
      <c r="Z434" s="82"/>
      <c r="AA434" s="82"/>
      <c r="AB434" s="82"/>
      <c r="AC434" s="82"/>
      <c r="AD434" s="82"/>
      <c r="AE434" s="82"/>
      <c r="AF434" s="82"/>
      <c r="AG434" s="82"/>
      <c r="AH434" s="82"/>
      <c r="AI434" s="82"/>
      <c r="AJ434" s="82"/>
      <c r="AK434" s="82"/>
      <c r="AL434" s="76"/>
      <c r="AM434" s="82"/>
      <c r="AN434" s="82"/>
      <c r="AO434" s="82"/>
      <c r="AP434" s="82"/>
      <c r="AQ434" s="82"/>
    </row>
    <row r="435" spans="1:43" ht="15" x14ac:dyDescent="0.35">
      <c r="A435" s="85"/>
      <c r="B435" s="86"/>
      <c r="C435" s="87"/>
      <c r="D435" s="87"/>
      <c r="E435" s="87"/>
      <c r="F435" s="87"/>
      <c r="G435" s="88"/>
      <c r="H435" s="87"/>
      <c r="I435" s="87"/>
      <c r="J435" s="87"/>
      <c r="K435" s="8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M435" s="17"/>
      <c r="AN435" s="17"/>
      <c r="AO435" s="17"/>
      <c r="AP435" s="17"/>
      <c r="AQ435" s="17"/>
    </row>
    <row r="436" spans="1:43" s="84" customFormat="1" ht="15" x14ac:dyDescent="0.35">
      <c r="A436" s="80"/>
      <c r="B436" s="81"/>
      <c r="C436" s="82"/>
      <c r="D436" s="82"/>
      <c r="E436" s="82"/>
      <c r="F436" s="82"/>
      <c r="G436" s="83"/>
      <c r="H436" s="82"/>
      <c r="I436" s="82"/>
      <c r="J436" s="82"/>
      <c r="K436" s="82"/>
      <c r="L436" s="76"/>
      <c r="M436" s="82"/>
      <c r="N436" s="82"/>
      <c r="O436" s="82"/>
      <c r="P436" s="82"/>
      <c r="Q436" s="82"/>
      <c r="R436" s="82"/>
      <c r="S436" s="82"/>
      <c r="T436" s="82"/>
      <c r="U436" s="82"/>
      <c r="V436" s="82"/>
      <c r="W436" s="82"/>
      <c r="X436" s="82"/>
      <c r="Y436" s="76"/>
      <c r="Z436" s="82"/>
      <c r="AA436" s="82"/>
      <c r="AB436" s="82"/>
      <c r="AC436" s="82"/>
      <c r="AD436" s="82"/>
      <c r="AE436" s="82"/>
      <c r="AF436" s="82"/>
      <c r="AG436" s="82"/>
      <c r="AH436" s="82"/>
      <c r="AI436" s="82"/>
      <c r="AJ436" s="82"/>
      <c r="AK436" s="82"/>
      <c r="AL436" s="76"/>
      <c r="AM436" s="82"/>
      <c r="AN436" s="82"/>
      <c r="AO436" s="82"/>
      <c r="AP436" s="82"/>
      <c r="AQ436" s="82"/>
    </row>
    <row r="437" spans="1:43" ht="15" x14ac:dyDescent="0.35">
      <c r="A437" s="85"/>
      <c r="B437" s="86"/>
      <c r="C437" s="87"/>
      <c r="D437" s="87"/>
      <c r="E437" s="87"/>
      <c r="F437" s="87"/>
      <c r="G437" s="88"/>
      <c r="H437" s="87"/>
      <c r="I437" s="87"/>
      <c r="J437" s="87"/>
      <c r="K437" s="8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M437" s="17"/>
      <c r="AN437" s="17"/>
      <c r="AO437" s="17"/>
      <c r="AP437" s="17"/>
      <c r="AQ437" s="17"/>
    </row>
    <row r="438" spans="1:43" s="84" customFormat="1" ht="15" x14ac:dyDescent="0.35">
      <c r="A438" s="80"/>
      <c r="B438" s="81"/>
      <c r="C438" s="82"/>
      <c r="D438" s="82"/>
      <c r="E438" s="82"/>
      <c r="F438" s="82"/>
      <c r="G438" s="83"/>
      <c r="H438" s="82"/>
      <c r="I438" s="82"/>
      <c r="J438" s="82"/>
      <c r="K438" s="82"/>
      <c r="L438" s="76"/>
      <c r="M438" s="82"/>
      <c r="N438" s="82"/>
      <c r="O438" s="82"/>
      <c r="P438" s="82"/>
      <c r="Q438" s="82"/>
      <c r="R438" s="82"/>
      <c r="S438" s="82"/>
      <c r="T438" s="82"/>
      <c r="U438" s="82"/>
      <c r="V438" s="82"/>
      <c r="W438" s="82"/>
      <c r="X438" s="82"/>
      <c r="Y438" s="76"/>
      <c r="Z438" s="82"/>
      <c r="AA438" s="82"/>
      <c r="AB438" s="82"/>
      <c r="AC438" s="82"/>
      <c r="AD438" s="82"/>
      <c r="AE438" s="82"/>
      <c r="AF438" s="82"/>
      <c r="AG438" s="82"/>
      <c r="AH438" s="82"/>
      <c r="AI438" s="82"/>
      <c r="AJ438" s="82"/>
      <c r="AK438" s="82"/>
      <c r="AL438" s="76"/>
      <c r="AM438" s="82"/>
      <c r="AN438" s="82"/>
      <c r="AO438" s="82"/>
      <c r="AP438" s="82"/>
      <c r="AQ438" s="82"/>
    </row>
    <row r="439" spans="1:43" ht="15" x14ac:dyDescent="0.35">
      <c r="A439" s="85"/>
      <c r="B439" s="86"/>
      <c r="C439" s="87"/>
      <c r="D439" s="87"/>
      <c r="E439" s="87"/>
      <c r="F439" s="87"/>
      <c r="G439" s="88"/>
      <c r="H439" s="87"/>
      <c r="I439" s="87"/>
      <c r="J439" s="87"/>
      <c r="K439" s="8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M439" s="17"/>
      <c r="AN439" s="17"/>
      <c r="AO439" s="17"/>
      <c r="AP439" s="17"/>
      <c r="AQ439" s="17"/>
    </row>
    <row r="440" spans="1:43" s="84" customFormat="1" ht="15" x14ac:dyDescent="0.35">
      <c r="A440" s="80"/>
      <c r="B440" s="81"/>
      <c r="C440" s="82"/>
      <c r="D440" s="82"/>
      <c r="E440" s="82"/>
      <c r="F440" s="82"/>
      <c r="G440" s="83"/>
      <c r="H440" s="82"/>
      <c r="I440" s="82"/>
      <c r="J440" s="82"/>
      <c r="K440" s="82"/>
      <c r="L440" s="76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76"/>
      <c r="Z440" s="82"/>
      <c r="AA440" s="82"/>
      <c r="AB440" s="82"/>
      <c r="AC440" s="82"/>
      <c r="AD440" s="82"/>
      <c r="AE440" s="82"/>
      <c r="AF440" s="82"/>
      <c r="AG440" s="82"/>
      <c r="AH440" s="82"/>
      <c r="AI440" s="82"/>
      <c r="AJ440" s="82"/>
      <c r="AK440" s="82"/>
      <c r="AL440" s="76"/>
      <c r="AM440" s="82"/>
      <c r="AN440" s="82"/>
      <c r="AO440" s="82"/>
      <c r="AP440" s="82"/>
      <c r="AQ440" s="82"/>
    </row>
    <row r="441" spans="1:43" ht="15" x14ac:dyDescent="0.35">
      <c r="A441" s="85"/>
      <c r="B441" s="86"/>
      <c r="C441" s="87"/>
      <c r="D441" s="87"/>
      <c r="E441" s="87"/>
      <c r="F441" s="87"/>
      <c r="G441" s="88"/>
      <c r="H441" s="87"/>
      <c r="I441" s="87"/>
      <c r="J441" s="87"/>
      <c r="K441" s="8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M441" s="17"/>
      <c r="AN441" s="17"/>
      <c r="AO441" s="17"/>
      <c r="AP441" s="17"/>
      <c r="AQ441" s="17"/>
    </row>
    <row r="442" spans="1:43" s="84" customFormat="1" ht="15" x14ac:dyDescent="0.35">
      <c r="A442" s="80"/>
      <c r="B442" s="81"/>
      <c r="C442" s="82"/>
      <c r="D442" s="82"/>
      <c r="E442" s="82"/>
      <c r="F442" s="82"/>
      <c r="G442" s="83"/>
      <c r="H442" s="82"/>
      <c r="I442" s="82"/>
      <c r="J442" s="82"/>
      <c r="K442" s="82"/>
      <c r="L442" s="76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76"/>
      <c r="Z442" s="82"/>
      <c r="AA442" s="82"/>
      <c r="AB442" s="82"/>
      <c r="AC442" s="82"/>
      <c r="AD442" s="82"/>
      <c r="AE442" s="82"/>
      <c r="AF442" s="82"/>
      <c r="AG442" s="82"/>
      <c r="AH442" s="82"/>
      <c r="AI442" s="82"/>
      <c r="AJ442" s="82"/>
      <c r="AK442" s="82"/>
      <c r="AL442" s="76"/>
      <c r="AM442" s="82"/>
      <c r="AN442" s="82"/>
      <c r="AO442" s="82"/>
      <c r="AP442" s="82"/>
      <c r="AQ442" s="82"/>
    </row>
    <row r="443" spans="1:43" ht="15" x14ac:dyDescent="0.35">
      <c r="A443" s="85"/>
      <c r="B443" s="86"/>
      <c r="C443" s="87"/>
      <c r="D443" s="87"/>
      <c r="E443" s="87"/>
      <c r="F443" s="87"/>
      <c r="G443" s="88"/>
      <c r="H443" s="87"/>
      <c r="I443" s="87"/>
      <c r="J443" s="87"/>
      <c r="K443" s="8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M443" s="17"/>
      <c r="AN443" s="17"/>
      <c r="AO443" s="17"/>
      <c r="AP443" s="17"/>
      <c r="AQ443" s="17"/>
    </row>
    <row r="444" spans="1:43" s="84" customFormat="1" ht="15" x14ac:dyDescent="0.35">
      <c r="A444" s="80"/>
      <c r="B444" s="81"/>
      <c r="C444" s="82"/>
      <c r="D444" s="82"/>
      <c r="E444" s="82"/>
      <c r="F444" s="82"/>
      <c r="G444" s="83"/>
      <c r="H444" s="82"/>
      <c r="I444" s="82"/>
      <c r="J444" s="82"/>
      <c r="K444" s="82"/>
      <c r="L444" s="76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76"/>
      <c r="Z444" s="82"/>
      <c r="AA444" s="82"/>
      <c r="AB444" s="82"/>
      <c r="AC444" s="82"/>
      <c r="AD444" s="82"/>
      <c r="AE444" s="82"/>
      <c r="AF444" s="82"/>
      <c r="AG444" s="82"/>
      <c r="AH444" s="82"/>
      <c r="AI444" s="82"/>
      <c r="AJ444" s="82"/>
      <c r="AK444" s="82"/>
      <c r="AL444" s="76"/>
      <c r="AM444" s="82"/>
      <c r="AN444" s="82"/>
      <c r="AO444" s="82"/>
      <c r="AP444" s="82"/>
      <c r="AQ444" s="82"/>
    </row>
    <row r="445" spans="1:43" ht="15" x14ac:dyDescent="0.35">
      <c r="A445" s="85"/>
      <c r="B445" s="86"/>
      <c r="C445" s="87"/>
      <c r="D445" s="87"/>
      <c r="E445" s="87"/>
      <c r="F445" s="87"/>
      <c r="G445" s="88"/>
      <c r="H445" s="87"/>
      <c r="I445" s="87"/>
      <c r="J445" s="87"/>
      <c r="K445" s="8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M445" s="17"/>
      <c r="AN445" s="17"/>
      <c r="AO445" s="17"/>
      <c r="AP445" s="17"/>
      <c r="AQ445" s="17"/>
    </row>
    <row r="446" spans="1:43" s="84" customFormat="1" ht="15" x14ac:dyDescent="0.35">
      <c r="A446" s="80"/>
      <c r="B446" s="81"/>
      <c r="C446" s="82"/>
      <c r="D446" s="82"/>
      <c r="E446" s="82"/>
      <c r="F446" s="82"/>
      <c r="G446" s="83"/>
      <c r="H446" s="82"/>
      <c r="I446" s="82"/>
      <c r="J446" s="82"/>
      <c r="K446" s="82"/>
      <c r="L446" s="76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76"/>
      <c r="Z446" s="82"/>
      <c r="AA446" s="82"/>
      <c r="AB446" s="82"/>
      <c r="AC446" s="82"/>
      <c r="AD446" s="82"/>
      <c r="AE446" s="82"/>
      <c r="AF446" s="82"/>
      <c r="AG446" s="82"/>
      <c r="AH446" s="82"/>
      <c r="AI446" s="82"/>
      <c r="AJ446" s="82"/>
      <c r="AK446" s="82"/>
      <c r="AL446" s="76"/>
      <c r="AM446" s="82"/>
      <c r="AN446" s="82"/>
      <c r="AO446" s="82"/>
      <c r="AP446" s="82"/>
      <c r="AQ446" s="82"/>
    </row>
    <row r="447" spans="1:43" ht="15" x14ac:dyDescent="0.35">
      <c r="A447" s="85"/>
      <c r="B447" s="86"/>
      <c r="C447" s="87"/>
      <c r="D447" s="87"/>
      <c r="E447" s="87"/>
      <c r="F447" s="87"/>
      <c r="G447" s="88"/>
      <c r="H447" s="87"/>
      <c r="I447" s="87"/>
      <c r="J447" s="87"/>
      <c r="K447" s="8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M447" s="17"/>
      <c r="AN447" s="17"/>
      <c r="AO447" s="17"/>
      <c r="AP447" s="17"/>
      <c r="AQ447" s="17"/>
    </row>
    <row r="448" spans="1:43" s="84" customFormat="1" ht="15" x14ac:dyDescent="0.35">
      <c r="A448" s="80"/>
      <c r="B448" s="81"/>
      <c r="C448" s="82"/>
      <c r="D448" s="82"/>
      <c r="E448" s="82"/>
      <c r="F448" s="82"/>
      <c r="G448" s="83"/>
      <c r="H448" s="82"/>
      <c r="I448" s="82"/>
      <c r="J448" s="82"/>
      <c r="K448" s="82"/>
      <c r="L448" s="76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76"/>
      <c r="Z448" s="82"/>
      <c r="AA448" s="82"/>
      <c r="AB448" s="82"/>
      <c r="AC448" s="82"/>
      <c r="AD448" s="82"/>
      <c r="AE448" s="82"/>
      <c r="AF448" s="82"/>
      <c r="AG448" s="82"/>
      <c r="AH448" s="82"/>
      <c r="AI448" s="82"/>
      <c r="AJ448" s="82"/>
      <c r="AK448" s="82"/>
      <c r="AL448" s="76"/>
      <c r="AM448" s="82"/>
      <c r="AN448" s="82"/>
      <c r="AO448" s="82"/>
      <c r="AP448" s="82"/>
      <c r="AQ448" s="82"/>
    </row>
    <row r="449" spans="1:43" ht="15" x14ac:dyDescent="0.35">
      <c r="A449" s="85"/>
      <c r="B449" s="86"/>
      <c r="C449" s="87"/>
      <c r="D449" s="87"/>
      <c r="E449" s="87"/>
      <c r="F449" s="87"/>
      <c r="G449" s="88"/>
      <c r="H449" s="87"/>
      <c r="I449" s="87"/>
      <c r="J449" s="87"/>
      <c r="K449" s="8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M449" s="17"/>
      <c r="AN449" s="17"/>
      <c r="AO449" s="17"/>
      <c r="AP449" s="17"/>
      <c r="AQ449" s="17"/>
    </row>
    <row r="450" spans="1:43" s="84" customFormat="1" ht="15" x14ac:dyDescent="0.35">
      <c r="A450" s="80"/>
      <c r="B450" s="81"/>
      <c r="C450" s="82"/>
      <c r="D450" s="82"/>
      <c r="E450" s="82"/>
      <c r="F450" s="82"/>
      <c r="G450" s="83"/>
      <c r="H450" s="82"/>
      <c r="I450" s="82"/>
      <c r="J450" s="82"/>
      <c r="K450" s="82"/>
      <c r="L450" s="76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76"/>
      <c r="Z450" s="82"/>
      <c r="AA450" s="82"/>
      <c r="AB450" s="82"/>
      <c r="AC450" s="82"/>
      <c r="AD450" s="82"/>
      <c r="AE450" s="82"/>
      <c r="AF450" s="82"/>
      <c r="AG450" s="82"/>
      <c r="AH450" s="82"/>
      <c r="AI450" s="82"/>
      <c r="AJ450" s="82"/>
      <c r="AK450" s="82"/>
      <c r="AL450" s="76"/>
      <c r="AM450" s="82"/>
      <c r="AN450" s="82"/>
      <c r="AO450" s="82"/>
      <c r="AP450" s="82"/>
      <c r="AQ450" s="82"/>
    </row>
    <row r="451" spans="1:43" ht="15" x14ac:dyDescent="0.35">
      <c r="A451" s="85"/>
      <c r="B451" s="86"/>
      <c r="C451" s="87"/>
      <c r="D451" s="87"/>
      <c r="E451" s="87"/>
      <c r="F451" s="87"/>
      <c r="G451" s="88"/>
      <c r="H451" s="87"/>
      <c r="I451" s="87"/>
      <c r="J451" s="87"/>
      <c r="K451" s="8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M451" s="17"/>
      <c r="AN451" s="17"/>
      <c r="AO451" s="17"/>
      <c r="AP451" s="17"/>
      <c r="AQ451" s="17"/>
    </row>
    <row r="452" spans="1:43" s="84" customFormat="1" ht="15" x14ac:dyDescent="0.35">
      <c r="A452" s="80"/>
      <c r="B452" s="81"/>
      <c r="C452" s="82"/>
      <c r="D452" s="82"/>
      <c r="E452" s="82"/>
      <c r="F452" s="82"/>
      <c r="G452" s="83"/>
      <c r="H452" s="82"/>
      <c r="I452" s="82"/>
      <c r="J452" s="82"/>
      <c r="K452" s="82"/>
      <c r="L452" s="76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76"/>
      <c r="Z452" s="82"/>
      <c r="AA452" s="82"/>
      <c r="AB452" s="82"/>
      <c r="AC452" s="82"/>
      <c r="AD452" s="82"/>
      <c r="AE452" s="82"/>
      <c r="AF452" s="82"/>
      <c r="AG452" s="82"/>
      <c r="AH452" s="82"/>
      <c r="AI452" s="82"/>
      <c r="AJ452" s="82"/>
      <c r="AK452" s="82"/>
      <c r="AL452" s="76"/>
      <c r="AM452" s="82"/>
      <c r="AN452" s="82"/>
      <c r="AO452" s="82"/>
      <c r="AP452" s="82"/>
      <c r="AQ452" s="82"/>
    </row>
    <row r="453" spans="1:43" ht="15" x14ac:dyDescent="0.35">
      <c r="A453" s="85"/>
      <c r="B453" s="86"/>
      <c r="C453" s="87"/>
      <c r="D453" s="87"/>
      <c r="E453" s="87"/>
      <c r="F453" s="87"/>
      <c r="G453" s="88"/>
      <c r="H453" s="87"/>
      <c r="I453" s="87"/>
      <c r="J453" s="87"/>
      <c r="K453" s="8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M453" s="17"/>
      <c r="AN453" s="17"/>
      <c r="AO453" s="17"/>
      <c r="AP453" s="17"/>
      <c r="AQ453" s="17"/>
    </row>
    <row r="454" spans="1:43" s="84" customFormat="1" ht="15" x14ac:dyDescent="0.35">
      <c r="A454" s="80"/>
      <c r="B454" s="81"/>
      <c r="C454" s="82"/>
      <c r="D454" s="82"/>
      <c r="E454" s="82"/>
      <c r="F454" s="82"/>
      <c r="G454" s="83"/>
      <c r="H454" s="82"/>
      <c r="I454" s="82"/>
      <c r="J454" s="82"/>
      <c r="K454" s="82"/>
      <c r="L454" s="76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76"/>
      <c r="Z454" s="82"/>
      <c r="AA454" s="82"/>
      <c r="AB454" s="82"/>
      <c r="AC454" s="82"/>
      <c r="AD454" s="82"/>
      <c r="AE454" s="82"/>
      <c r="AF454" s="82"/>
      <c r="AG454" s="82"/>
      <c r="AH454" s="82"/>
      <c r="AI454" s="82"/>
      <c r="AJ454" s="82"/>
      <c r="AK454" s="82"/>
      <c r="AL454" s="76"/>
      <c r="AM454" s="82"/>
      <c r="AN454" s="82"/>
      <c r="AO454" s="82"/>
      <c r="AP454" s="82"/>
      <c r="AQ454" s="82"/>
    </row>
    <row r="455" spans="1:43" ht="15" x14ac:dyDescent="0.35">
      <c r="A455" s="85"/>
      <c r="B455" s="86"/>
      <c r="C455" s="87"/>
      <c r="D455" s="87"/>
      <c r="E455" s="87"/>
      <c r="F455" s="87"/>
      <c r="G455" s="88"/>
      <c r="H455" s="87"/>
      <c r="I455" s="87"/>
      <c r="J455" s="87"/>
      <c r="K455" s="8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M455" s="17"/>
      <c r="AN455" s="17"/>
      <c r="AO455" s="17"/>
      <c r="AP455" s="17"/>
      <c r="AQ455" s="17"/>
    </row>
    <row r="456" spans="1:43" s="84" customFormat="1" ht="15" x14ac:dyDescent="0.35">
      <c r="A456" s="80"/>
      <c r="B456" s="81"/>
      <c r="C456" s="82"/>
      <c r="D456" s="82"/>
      <c r="E456" s="82"/>
      <c r="F456" s="82"/>
      <c r="G456" s="83"/>
      <c r="H456" s="82"/>
      <c r="I456" s="82"/>
      <c r="J456" s="82"/>
      <c r="K456" s="82"/>
      <c r="L456" s="76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76"/>
      <c r="Z456" s="82"/>
      <c r="AA456" s="82"/>
      <c r="AB456" s="82"/>
      <c r="AC456" s="82"/>
      <c r="AD456" s="82"/>
      <c r="AE456" s="82"/>
      <c r="AF456" s="82"/>
      <c r="AG456" s="82"/>
      <c r="AH456" s="82"/>
      <c r="AI456" s="82"/>
      <c r="AJ456" s="82"/>
      <c r="AK456" s="82"/>
      <c r="AL456" s="76"/>
      <c r="AM456" s="82"/>
      <c r="AN456" s="82"/>
      <c r="AO456" s="82"/>
      <c r="AP456" s="82"/>
      <c r="AQ456" s="82"/>
    </row>
    <row r="457" spans="1:43" ht="15" x14ac:dyDescent="0.35">
      <c r="A457" s="85"/>
      <c r="B457" s="86"/>
      <c r="C457" s="87"/>
      <c r="D457" s="87"/>
      <c r="E457" s="87"/>
      <c r="F457" s="87"/>
      <c r="G457" s="88"/>
      <c r="H457" s="87"/>
      <c r="I457" s="87"/>
      <c r="J457" s="87"/>
      <c r="K457" s="8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M457" s="17"/>
      <c r="AN457" s="17"/>
      <c r="AO457" s="17"/>
      <c r="AP457" s="17"/>
      <c r="AQ457" s="17"/>
    </row>
    <row r="458" spans="1:43" s="84" customFormat="1" ht="15" x14ac:dyDescent="0.35">
      <c r="A458" s="80"/>
      <c r="B458" s="81"/>
      <c r="C458" s="82"/>
      <c r="D458" s="82"/>
      <c r="E458" s="82"/>
      <c r="F458" s="82"/>
      <c r="G458" s="83"/>
      <c r="H458" s="82"/>
      <c r="I458" s="82"/>
      <c r="J458" s="82"/>
      <c r="K458" s="82"/>
      <c r="L458" s="76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76"/>
      <c r="Z458" s="82"/>
      <c r="AA458" s="82"/>
      <c r="AB458" s="82"/>
      <c r="AC458" s="82"/>
      <c r="AD458" s="82"/>
      <c r="AE458" s="82"/>
      <c r="AF458" s="82"/>
      <c r="AG458" s="82"/>
      <c r="AH458" s="82"/>
      <c r="AI458" s="82"/>
      <c r="AJ458" s="82"/>
      <c r="AK458" s="82"/>
      <c r="AL458" s="76"/>
      <c r="AM458" s="82"/>
      <c r="AN458" s="82"/>
      <c r="AO458" s="82"/>
      <c r="AP458" s="82"/>
      <c r="AQ458" s="82"/>
    </row>
    <row r="459" spans="1:43" ht="15" x14ac:dyDescent="0.35">
      <c r="A459" s="85"/>
      <c r="B459" s="86"/>
      <c r="C459" s="87"/>
      <c r="D459" s="87"/>
      <c r="E459" s="87"/>
      <c r="F459" s="87"/>
      <c r="G459" s="88"/>
      <c r="H459" s="87"/>
      <c r="I459" s="87"/>
      <c r="J459" s="87"/>
      <c r="K459" s="8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M459" s="17"/>
      <c r="AN459" s="17"/>
      <c r="AO459" s="17"/>
      <c r="AP459" s="17"/>
      <c r="AQ459" s="17"/>
    </row>
    <row r="460" spans="1:43" s="84" customFormat="1" ht="15" x14ac:dyDescent="0.35">
      <c r="A460" s="80"/>
      <c r="B460" s="81"/>
      <c r="C460" s="82"/>
      <c r="D460" s="82"/>
      <c r="E460" s="82"/>
      <c r="F460" s="82"/>
      <c r="G460" s="83"/>
      <c r="H460" s="82"/>
      <c r="I460" s="82"/>
      <c r="J460" s="82"/>
      <c r="K460" s="82"/>
      <c r="L460" s="76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76"/>
      <c r="Z460" s="82"/>
      <c r="AA460" s="82"/>
      <c r="AB460" s="82"/>
      <c r="AC460" s="82"/>
      <c r="AD460" s="82"/>
      <c r="AE460" s="82"/>
      <c r="AF460" s="82"/>
      <c r="AG460" s="82"/>
      <c r="AH460" s="82"/>
      <c r="AI460" s="82"/>
      <c r="AJ460" s="82"/>
      <c r="AK460" s="82"/>
      <c r="AL460" s="76"/>
      <c r="AM460" s="82"/>
      <c r="AN460" s="82"/>
      <c r="AO460" s="82"/>
      <c r="AP460" s="82"/>
      <c r="AQ460" s="82"/>
    </row>
    <row r="461" spans="1:43" ht="15" x14ac:dyDescent="0.35">
      <c r="A461" s="85"/>
      <c r="B461" s="86"/>
      <c r="C461" s="87"/>
      <c r="D461" s="87"/>
      <c r="E461" s="87"/>
      <c r="F461" s="87"/>
      <c r="G461" s="88"/>
      <c r="H461" s="87"/>
      <c r="I461" s="87"/>
      <c r="J461" s="87"/>
      <c r="K461" s="8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M461" s="17"/>
      <c r="AN461" s="17"/>
      <c r="AO461" s="17"/>
      <c r="AP461" s="17"/>
      <c r="AQ461" s="17"/>
    </row>
    <row r="462" spans="1:43" s="84" customFormat="1" ht="15" x14ac:dyDescent="0.35">
      <c r="A462" s="80"/>
      <c r="B462" s="81"/>
      <c r="C462" s="82"/>
      <c r="D462" s="82"/>
      <c r="E462" s="82"/>
      <c r="F462" s="82"/>
      <c r="G462" s="83"/>
      <c r="H462" s="82"/>
      <c r="I462" s="82"/>
      <c r="J462" s="82"/>
      <c r="K462" s="82"/>
      <c r="L462" s="76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76"/>
      <c r="Z462" s="82"/>
      <c r="AA462" s="82"/>
      <c r="AB462" s="82"/>
      <c r="AC462" s="82"/>
      <c r="AD462" s="82"/>
      <c r="AE462" s="82"/>
      <c r="AF462" s="82"/>
      <c r="AG462" s="82"/>
      <c r="AH462" s="82"/>
      <c r="AI462" s="82"/>
      <c r="AJ462" s="82"/>
      <c r="AK462" s="82"/>
      <c r="AL462" s="76"/>
      <c r="AM462" s="82"/>
      <c r="AN462" s="82"/>
      <c r="AO462" s="82"/>
      <c r="AP462" s="82"/>
      <c r="AQ462" s="82"/>
    </row>
    <row r="463" spans="1:43" ht="15" x14ac:dyDescent="0.35">
      <c r="A463" s="85"/>
      <c r="B463" s="86"/>
      <c r="C463" s="87"/>
      <c r="D463" s="87"/>
      <c r="E463" s="87"/>
      <c r="F463" s="87"/>
      <c r="G463" s="88"/>
      <c r="H463" s="87"/>
      <c r="I463" s="87"/>
      <c r="J463" s="87"/>
      <c r="K463" s="8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M463" s="17"/>
      <c r="AN463" s="17"/>
      <c r="AO463" s="17"/>
      <c r="AP463" s="17"/>
      <c r="AQ463" s="17"/>
    </row>
    <row r="464" spans="1:43" s="84" customFormat="1" ht="15" x14ac:dyDescent="0.35">
      <c r="A464" s="80"/>
      <c r="B464" s="81"/>
      <c r="C464" s="82"/>
      <c r="D464" s="82"/>
      <c r="E464" s="82"/>
      <c r="F464" s="82"/>
      <c r="G464" s="83"/>
      <c r="H464" s="82"/>
      <c r="I464" s="82"/>
      <c r="J464" s="82"/>
      <c r="K464" s="82"/>
      <c r="L464" s="76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76"/>
      <c r="Z464" s="82"/>
      <c r="AA464" s="82"/>
      <c r="AB464" s="82"/>
      <c r="AC464" s="82"/>
      <c r="AD464" s="82"/>
      <c r="AE464" s="82"/>
      <c r="AF464" s="82"/>
      <c r="AG464" s="82"/>
      <c r="AH464" s="82"/>
      <c r="AI464" s="82"/>
      <c r="AJ464" s="82"/>
      <c r="AK464" s="82"/>
      <c r="AL464" s="76"/>
      <c r="AM464" s="82"/>
      <c r="AN464" s="82"/>
      <c r="AO464" s="82"/>
      <c r="AP464" s="82"/>
      <c r="AQ464" s="82"/>
    </row>
    <row r="465" spans="1:43" ht="15" x14ac:dyDescent="0.35">
      <c r="A465" s="85"/>
      <c r="B465" s="86"/>
      <c r="C465" s="87"/>
      <c r="D465" s="87"/>
      <c r="E465" s="87"/>
      <c r="F465" s="87"/>
      <c r="G465" s="88"/>
      <c r="H465" s="87"/>
      <c r="I465" s="87"/>
      <c r="J465" s="87"/>
      <c r="K465" s="8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M465" s="17"/>
      <c r="AN465" s="17"/>
      <c r="AO465" s="17"/>
      <c r="AP465" s="17"/>
      <c r="AQ465" s="17"/>
    </row>
    <row r="466" spans="1:43" s="84" customFormat="1" ht="15" x14ac:dyDescent="0.35">
      <c r="A466" s="80"/>
      <c r="B466" s="81"/>
      <c r="C466" s="82"/>
      <c r="D466" s="82"/>
      <c r="E466" s="82"/>
      <c r="F466" s="82"/>
      <c r="G466" s="83"/>
      <c r="H466" s="82"/>
      <c r="I466" s="82"/>
      <c r="J466" s="82"/>
      <c r="K466" s="82"/>
      <c r="L466" s="76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76"/>
      <c r="Z466" s="82"/>
      <c r="AA466" s="82"/>
      <c r="AB466" s="82"/>
      <c r="AC466" s="82"/>
      <c r="AD466" s="82"/>
      <c r="AE466" s="82"/>
      <c r="AF466" s="82"/>
      <c r="AG466" s="82"/>
      <c r="AH466" s="82"/>
      <c r="AI466" s="82"/>
      <c r="AJ466" s="82"/>
      <c r="AK466" s="82"/>
      <c r="AL466" s="76"/>
      <c r="AM466" s="82"/>
      <c r="AN466" s="82"/>
      <c r="AO466" s="82"/>
      <c r="AP466" s="82"/>
      <c r="AQ466" s="82"/>
    </row>
    <row r="467" spans="1:43" ht="15" x14ac:dyDescent="0.35">
      <c r="A467" s="85"/>
      <c r="B467" s="86"/>
      <c r="C467" s="87"/>
      <c r="D467" s="87"/>
      <c r="E467" s="87"/>
      <c r="F467" s="87"/>
      <c r="G467" s="88"/>
      <c r="H467" s="87"/>
      <c r="I467" s="87"/>
      <c r="J467" s="87"/>
      <c r="K467" s="8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M467" s="17"/>
      <c r="AN467" s="17"/>
      <c r="AO467" s="17"/>
      <c r="AP467" s="17"/>
      <c r="AQ467" s="17"/>
    </row>
    <row r="468" spans="1:43" s="84" customFormat="1" ht="15" x14ac:dyDescent="0.35">
      <c r="A468" s="80"/>
      <c r="B468" s="81"/>
      <c r="C468" s="82"/>
      <c r="D468" s="82"/>
      <c r="E468" s="82"/>
      <c r="F468" s="82"/>
      <c r="G468" s="83"/>
      <c r="H468" s="82"/>
      <c r="I468" s="82"/>
      <c r="J468" s="82"/>
      <c r="K468" s="82"/>
      <c r="L468" s="76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76"/>
      <c r="Z468" s="82"/>
      <c r="AA468" s="82"/>
      <c r="AB468" s="82"/>
      <c r="AC468" s="82"/>
      <c r="AD468" s="82"/>
      <c r="AE468" s="82"/>
      <c r="AF468" s="82"/>
      <c r="AG468" s="82"/>
      <c r="AH468" s="82"/>
      <c r="AI468" s="82"/>
      <c r="AJ468" s="82"/>
      <c r="AK468" s="82"/>
      <c r="AL468" s="76"/>
      <c r="AM468" s="82"/>
      <c r="AN468" s="82"/>
      <c r="AO468" s="82"/>
      <c r="AP468" s="82"/>
      <c r="AQ468" s="82"/>
    </row>
    <row r="469" spans="1:43" ht="15" x14ac:dyDescent="0.35">
      <c r="A469" s="85"/>
      <c r="B469" s="86"/>
      <c r="C469" s="87"/>
      <c r="D469" s="87"/>
      <c r="E469" s="87"/>
      <c r="F469" s="87"/>
      <c r="G469" s="88"/>
      <c r="H469" s="87"/>
      <c r="I469" s="87"/>
      <c r="J469" s="87"/>
      <c r="K469" s="8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M469" s="17"/>
      <c r="AN469" s="17"/>
      <c r="AO469" s="17"/>
      <c r="AP469" s="17"/>
      <c r="AQ469" s="17"/>
    </row>
    <row r="470" spans="1:43" s="84" customFormat="1" ht="15" x14ac:dyDescent="0.35">
      <c r="A470" s="80"/>
      <c r="B470" s="81"/>
      <c r="C470" s="82"/>
      <c r="D470" s="82"/>
      <c r="E470" s="82"/>
      <c r="F470" s="82"/>
      <c r="G470" s="83"/>
      <c r="H470" s="82"/>
      <c r="I470" s="82"/>
      <c r="J470" s="82"/>
      <c r="K470" s="82"/>
      <c r="L470" s="76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76"/>
      <c r="Z470" s="82"/>
      <c r="AA470" s="82"/>
      <c r="AB470" s="82"/>
      <c r="AC470" s="82"/>
      <c r="AD470" s="82"/>
      <c r="AE470" s="82"/>
      <c r="AF470" s="82"/>
      <c r="AG470" s="82"/>
      <c r="AH470" s="82"/>
      <c r="AI470" s="82"/>
      <c r="AJ470" s="82"/>
      <c r="AK470" s="82"/>
      <c r="AL470" s="76"/>
      <c r="AM470" s="82"/>
      <c r="AN470" s="82"/>
      <c r="AO470" s="82"/>
      <c r="AP470" s="82"/>
      <c r="AQ470" s="82"/>
    </row>
    <row r="471" spans="1:43" ht="15" x14ac:dyDescent="0.35">
      <c r="A471" s="85"/>
      <c r="B471" s="86"/>
      <c r="C471" s="87"/>
      <c r="D471" s="87"/>
      <c r="E471" s="87"/>
      <c r="F471" s="87"/>
      <c r="G471" s="88"/>
      <c r="H471" s="87"/>
      <c r="I471" s="87"/>
      <c r="J471" s="87"/>
      <c r="K471" s="8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M471" s="17"/>
      <c r="AN471" s="17"/>
      <c r="AO471" s="17"/>
      <c r="AP471" s="17"/>
      <c r="AQ471" s="17"/>
    </row>
    <row r="472" spans="1:43" s="84" customFormat="1" ht="15" x14ac:dyDescent="0.35">
      <c r="A472" s="80"/>
      <c r="B472" s="81"/>
      <c r="C472" s="82"/>
      <c r="D472" s="82"/>
      <c r="E472" s="82"/>
      <c r="F472" s="82"/>
      <c r="G472" s="83"/>
      <c r="H472" s="82"/>
      <c r="I472" s="82"/>
      <c r="J472" s="82"/>
      <c r="K472" s="82"/>
      <c r="L472" s="76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76"/>
      <c r="Z472" s="82"/>
      <c r="AA472" s="82"/>
      <c r="AB472" s="82"/>
      <c r="AC472" s="82"/>
      <c r="AD472" s="82"/>
      <c r="AE472" s="82"/>
      <c r="AF472" s="82"/>
      <c r="AG472" s="82"/>
      <c r="AH472" s="82"/>
      <c r="AI472" s="82"/>
      <c r="AJ472" s="82"/>
      <c r="AK472" s="82"/>
      <c r="AL472" s="76"/>
      <c r="AM472" s="82"/>
      <c r="AN472" s="82"/>
      <c r="AO472" s="82"/>
      <c r="AP472" s="82"/>
      <c r="AQ472" s="82"/>
    </row>
    <row r="473" spans="1:43" ht="15" x14ac:dyDescent="0.35">
      <c r="A473" s="85"/>
      <c r="B473" s="86"/>
      <c r="C473" s="87"/>
      <c r="D473" s="87"/>
      <c r="E473" s="87"/>
      <c r="F473" s="87"/>
      <c r="G473" s="88"/>
      <c r="H473" s="87"/>
      <c r="I473" s="87"/>
      <c r="J473" s="87"/>
      <c r="K473" s="8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M473" s="17"/>
      <c r="AN473" s="17"/>
      <c r="AO473" s="17"/>
      <c r="AP473" s="17"/>
      <c r="AQ473" s="17"/>
    </row>
    <row r="474" spans="1:43" s="84" customFormat="1" ht="15" x14ac:dyDescent="0.35">
      <c r="A474" s="80"/>
      <c r="B474" s="81"/>
      <c r="C474" s="82"/>
      <c r="D474" s="82"/>
      <c r="E474" s="82"/>
      <c r="F474" s="82"/>
      <c r="G474" s="83"/>
      <c r="H474" s="82"/>
      <c r="I474" s="82"/>
      <c r="J474" s="82"/>
      <c r="K474" s="82"/>
      <c r="L474" s="76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76"/>
      <c r="Z474" s="82"/>
      <c r="AA474" s="82"/>
      <c r="AB474" s="82"/>
      <c r="AC474" s="82"/>
      <c r="AD474" s="82"/>
      <c r="AE474" s="82"/>
      <c r="AF474" s="82"/>
      <c r="AG474" s="82"/>
      <c r="AH474" s="82"/>
      <c r="AI474" s="82"/>
      <c r="AJ474" s="82"/>
      <c r="AK474" s="82"/>
      <c r="AL474" s="76"/>
      <c r="AM474" s="82"/>
      <c r="AN474" s="82"/>
      <c r="AO474" s="82"/>
      <c r="AP474" s="82"/>
      <c r="AQ474" s="82"/>
    </row>
    <row r="475" spans="1:43" ht="15" x14ac:dyDescent="0.35">
      <c r="A475" s="85"/>
      <c r="B475" s="86"/>
      <c r="C475" s="87"/>
      <c r="D475" s="87"/>
      <c r="E475" s="87"/>
      <c r="F475" s="87"/>
      <c r="G475" s="88"/>
      <c r="H475" s="87"/>
      <c r="I475" s="87"/>
      <c r="J475" s="87"/>
      <c r="K475" s="8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M475" s="17"/>
      <c r="AN475" s="17"/>
      <c r="AO475" s="17"/>
      <c r="AP475" s="17"/>
      <c r="AQ475" s="17"/>
    </row>
    <row r="476" spans="1:43" s="84" customFormat="1" ht="15" x14ac:dyDescent="0.35">
      <c r="A476" s="80"/>
      <c r="B476" s="81"/>
      <c r="C476" s="82"/>
      <c r="D476" s="82"/>
      <c r="E476" s="82"/>
      <c r="F476" s="82"/>
      <c r="G476" s="83"/>
      <c r="H476" s="82"/>
      <c r="I476" s="82"/>
      <c r="J476" s="82"/>
      <c r="K476" s="82"/>
      <c r="L476" s="76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76"/>
      <c r="Z476" s="82"/>
      <c r="AA476" s="82"/>
      <c r="AB476" s="82"/>
      <c r="AC476" s="82"/>
      <c r="AD476" s="82"/>
      <c r="AE476" s="82"/>
      <c r="AF476" s="82"/>
      <c r="AG476" s="82"/>
      <c r="AH476" s="82"/>
      <c r="AI476" s="82"/>
      <c r="AJ476" s="82"/>
      <c r="AK476" s="82"/>
      <c r="AL476" s="76"/>
      <c r="AM476" s="82"/>
      <c r="AN476" s="82"/>
      <c r="AO476" s="82"/>
      <c r="AP476" s="82"/>
      <c r="AQ476" s="82"/>
    </row>
    <row r="477" spans="1:43" ht="15" x14ac:dyDescent="0.35">
      <c r="A477" s="85"/>
      <c r="B477" s="86"/>
      <c r="C477" s="87"/>
      <c r="D477" s="87"/>
      <c r="E477" s="87"/>
      <c r="F477" s="87"/>
      <c r="G477" s="88"/>
      <c r="H477" s="87"/>
      <c r="I477" s="87"/>
      <c r="J477" s="87"/>
      <c r="K477" s="8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M477" s="17"/>
      <c r="AN477" s="17"/>
      <c r="AO477" s="17"/>
      <c r="AP477" s="17"/>
      <c r="AQ477" s="17"/>
    </row>
    <row r="478" spans="1:43" s="84" customFormat="1" ht="15" x14ac:dyDescent="0.35">
      <c r="A478" s="80"/>
      <c r="B478" s="81"/>
      <c r="C478" s="82"/>
      <c r="D478" s="82"/>
      <c r="E478" s="82"/>
      <c r="F478" s="82"/>
      <c r="G478" s="83"/>
      <c r="H478" s="82"/>
      <c r="I478" s="82"/>
      <c r="J478" s="82"/>
      <c r="K478" s="82"/>
      <c r="L478" s="76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76"/>
      <c r="Z478" s="82"/>
      <c r="AA478" s="82"/>
      <c r="AB478" s="82"/>
      <c r="AC478" s="82"/>
      <c r="AD478" s="82"/>
      <c r="AE478" s="82"/>
      <c r="AF478" s="82"/>
      <c r="AG478" s="82"/>
      <c r="AH478" s="82"/>
      <c r="AI478" s="82"/>
      <c r="AJ478" s="82"/>
      <c r="AK478" s="82"/>
      <c r="AL478" s="76"/>
      <c r="AM478" s="82"/>
      <c r="AN478" s="82"/>
      <c r="AO478" s="82"/>
      <c r="AP478" s="82"/>
      <c r="AQ478" s="82"/>
    </row>
    <row r="479" spans="1:43" ht="15" x14ac:dyDescent="0.35">
      <c r="A479" s="85"/>
      <c r="B479" s="86"/>
      <c r="C479" s="87"/>
      <c r="D479" s="87"/>
      <c r="E479" s="87"/>
      <c r="F479" s="87"/>
      <c r="G479" s="88"/>
      <c r="H479" s="87"/>
      <c r="I479" s="87"/>
      <c r="J479" s="87"/>
      <c r="K479" s="8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M479" s="17"/>
      <c r="AN479" s="17"/>
      <c r="AO479" s="17"/>
      <c r="AP479" s="17"/>
      <c r="AQ479" s="17"/>
    </row>
    <row r="480" spans="1:43" s="84" customFormat="1" ht="15" x14ac:dyDescent="0.35">
      <c r="A480" s="80"/>
      <c r="B480" s="81"/>
      <c r="C480" s="82"/>
      <c r="D480" s="82"/>
      <c r="E480" s="82"/>
      <c r="F480" s="82"/>
      <c r="G480" s="83"/>
      <c r="H480" s="82"/>
      <c r="I480" s="82"/>
      <c r="J480" s="82"/>
      <c r="K480" s="82"/>
      <c r="L480" s="76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76"/>
      <c r="Z480" s="82"/>
      <c r="AA480" s="82"/>
      <c r="AB480" s="82"/>
      <c r="AC480" s="82"/>
      <c r="AD480" s="82"/>
      <c r="AE480" s="82"/>
      <c r="AF480" s="82"/>
      <c r="AG480" s="82"/>
      <c r="AH480" s="82"/>
      <c r="AI480" s="82"/>
      <c r="AJ480" s="82"/>
      <c r="AK480" s="82"/>
      <c r="AL480" s="76"/>
      <c r="AM480" s="82"/>
      <c r="AN480" s="82"/>
      <c r="AO480" s="82"/>
      <c r="AP480" s="82"/>
      <c r="AQ480" s="82"/>
    </row>
    <row r="481" spans="1:43" ht="15" x14ac:dyDescent="0.35">
      <c r="A481" s="85"/>
      <c r="B481" s="86"/>
      <c r="C481" s="87"/>
      <c r="D481" s="87"/>
      <c r="E481" s="87"/>
      <c r="F481" s="87"/>
      <c r="G481" s="88"/>
      <c r="H481" s="87"/>
      <c r="I481" s="87"/>
      <c r="J481" s="87"/>
      <c r="K481" s="8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M481" s="17"/>
      <c r="AN481" s="17"/>
      <c r="AO481" s="17"/>
      <c r="AP481" s="17"/>
      <c r="AQ481" s="17"/>
    </row>
    <row r="482" spans="1:43" s="84" customFormat="1" ht="15" x14ac:dyDescent="0.35">
      <c r="A482" s="80"/>
      <c r="B482" s="81"/>
      <c r="C482" s="82"/>
      <c r="D482" s="82"/>
      <c r="E482" s="82"/>
      <c r="F482" s="82"/>
      <c r="G482" s="83"/>
      <c r="H482" s="82"/>
      <c r="I482" s="82"/>
      <c r="J482" s="82"/>
      <c r="K482" s="82"/>
      <c r="L482" s="76"/>
      <c r="M482" s="82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76"/>
      <c r="Z482" s="82"/>
      <c r="AA482" s="82"/>
      <c r="AB482" s="82"/>
      <c r="AC482" s="82"/>
      <c r="AD482" s="82"/>
      <c r="AE482" s="82"/>
      <c r="AF482" s="82"/>
      <c r="AG482" s="82"/>
      <c r="AH482" s="82"/>
      <c r="AI482" s="82"/>
      <c r="AJ482" s="82"/>
      <c r="AK482" s="82"/>
      <c r="AL482" s="76"/>
      <c r="AM482" s="82"/>
      <c r="AN482" s="82"/>
      <c r="AO482" s="82"/>
      <c r="AP482" s="82"/>
      <c r="AQ482" s="82"/>
    </row>
    <row r="483" spans="1:43" ht="15" x14ac:dyDescent="0.35">
      <c r="A483" s="85"/>
      <c r="B483" s="86"/>
      <c r="C483" s="87"/>
      <c r="D483" s="87"/>
      <c r="E483" s="87"/>
      <c r="F483" s="87"/>
      <c r="G483" s="88"/>
      <c r="H483" s="87"/>
      <c r="I483" s="87"/>
      <c r="J483" s="87"/>
      <c r="K483" s="8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M483" s="17"/>
      <c r="AN483" s="17"/>
      <c r="AO483" s="17"/>
      <c r="AP483" s="17"/>
      <c r="AQ483" s="17"/>
    </row>
    <row r="484" spans="1:43" s="84" customFormat="1" ht="15" x14ac:dyDescent="0.35">
      <c r="A484" s="80"/>
      <c r="B484" s="81"/>
      <c r="C484" s="82"/>
      <c r="D484" s="82"/>
      <c r="E484" s="82"/>
      <c r="F484" s="82"/>
      <c r="G484" s="83"/>
      <c r="H484" s="82"/>
      <c r="I484" s="82"/>
      <c r="J484" s="82"/>
      <c r="K484" s="82"/>
      <c r="L484" s="76"/>
      <c r="M484" s="82"/>
      <c r="N484" s="82"/>
      <c r="O484" s="82"/>
      <c r="P484" s="82"/>
      <c r="Q484" s="82"/>
      <c r="R484" s="82"/>
      <c r="S484" s="82"/>
      <c r="T484" s="82"/>
      <c r="U484" s="82"/>
      <c r="V484" s="82"/>
      <c r="W484" s="82"/>
      <c r="X484" s="82"/>
      <c r="Y484" s="76"/>
      <c r="Z484" s="82"/>
      <c r="AA484" s="82"/>
      <c r="AB484" s="82"/>
      <c r="AC484" s="82"/>
      <c r="AD484" s="82"/>
      <c r="AE484" s="82"/>
      <c r="AF484" s="82"/>
      <c r="AG484" s="82"/>
      <c r="AH484" s="82"/>
      <c r="AI484" s="82"/>
      <c r="AJ484" s="82"/>
      <c r="AK484" s="82"/>
      <c r="AL484" s="76"/>
      <c r="AM484" s="82"/>
      <c r="AN484" s="82"/>
      <c r="AO484" s="82"/>
      <c r="AP484" s="82"/>
      <c r="AQ484" s="82"/>
    </row>
    <row r="485" spans="1:43" ht="15" x14ac:dyDescent="0.35">
      <c r="A485" s="85"/>
      <c r="B485" s="86"/>
      <c r="C485" s="87"/>
      <c r="D485" s="87"/>
      <c r="E485" s="87"/>
      <c r="F485" s="87"/>
      <c r="G485" s="88"/>
      <c r="H485" s="87"/>
      <c r="I485" s="87"/>
      <c r="J485" s="87"/>
      <c r="K485" s="8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M485" s="17"/>
      <c r="AN485" s="17"/>
      <c r="AO485" s="17"/>
      <c r="AP485" s="17"/>
      <c r="AQ485" s="17"/>
    </row>
    <row r="486" spans="1:43" s="84" customFormat="1" ht="15" x14ac:dyDescent="0.35">
      <c r="A486" s="80"/>
      <c r="B486" s="81"/>
      <c r="C486" s="82"/>
      <c r="D486" s="82"/>
      <c r="E486" s="82"/>
      <c r="F486" s="82"/>
      <c r="G486" s="83"/>
      <c r="H486" s="82"/>
      <c r="I486" s="82"/>
      <c r="J486" s="82"/>
      <c r="K486" s="82"/>
      <c r="L486" s="76"/>
      <c r="M486" s="82"/>
      <c r="N486" s="82"/>
      <c r="O486" s="82"/>
      <c r="P486" s="82"/>
      <c r="Q486" s="82"/>
      <c r="R486" s="82"/>
      <c r="S486" s="82"/>
      <c r="T486" s="82"/>
      <c r="U486" s="82"/>
      <c r="V486" s="82"/>
      <c r="W486" s="82"/>
      <c r="X486" s="82"/>
      <c r="Y486" s="76"/>
      <c r="Z486" s="82"/>
      <c r="AA486" s="82"/>
      <c r="AB486" s="82"/>
      <c r="AC486" s="82"/>
      <c r="AD486" s="82"/>
      <c r="AE486" s="82"/>
      <c r="AF486" s="82"/>
      <c r="AG486" s="82"/>
      <c r="AH486" s="82"/>
      <c r="AI486" s="82"/>
      <c r="AJ486" s="82"/>
      <c r="AK486" s="82"/>
      <c r="AL486" s="76"/>
      <c r="AM486" s="82"/>
      <c r="AN486" s="82"/>
      <c r="AO486" s="82"/>
      <c r="AP486" s="82"/>
      <c r="AQ486" s="82"/>
    </row>
    <row r="487" spans="1:43" ht="15" x14ac:dyDescent="0.35">
      <c r="A487" s="85"/>
      <c r="B487" s="86"/>
      <c r="C487" s="87"/>
      <c r="D487" s="87"/>
      <c r="E487" s="87"/>
      <c r="F487" s="87"/>
      <c r="G487" s="88"/>
      <c r="H487" s="87"/>
      <c r="I487" s="87"/>
      <c r="J487" s="87"/>
      <c r="K487" s="8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M487" s="17"/>
      <c r="AN487" s="17"/>
      <c r="AO487" s="17"/>
      <c r="AP487" s="17"/>
      <c r="AQ487" s="17"/>
    </row>
    <row r="488" spans="1:43" s="84" customFormat="1" ht="15" x14ac:dyDescent="0.35">
      <c r="A488" s="80"/>
      <c r="B488" s="81"/>
      <c r="C488" s="82"/>
      <c r="D488" s="82"/>
      <c r="E488" s="82"/>
      <c r="F488" s="82"/>
      <c r="G488" s="83"/>
      <c r="H488" s="82"/>
      <c r="I488" s="82"/>
      <c r="J488" s="82"/>
      <c r="K488" s="82"/>
      <c r="L488" s="76"/>
      <c r="M488" s="82"/>
      <c r="N488" s="82"/>
      <c r="O488" s="82"/>
      <c r="P488" s="82"/>
      <c r="Q488" s="82"/>
      <c r="R488" s="82"/>
      <c r="S488" s="82"/>
      <c r="T488" s="82"/>
      <c r="U488" s="82"/>
      <c r="V488" s="82"/>
      <c r="W488" s="82"/>
      <c r="X488" s="82"/>
      <c r="Y488" s="76"/>
      <c r="Z488" s="82"/>
      <c r="AA488" s="82"/>
      <c r="AB488" s="82"/>
      <c r="AC488" s="82"/>
      <c r="AD488" s="82"/>
      <c r="AE488" s="82"/>
      <c r="AF488" s="82"/>
      <c r="AG488" s="82"/>
      <c r="AH488" s="82"/>
      <c r="AI488" s="82"/>
      <c r="AJ488" s="82"/>
      <c r="AK488" s="82"/>
      <c r="AL488" s="76"/>
      <c r="AM488" s="82"/>
      <c r="AN488" s="82"/>
      <c r="AO488" s="82"/>
      <c r="AP488" s="82"/>
      <c r="AQ488" s="82"/>
    </row>
    <row r="489" spans="1:43" ht="15" x14ac:dyDescent="0.35">
      <c r="A489" s="85"/>
      <c r="B489" s="86"/>
      <c r="C489" s="87"/>
      <c r="D489" s="87"/>
      <c r="E489" s="87"/>
      <c r="F489" s="87"/>
      <c r="G489" s="88"/>
      <c r="H489" s="87"/>
      <c r="I489" s="87"/>
      <c r="J489" s="87"/>
      <c r="K489" s="8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M489" s="17"/>
      <c r="AN489" s="17"/>
      <c r="AO489" s="17"/>
      <c r="AP489" s="17"/>
      <c r="AQ489" s="17"/>
    </row>
    <row r="490" spans="1:43" s="84" customFormat="1" ht="15" x14ac:dyDescent="0.35">
      <c r="A490" s="80"/>
      <c r="B490" s="81"/>
      <c r="C490" s="82"/>
      <c r="D490" s="82"/>
      <c r="E490" s="82"/>
      <c r="F490" s="82"/>
      <c r="G490" s="83"/>
      <c r="H490" s="82"/>
      <c r="I490" s="82"/>
      <c r="J490" s="82"/>
      <c r="K490" s="82"/>
      <c r="L490" s="76"/>
      <c r="M490" s="82"/>
      <c r="N490" s="82"/>
      <c r="O490" s="82"/>
      <c r="P490" s="82"/>
      <c r="Q490" s="82"/>
      <c r="R490" s="82"/>
      <c r="S490" s="82"/>
      <c r="T490" s="82"/>
      <c r="U490" s="82"/>
      <c r="V490" s="82"/>
      <c r="W490" s="82"/>
      <c r="X490" s="82"/>
      <c r="Y490" s="76"/>
      <c r="Z490" s="82"/>
      <c r="AA490" s="82"/>
      <c r="AB490" s="82"/>
      <c r="AC490" s="82"/>
      <c r="AD490" s="82"/>
      <c r="AE490" s="82"/>
      <c r="AF490" s="82"/>
      <c r="AG490" s="82"/>
      <c r="AH490" s="82"/>
      <c r="AI490" s="82"/>
      <c r="AJ490" s="82"/>
      <c r="AK490" s="82"/>
      <c r="AL490" s="76"/>
      <c r="AM490" s="82"/>
      <c r="AN490" s="82"/>
      <c r="AO490" s="82"/>
      <c r="AP490" s="82"/>
      <c r="AQ490" s="82"/>
    </row>
    <row r="491" spans="1:43" ht="15" x14ac:dyDescent="0.35">
      <c r="A491" s="85"/>
      <c r="B491" s="86"/>
      <c r="C491" s="87"/>
      <c r="D491" s="87"/>
      <c r="E491" s="87"/>
      <c r="F491" s="87"/>
      <c r="G491" s="88"/>
      <c r="H491" s="87"/>
      <c r="I491" s="87"/>
      <c r="J491" s="87"/>
      <c r="K491" s="8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M491" s="17"/>
      <c r="AN491" s="17"/>
      <c r="AO491" s="17"/>
      <c r="AP491" s="17"/>
      <c r="AQ491" s="17"/>
    </row>
    <row r="492" spans="1:43" s="84" customFormat="1" ht="15" x14ac:dyDescent="0.35">
      <c r="A492" s="80"/>
      <c r="B492" s="81"/>
      <c r="C492" s="82"/>
      <c r="D492" s="82"/>
      <c r="E492" s="82"/>
      <c r="F492" s="82"/>
      <c r="G492" s="83"/>
      <c r="H492" s="82"/>
      <c r="I492" s="82"/>
      <c r="J492" s="82"/>
      <c r="K492" s="82"/>
      <c r="L492" s="76"/>
      <c r="M492" s="82"/>
      <c r="N492" s="82"/>
      <c r="O492" s="82"/>
      <c r="P492" s="82"/>
      <c r="Q492" s="82"/>
      <c r="R492" s="82"/>
      <c r="S492" s="82"/>
      <c r="T492" s="82"/>
      <c r="U492" s="82"/>
      <c r="V492" s="82"/>
      <c r="W492" s="82"/>
      <c r="X492" s="82"/>
      <c r="Y492" s="76"/>
      <c r="Z492" s="82"/>
      <c r="AA492" s="82"/>
      <c r="AB492" s="82"/>
      <c r="AC492" s="82"/>
      <c r="AD492" s="82"/>
      <c r="AE492" s="82"/>
      <c r="AF492" s="82"/>
      <c r="AG492" s="82"/>
      <c r="AH492" s="82"/>
      <c r="AI492" s="82"/>
      <c r="AJ492" s="82"/>
      <c r="AK492" s="82"/>
      <c r="AL492" s="76"/>
      <c r="AM492" s="82"/>
      <c r="AN492" s="82"/>
      <c r="AO492" s="82"/>
      <c r="AP492" s="82"/>
      <c r="AQ492" s="82"/>
    </row>
    <row r="493" spans="1:43" ht="15" x14ac:dyDescent="0.35">
      <c r="A493" s="85"/>
      <c r="B493" s="86"/>
      <c r="C493" s="87"/>
      <c r="D493" s="87"/>
      <c r="E493" s="87"/>
      <c r="F493" s="87"/>
      <c r="G493" s="88"/>
      <c r="H493" s="87"/>
      <c r="I493" s="87"/>
      <c r="J493" s="87"/>
      <c r="K493" s="8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M493" s="17"/>
      <c r="AN493" s="17"/>
      <c r="AO493" s="17"/>
      <c r="AP493" s="17"/>
      <c r="AQ493" s="17"/>
    </row>
    <row r="494" spans="1:43" s="84" customFormat="1" ht="15" x14ac:dyDescent="0.35">
      <c r="A494" s="80"/>
      <c r="B494" s="81"/>
      <c r="C494" s="82"/>
      <c r="D494" s="82"/>
      <c r="E494" s="82"/>
      <c r="F494" s="82"/>
      <c r="G494" s="83"/>
      <c r="H494" s="82"/>
      <c r="I494" s="82"/>
      <c r="J494" s="82"/>
      <c r="K494" s="82"/>
      <c r="L494" s="76"/>
      <c r="M494" s="82"/>
      <c r="N494" s="82"/>
      <c r="O494" s="82"/>
      <c r="P494" s="82"/>
      <c r="Q494" s="82"/>
      <c r="R494" s="82"/>
      <c r="S494" s="82"/>
      <c r="T494" s="82"/>
      <c r="U494" s="82"/>
      <c r="V494" s="82"/>
      <c r="W494" s="82"/>
      <c r="X494" s="82"/>
      <c r="Y494" s="76"/>
      <c r="Z494" s="82"/>
      <c r="AA494" s="82"/>
      <c r="AB494" s="82"/>
      <c r="AC494" s="82"/>
      <c r="AD494" s="82"/>
      <c r="AE494" s="82"/>
      <c r="AF494" s="82"/>
      <c r="AG494" s="82"/>
      <c r="AH494" s="82"/>
      <c r="AI494" s="82"/>
      <c r="AJ494" s="82"/>
      <c r="AK494" s="82"/>
      <c r="AL494" s="76"/>
      <c r="AM494" s="82"/>
      <c r="AN494" s="82"/>
      <c r="AO494" s="82"/>
      <c r="AP494" s="82"/>
      <c r="AQ494" s="82"/>
    </row>
    <row r="495" spans="1:43" ht="15" x14ac:dyDescent="0.35">
      <c r="A495" s="85"/>
      <c r="B495" s="86"/>
      <c r="C495" s="87"/>
      <c r="D495" s="87"/>
      <c r="E495" s="87"/>
      <c r="F495" s="87"/>
      <c r="G495" s="88"/>
      <c r="H495" s="87"/>
      <c r="I495" s="87"/>
      <c r="J495" s="87"/>
      <c r="K495" s="8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M495" s="17"/>
      <c r="AN495" s="17"/>
      <c r="AO495" s="17"/>
      <c r="AP495" s="17"/>
      <c r="AQ495" s="17"/>
    </row>
    <row r="496" spans="1:43" s="84" customFormat="1" ht="15" x14ac:dyDescent="0.35">
      <c r="A496" s="80"/>
      <c r="B496" s="81"/>
      <c r="C496" s="82"/>
      <c r="D496" s="82"/>
      <c r="E496" s="82"/>
      <c r="F496" s="82"/>
      <c r="G496" s="83"/>
      <c r="H496" s="82"/>
      <c r="I496" s="82"/>
      <c r="J496" s="82"/>
      <c r="K496" s="82"/>
      <c r="L496" s="76"/>
      <c r="M496" s="82"/>
      <c r="N496" s="82"/>
      <c r="O496" s="82"/>
      <c r="P496" s="82"/>
      <c r="Q496" s="82"/>
      <c r="R496" s="82"/>
      <c r="S496" s="82"/>
      <c r="T496" s="82"/>
      <c r="U496" s="82"/>
      <c r="V496" s="82"/>
      <c r="W496" s="82"/>
      <c r="X496" s="82"/>
      <c r="Y496" s="76"/>
      <c r="Z496" s="82"/>
      <c r="AA496" s="82"/>
      <c r="AB496" s="82"/>
      <c r="AC496" s="82"/>
      <c r="AD496" s="82"/>
      <c r="AE496" s="82"/>
      <c r="AF496" s="82"/>
      <c r="AG496" s="82"/>
      <c r="AH496" s="82"/>
      <c r="AI496" s="82"/>
      <c r="AJ496" s="82"/>
      <c r="AK496" s="82"/>
      <c r="AL496" s="76"/>
      <c r="AM496" s="82"/>
      <c r="AN496" s="82"/>
      <c r="AO496" s="82"/>
      <c r="AP496" s="82"/>
      <c r="AQ496" s="82"/>
    </row>
    <row r="497" spans="1:43" ht="15" x14ac:dyDescent="0.35">
      <c r="A497" s="85"/>
      <c r="B497" s="86"/>
      <c r="C497" s="87"/>
      <c r="D497" s="87"/>
      <c r="E497" s="87"/>
      <c r="F497" s="87"/>
      <c r="G497" s="88"/>
      <c r="H497" s="87"/>
      <c r="I497" s="87"/>
      <c r="J497" s="87"/>
      <c r="K497" s="8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M497" s="17"/>
      <c r="AN497" s="17"/>
      <c r="AO497" s="17"/>
      <c r="AP497" s="17"/>
      <c r="AQ497" s="17"/>
    </row>
    <row r="498" spans="1:43" s="84" customFormat="1" ht="15" x14ac:dyDescent="0.35">
      <c r="A498" s="80"/>
      <c r="B498" s="81"/>
      <c r="C498" s="82"/>
      <c r="D498" s="82"/>
      <c r="E498" s="82"/>
      <c r="F498" s="82"/>
      <c r="G498" s="83"/>
      <c r="H498" s="82"/>
      <c r="I498" s="82"/>
      <c r="J498" s="82"/>
      <c r="K498" s="82"/>
      <c r="L498" s="76"/>
      <c r="M498" s="82"/>
      <c r="N498" s="82"/>
      <c r="O498" s="82"/>
      <c r="P498" s="82"/>
      <c r="Q498" s="82"/>
      <c r="R498" s="82"/>
      <c r="S498" s="82"/>
      <c r="T498" s="82"/>
      <c r="U498" s="82"/>
      <c r="V498" s="82"/>
      <c r="W498" s="82"/>
      <c r="X498" s="82"/>
      <c r="Y498" s="76"/>
      <c r="Z498" s="82"/>
      <c r="AA498" s="82"/>
      <c r="AB498" s="82"/>
      <c r="AC498" s="82"/>
      <c r="AD498" s="82"/>
      <c r="AE498" s="82"/>
      <c r="AF498" s="82"/>
      <c r="AG498" s="82"/>
      <c r="AH498" s="82"/>
      <c r="AI498" s="82"/>
      <c r="AJ498" s="82"/>
      <c r="AK498" s="82"/>
      <c r="AL498" s="76"/>
      <c r="AM498" s="82"/>
      <c r="AN498" s="82"/>
      <c r="AO498" s="82"/>
      <c r="AP498" s="82"/>
      <c r="AQ498" s="82"/>
    </row>
    <row r="499" spans="1:43" ht="15" x14ac:dyDescent="0.35">
      <c r="A499" s="85"/>
      <c r="B499" s="86"/>
      <c r="C499" s="87"/>
      <c r="D499" s="87"/>
      <c r="E499" s="87"/>
      <c r="F499" s="87"/>
      <c r="G499" s="88"/>
      <c r="H499" s="87"/>
      <c r="I499" s="87"/>
      <c r="J499" s="87"/>
      <c r="K499" s="8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M499" s="17"/>
      <c r="AN499" s="17"/>
      <c r="AO499" s="17"/>
      <c r="AP499" s="17"/>
      <c r="AQ499" s="17"/>
    </row>
    <row r="500" spans="1:43" s="84" customFormat="1" ht="15" x14ac:dyDescent="0.35">
      <c r="A500" s="80"/>
      <c r="B500" s="81"/>
      <c r="C500" s="82"/>
      <c r="D500" s="82"/>
      <c r="E500" s="82"/>
      <c r="F500" s="82"/>
      <c r="G500" s="83"/>
      <c r="H500" s="82"/>
      <c r="I500" s="82"/>
      <c r="J500" s="82"/>
      <c r="K500" s="82"/>
      <c r="L500" s="76"/>
      <c r="M500" s="82"/>
      <c r="N500" s="82"/>
      <c r="O500" s="82"/>
      <c r="P500" s="82"/>
      <c r="Q500" s="82"/>
      <c r="R500" s="82"/>
      <c r="S500" s="82"/>
      <c r="T500" s="82"/>
      <c r="U500" s="82"/>
      <c r="V500" s="82"/>
      <c r="W500" s="82"/>
      <c r="X500" s="82"/>
      <c r="Y500" s="76"/>
      <c r="Z500" s="82"/>
      <c r="AA500" s="82"/>
      <c r="AB500" s="82"/>
      <c r="AC500" s="82"/>
      <c r="AD500" s="82"/>
      <c r="AE500" s="82"/>
      <c r="AF500" s="82"/>
      <c r="AG500" s="82"/>
      <c r="AH500" s="82"/>
      <c r="AI500" s="82"/>
      <c r="AJ500" s="82"/>
      <c r="AK500" s="82"/>
      <c r="AL500" s="76"/>
      <c r="AM500" s="82"/>
      <c r="AN500" s="82"/>
      <c r="AO500" s="82"/>
      <c r="AP500" s="82"/>
      <c r="AQ500" s="82"/>
    </row>
    <row r="501" spans="1:43" ht="15" x14ac:dyDescent="0.35">
      <c r="A501" s="85"/>
      <c r="B501" s="86"/>
      <c r="C501" s="87"/>
      <c r="D501" s="87"/>
      <c r="E501" s="87"/>
      <c r="F501" s="87"/>
      <c r="G501" s="88"/>
      <c r="H501" s="87"/>
      <c r="I501" s="87"/>
      <c r="J501" s="87"/>
      <c r="K501" s="8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M501" s="17"/>
      <c r="AN501" s="17"/>
      <c r="AO501" s="17"/>
      <c r="AP501" s="17"/>
      <c r="AQ501" s="17"/>
    </row>
    <row r="502" spans="1:43" s="84" customFormat="1" ht="15" x14ac:dyDescent="0.35">
      <c r="A502" s="80"/>
      <c r="B502" s="81"/>
      <c r="C502" s="82"/>
      <c r="D502" s="82"/>
      <c r="E502" s="82"/>
      <c r="F502" s="82"/>
      <c r="G502" s="83"/>
      <c r="H502" s="82"/>
      <c r="I502" s="82"/>
      <c r="J502" s="82"/>
      <c r="K502" s="82"/>
      <c r="L502" s="76"/>
      <c r="M502" s="82"/>
      <c r="N502" s="82"/>
      <c r="O502" s="82"/>
      <c r="P502" s="82"/>
      <c r="Q502" s="82"/>
      <c r="R502" s="82"/>
      <c r="S502" s="82"/>
      <c r="T502" s="82"/>
      <c r="U502" s="82"/>
      <c r="V502" s="82"/>
      <c r="W502" s="82"/>
      <c r="X502" s="82"/>
      <c r="Y502" s="76"/>
      <c r="Z502" s="82"/>
      <c r="AA502" s="82"/>
      <c r="AB502" s="82"/>
      <c r="AC502" s="82"/>
      <c r="AD502" s="82"/>
      <c r="AE502" s="82"/>
      <c r="AF502" s="82"/>
      <c r="AG502" s="82"/>
      <c r="AH502" s="82"/>
      <c r="AI502" s="82"/>
      <c r="AJ502" s="82"/>
      <c r="AK502" s="82"/>
      <c r="AL502" s="76"/>
      <c r="AM502" s="82"/>
      <c r="AN502" s="82"/>
      <c r="AO502" s="82"/>
      <c r="AP502" s="82"/>
      <c r="AQ502" s="82"/>
    </row>
    <row r="503" spans="1:43" ht="15" x14ac:dyDescent="0.35">
      <c r="A503" s="85"/>
      <c r="B503" s="86"/>
      <c r="C503" s="87"/>
      <c r="D503" s="87"/>
      <c r="E503" s="87"/>
      <c r="F503" s="87"/>
      <c r="G503" s="88"/>
      <c r="H503" s="87"/>
      <c r="I503" s="87"/>
      <c r="J503" s="87"/>
      <c r="K503" s="8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M503" s="17"/>
      <c r="AN503" s="17"/>
      <c r="AO503" s="17"/>
      <c r="AP503" s="17"/>
      <c r="AQ503" s="17"/>
    </row>
    <row r="504" spans="1:43" s="84" customFormat="1" ht="15" x14ac:dyDescent="0.35">
      <c r="A504" s="80"/>
      <c r="B504" s="81"/>
      <c r="C504" s="82"/>
      <c r="D504" s="82"/>
      <c r="E504" s="82"/>
      <c r="F504" s="82"/>
      <c r="G504" s="83"/>
      <c r="H504" s="82"/>
      <c r="I504" s="82"/>
      <c r="J504" s="82"/>
      <c r="K504" s="82"/>
      <c r="L504" s="76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76"/>
      <c r="Z504" s="82"/>
      <c r="AA504" s="82"/>
      <c r="AB504" s="82"/>
      <c r="AC504" s="82"/>
      <c r="AD504" s="82"/>
      <c r="AE504" s="82"/>
      <c r="AF504" s="82"/>
      <c r="AG504" s="82"/>
      <c r="AH504" s="82"/>
      <c r="AI504" s="82"/>
      <c r="AJ504" s="82"/>
      <c r="AK504" s="82"/>
      <c r="AL504" s="76"/>
      <c r="AM504" s="82"/>
      <c r="AN504" s="82"/>
      <c r="AO504" s="82"/>
      <c r="AP504" s="82"/>
      <c r="AQ504" s="82"/>
    </row>
    <row r="505" spans="1:43" ht="15" x14ac:dyDescent="0.35">
      <c r="A505" s="85"/>
      <c r="B505" s="86"/>
      <c r="C505" s="87"/>
      <c r="D505" s="87"/>
      <c r="E505" s="87"/>
      <c r="F505" s="87"/>
      <c r="G505" s="88"/>
      <c r="H505" s="87"/>
      <c r="I505" s="87"/>
      <c r="J505" s="87"/>
      <c r="K505" s="8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M505" s="17"/>
      <c r="AN505" s="17"/>
      <c r="AO505" s="17"/>
      <c r="AP505" s="17"/>
      <c r="AQ505" s="17"/>
    </row>
    <row r="506" spans="1:43" s="84" customFormat="1" ht="15" x14ac:dyDescent="0.35">
      <c r="A506" s="80"/>
      <c r="B506" s="81"/>
      <c r="C506" s="82"/>
      <c r="D506" s="82"/>
      <c r="E506" s="82"/>
      <c r="F506" s="82"/>
      <c r="G506" s="83"/>
      <c r="H506" s="82"/>
      <c r="I506" s="82"/>
      <c r="J506" s="82"/>
      <c r="K506" s="82"/>
      <c r="L506" s="76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76"/>
      <c r="Z506" s="82"/>
      <c r="AA506" s="82"/>
      <c r="AB506" s="82"/>
      <c r="AC506" s="82"/>
      <c r="AD506" s="82"/>
      <c r="AE506" s="82"/>
      <c r="AF506" s="82"/>
      <c r="AG506" s="82"/>
      <c r="AH506" s="82"/>
      <c r="AI506" s="82"/>
      <c r="AJ506" s="82"/>
      <c r="AK506" s="82"/>
      <c r="AL506" s="76"/>
      <c r="AM506" s="82"/>
      <c r="AN506" s="82"/>
      <c r="AO506" s="82"/>
      <c r="AP506" s="82"/>
      <c r="AQ506" s="82"/>
    </row>
    <row r="507" spans="1:43" ht="15" x14ac:dyDescent="0.35">
      <c r="A507" s="85"/>
      <c r="B507" s="86"/>
      <c r="C507" s="87"/>
      <c r="D507" s="87"/>
      <c r="E507" s="87"/>
      <c r="F507" s="87"/>
      <c r="G507" s="88"/>
      <c r="H507" s="87"/>
      <c r="I507" s="87"/>
      <c r="J507" s="87"/>
      <c r="K507" s="8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M507" s="17"/>
      <c r="AN507" s="17"/>
      <c r="AO507" s="17"/>
      <c r="AP507" s="17"/>
      <c r="AQ507" s="17"/>
    </row>
    <row r="508" spans="1:43" s="84" customFormat="1" ht="15" x14ac:dyDescent="0.35">
      <c r="A508" s="80"/>
      <c r="B508" s="81"/>
      <c r="C508" s="82"/>
      <c r="D508" s="82"/>
      <c r="E508" s="82"/>
      <c r="F508" s="82"/>
      <c r="G508" s="83"/>
      <c r="H508" s="82"/>
      <c r="I508" s="82"/>
      <c r="J508" s="82"/>
      <c r="K508" s="82"/>
      <c r="L508" s="76"/>
      <c r="M508" s="82"/>
      <c r="N508" s="82"/>
      <c r="O508" s="82"/>
      <c r="P508" s="82"/>
      <c r="Q508" s="82"/>
      <c r="R508" s="82"/>
      <c r="S508" s="82"/>
      <c r="T508" s="82"/>
      <c r="U508" s="82"/>
      <c r="V508" s="82"/>
      <c r="W508" s="82"/>
      <c r="X508" s="82"/>
      <c r="Y508" s="76"/>
      <c r="Z508" s="82"/>
      <c r="AA508" s="82"/>
      <c r="AB508" s="82"/>
      <c r="AC508" s="82"/>
      <c r="AD508" s="82"/>
      <c r="AE508" s="82"/>
      <c r="AF508" s="82"/>
      <c r="AG508" s="82"/>
      <c r="AH508" s="82"/>
      <c r="AI508" s="82"/>
      <c r="AJ508" s="82"/>
      <c r="AK508" s="82"/>
      <c r="AL508" s="76"/>
      <c r="AM508" s="82"/>
      <c r="AN508" s="82"/>
      <c r="AO508" s="82"/>
      <c r="AP508" s="82"/>
      <c r="AQ508" s="82"/>
    </row>
    <row r="509" spans="1:43" ht="15" x14ac:dyDescent="0.35">
      <c r="A509" s="85"/>
      <c r="B509" s="86"/>
      <c r="C509" s="87"/>
      <c r="D509" s="87"/>
      <c r="E509" s="87"/>
      <c r="F509" s="87"/>
      <c r="G509" s="88"/>
      <c r="H509" s="87"/>
      <c r="I509" s="87"/>
      <c r="J509" s="87"/>
      <c r="K509" s="8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M509" s="17"/>
      <c r="AN509" s="17"/>
      <c r="AO509" s="17"/>
      <c r="AP509" s="17"/>
      <c r="AQ509" s="17"/>
    </row>
    <row r="510" spans="1:43" s="84" customFormat="1" ht="15" x14ac:dyDescent="0.35">
      <c r="A510" s="80"/>
      <c r="B510" s="81"/>
      <c r="C510" s="82"/>
      <c r="D510" s="82"/>
      <c r="E510" s="82"/>
      <c r="F510" s="82"/>
      <c r="G510" s="83"/>
      <c r="H510" s="82"/>
      <c r="I510" s="82"/>
      <c r="J510" s="82"/>
      <c r="K510" s="82"/>
      <c r="L510" s="76"/>
      <c r="M510" s="82"/>
      <c r="N510" s="82"/>
      <c r="O510" s="82"/>
      <c r="P510" s="82"/>
      <c r="Q510" s="82"/>
      <c r="R510" s="82"/>
      <c r="S510" s="82"/>
      <c r="T510" s="82"/>
      <c r="U510" s="82"/>
      <c r="V510" s="82"/>
      <c r="W510" s="82"/>
      <c r="X510" s="82"/>
      <c r="Y510" s="76"/>
      <c r="Z510" s="82"/>
      <c r="AA510" s="82"/>
      <c r="AB510" s="82"/>
      <c r="AC510" s="82"/>
      <c r="AD510" s="82"/>
      <c r="AE510" s="82"/>
      <c r="AF510" s="82"/>
      <c r="AG510" s="82"/>
      <c r="AH510" s="82"/>
      <c r="AI510" s="82"/>
      <c r="AJ510" s="82"/>
      <c r="AK510" s="82"/>
      <c r="AL510" s="76"/>
      <c r="AM510" s="82"/>
      <c r="AN510" s="82"/>
      <c r="AO510" s="82"/>
      <c r="AP510" s="82"/>
      <c r="AQ510" s="82"/>
    </row>
    <row r="511" spans="1:43" ht="15" x14ac:dyDescent="0.35">
      <c r="A511" s="85"/>
      <c r="B511" s="86"/>
      <c r="C511" s="87"/>
      <c r="D511" s="87"/>
      <c r="E511" s="87"/>
      <c r="F511" s="87"/>
      <c r="G511" s="88"/>
      <c r="H511" s="87"/>
      <c r="I511" s="87"/>
      <c r="J511" s="87"/>
      <c r="K511" s="8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M511" s="17"/>
      <c r="AN511" s="17"/>
      <c r="AO511" s="17"/>
      <c r="AP511" s="17"/>
      <c r="AQ511" s="17"/>
    </row>
    <row r="512" spans="1:43" s="84" customFormat="1" ht="15" x14ac:dyDescent="0.35">
      <c r="A512" s="80"/>
      <c r="B512" s="81"/>
      <c r="C512" s="82"/>
      <c r="D512" s="82"/>
      <c r="E512" s="82"/>
      <c r="F512" s="82"/>
      <c r="G512" s="83"/>
      <c r="H512" s="82"/>
      <c r="I512" s="82"/>
      <c r="J512" s="82"/>
      <c r="K512" s="82"/>
      <c r="L512" s="76"/>
      <c r="M512" s="82"/>
      <c r="N512" s="82"/>
      <c r="O512" s="82"/>
      <c r="P512" s="82"/>
      <c r="Q512" s="82"/>
      <c r="R512" s="82"/>
      <c r="S512" s="82"/>
      <c r="T512" s="82"/>
      <c r="U512" s="82"/>
      <c r="V512" s="82"/>
      <c r="W512" s="82"/>
      <c r="X512" s="82"/>
      <c r="Y512" s="76"/>
      <c r="Z512" s="82"/>
      <c r="AA512" s="82"/>
      <c r="AB512" s="82"/>
      <c r="AC512" s="82"/>
      <c r="AD512" s="82"/>
      <c r="AE512" s="82"/>
      <c r="AF512" s="82"/>
      <c r="AG512" s="82"/>
      <c r="AH512" s="82"/>
      <c r="AI512" s="82"/>
      <c r="AJ512" s="82"/>
      <c r="AK512" s="82"/>
      <c r="AL512" s="76"/>
      <c r="AM512" s="82"/>
      <c r="AN512" s="82"/>
      <c r="AO512" s="82"/>
      <c r="AP512" s="82"/>
      <c r="AQ512" s="82"/>
    </row>
    <row r="513" spans="1:43" ht="15" x14ac:dyDescent="0.35">
      <c r="A513" s="85"/>
      <c r="B513" s="86"/>
      <c r="C513" s="87"/>
      <c r="D513" s="87"/>
      <c r="E513" s="87"/>
      <c r="F513" s="87"/>
      <c r="G513" s="88"/>
      <c r="H513" s="87"/>
      <c r="I513" s="87"/>
      <c r="J513" s="87"/>
      <c r="K513" s="8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M513" s="17"/>
      <c r="AN513" s="17"/>
      <c r="AO513" s="17"/>
      <c r="AP513" s="17"/>
      <c r="AQ513" s="17"/>
    </row>
    <row r="514" spans="1:43" s="84" customFormat="1" ht="15" x14ac:dyDescent="0.35">
      <c r="A514" s="80"/>
      <c r="B514" s="81"/>
      <c r="C514" s="82"/>
      <c r="D514" s="82"/>
      <c r="E514" s="82"/>
      <c r="F514" s="82"/>
      <c r="G514" s="83"/>
      <c r="H514" s="82"/>
      <c r="I514" s="82"/>
      <c r="J514" s="82"/>
      <c r="K514" s="82"/>
      <c r="L514" s="76"/>
      <c r="M514" s="82"/>
      <c r="N514" s="82"/>
      <c r="O514" s="82"/>
      <c r="P514" s="82"/>
      <c r="Q514" s="82"/>
      <c r="R514" s="82"/>
      <c r="S514" s="82"/>
      <c r="T514" s="82"/>
      <c r="U514" s="82"/>
      <c r="V514" s="82"/>
      <c r="W514" s="82"/>
      <c r="X514" s="82"/>
      <c r="Y514" s="76"/>
      <c r="Z514" s="82"/>
      <c r="AA514" s="82"/>
      <c r="AB514" s="82"/>
      <c r="AC514" s="82"/>
      <c r="AD514" s="82"/>
      <c r="AE514" s="82"/>
      <c r="AF514" s="82"/>
      <c r="AG514" s="82"/>
      <c r="AH514" s="82"/>
      <c r="AI514" s="82"/>
      <c r="AJ514" s="82"/>
      <c r="AK514" s="82"/>
      <c r="AL514" s="76"/>
      <c r="AM514" s="82"/>
      <c r="AN514" s="82"/>
      <c r="AO514" s="82"/>
      <c r="AP514" s="82"/>
      <c r="AQ514" s="82"/>
    </row>
    <row r="515" spans="1:43" ht="15" x14ac:dyDescent="0.35">
      <c r="A515" s="85"/>
      <c r="B515" s="86"/>
      <c r="C515" s="87"/>
      <c r="D515" s="87"/>
      <c r="E515" s="87"/>
      <c r="F515" s="87"/>
      <c r="G515" s="88"/>
      <c r="H515" s="87"/>
      <c r="I515" s="87"/>
      <c r="J515" s="87"/>
      <c r="K515" s="8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M515" s="17"/>
      <c r="AN515" s="17"/>
      <c r="AO515" s="17"/>
      <c r="AP515" s="17"/>
      <c r="AQ515" s="17"/>
    </row>
    <row r="516" spans="1:43" s="84" customFormat="1" ht="15" x14ac:dyDescent="0.35">
      <c r="A516" s="80"/>
      <c r="B516" s="81"/>
      <c r="C516" s="82"/>
      <c r="D516" s="82"/>
      <c r="E516" s="82"/>
      <c r="F516" s="82"/>
      <c r="G516" s="83"/>
      <c r="H516" s="82"/>
      <c r="I516" s="82"/>
      <c r="J516" s="82"/>
      <c r="K516" s="82"/>
      <c r="L516" s="76"/>
      <c r="M516" s="82"/>
      <c r="N516" s="82"/>
      <c r="O516" s="82"/>
      <c r="P516" s="82"/>
      <c r="Q516" s="82"/>
      <c r="R516" s="82"/>
      <c r="S516" s="82"/>
      <c r="T516" s="82"/>
      <c r="U516" s="82"/>
      <c r="V516" s="82"/>
      <c r="W516" s="82"/>
      <c r="X516" s="82"/>
      <c r="Y516" s="76"/>
      <c r="Z516" s="82"/>
      <c r="AA516" s="82"/>
      <c r="AB516" s="82"/>
      <c r="AC516" s="82"/>
      <c r="AD516" s="82"/>
      <c r="AE516" s="82"/>
      <c r="AF516" s="82"/>
      <c r="AG516" s="82"/>
      <c r="AH516" s="82"/>
      <c r="AI516" s="82"/>
      <c r="AJ516" s="82"/>
      <c r="AK516" s="82"/>
      <c r="AL516" s="76"/>
      <c r="AM516" s="82"/>
      <c r="AN516" s="82"/>
      <c r="AO516" s="82"/>
      <c r="AP516" s="82"/>
      <c r="AQ516" s="82"/>
    </row>
    <row r="517" spans="1:43" ht="15" x14ac:dyDescent="0.35">
      <c r="A517" s="85"/>
      <c r="B517" s="86"/>
      <c r="C517" s="87"/>
      <c r="D517" s="87"/>
      <c r="E517" s="87"/>
      <c r="F517" s="87"/>
      <c r="G517" s="88"/>
      <c r="H517" s="87"/>
      <c r="I517" s="87"/>
      <c r="J517" s="87"/>
      <c r="K517" s="8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M517" s="17"/>
      <c r="AN517" s="17"/>
      <c r="AO517" s="17"/>
      <c r="AP517" s="17"/>
      <c r="AQ517" s="17"/>
    </row>
    <row r="518" spans="1:43" s="84" customFormat="1" ht="15" x14ac:dyDescent="0.35">
      <c r="A518" s="80"/>
      <c r="B518" s="81"/>
      <c r="C518" s="82"/>
      <c r="D518" s="82"/>
      <c r="E518" s="82"/>
      <c r="F518" s="82"/>
      <c r="G518" s="83"/>
      <c r="H518" s="82"/>
      <c r="I518" s="82"/>
      <c r="J518" s="82"/>
      <c r="K518" s="82"/>
      <c r="L518" s="76"/>
      <c r="M518" s="82"/>
      <c r="N518" s="82"/>
      <c r="O518" s="82"/>
      <c r="P518" s="82"/>
      <c r="Q518" s="82"/>
      <c r="R518" s="82"/>
      <c r="S518" s="82"/>
      <c r="T518" s="82"/>
      <c r="U518" s="82"/>
      <c r="V518" s="82"/>
      <c r="W518" s="82"/>
      <c r="X518" s="82"/>
      <c r="Y518" s="76"/>
      <c r="Z518" s="82"/>
      <c r="AA518" s="82"/>
      <c r="AB518" s="82"/>
      <c r="AC518" s="82"/>
      <c r="AD518" s="82"/>
      <c r="AE518" s="82"/>
      <c r="AF518" s="82"/>
      <c r="AG518" s="82"/>
      <c r="AH518" s="82"/>
      <c r="AI518" s="82"/>
      <c r="AJ518" s="82"/>
      <c r="AK518" s="82"/>
      <c r="AL518" s="76"/>
      <c r="AM518" s="82"/>
      <c r="AN518" s="82"/>
      <c r="AO518" s="82"/>
      <c r="AP518" s="82"/>
      <c r="AQ518" s="82"/>
    </row>
    <row r="519" spans="1:43" ht="15" x14ac:dyDescent="0.35">
      <c r="A519" s="85"/>
      <c r="B519" s="86"/>
      <c r="C519" s="87"/>
      <c r="D519" s="87"/>
      <c r="E519" s="87"/>
      <c r="F519" s="87"/>
      <c r="G519" s="88"/>
      <c r="H519" s="87"/>
      <c r="I519" s="87"/>
      <c r="J519" s="87"/>
      <c r="K519" s="8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M519" s="17"/>
      <c r="AN519" s="17"/>
      <c r="AO519" s="17"/>
      <c r="AP519" s="17"/>
      <c r="AQ519" s="17"/>
    </row>
    <row r="520" spans="1:43" s="84" customFormat="1" ht="15" x14ac:dyDescent="0.35">
      <c r="A520" s="80"/>
      <c r="B520" s="81"/>
      <c r="C520" s="82"/>
      <c r="D520" s="82"/>
      <c r="E520" s="82"/>
      <c r="F520" s="82"/>
      <c r="G520" s="83"/>
      <c r="H520" s="82"/>
      <c r="I520" s="82"/>
      <c r="J520" s="82"/>
      <c r="K520" s="82"/>
      <c r="L520" s="76"/>
      <c r="M520" s="82"/>
      <c r="N520" s="82"/>
      <c r="O520" s="82"/>
      <c r="P520" s="82"/>
      <c r="Q520" s="82"/>
      <c r="R520" s="82"/>
      <c r="S520" s="82"/>
      <c r="T520" s="82"/>
      <c r="U520" s="82"/>
      <c r="V520" s="82"/>
      <c r="W520" s="82"/>
      <c r="X520" s="82"/>
      <c r="Y520" s="76"/>
      <c r="Z520" s="82"/>
      <c r="AA520" s="82"/>
      <c r="AB520" s="82"/>
      <c r="AC520" s="82"/>
      <c r="AD520" s="82"/>
      <c r="AE520" s="82"/>
      <c r="AF520" s="82"/>
      <c r="AG520" s="82"/>
      <c r="AH520" s="82"/>
      <c r="AI520" s="82"/>
      <c r="AJ520" s="82"/>
      <c r="AK520" s="82"/>
      <c r="AL520" s="76"/>
      <c r="AM520" s="82"/>
      <c r="AN520" s="82"/>
      <c r="AO520" s="82"/>
      <c r="AP520" s="82"/>
      <c r="AQ520" s="82"/>
    </row>
    <row r="521" spans="1:43" ht="15" x14ac:dyDescent="0.35">
      <c r="A521" s="85"/>
      <c r="B521" s="86"/>
      <c r="C521" s="87"/>
      <c r="D521" s="87"/>
      <c r="E521" s="87"/>
      <c r="F521" s="87"/>
      <c r="G521" s="88"/>
      <c r="H521" s="87"/>
      <c r="I521" s="87"/>
      <c r="J521" s="87"/>
      <c r="K521" s="8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M521" s="17"/>
      <c r="AN521" s="17"/>
      <c r="AO521" s="17"/>
      <c r="AP521" s="17"/>
      <c r="AQ521" s="17"/>
    </row>
    <row r="522" spans="1:43" s="84" customFormat="1" ht="15" x14ac:dyDescent="0.35">
      <c r="A522" s="80"/>
      <c r="B522" s="81"/>
      <c r="C522" s="82"/>
      <c r="D522" s="82"/>
      <c r="E522" s="82"/>
      <c r="F522" s="82"/>
      <c r="G522" s="83"/>
      <c r="H522" s="82"/>
      <c r="I522" s="82"/>
      <c r="J522" s="82"/>
      <c r="K522" s="82"/>
      <c r="L522" s="76"/>
      <c r="M522" s="82"/>
      <c r="N522" s="82"/>
      <c r="O522" s="82"/>
      <c r="P522" s="82"/>
      <c r="Q522" s="82"/>
      <c r="R522" s="82"/>
      <c r="S522" s="82"/>
      <c r="T522" s="82"/>
      <c r="U522" s="82"/>
      <c r="V522" s="82"/>
      <c r="W522" s="82"/>
      <c r="X522" s="82"/>
      <c r="Y522" s="76"/>
      <c r="Z522" s="82"/>
      <c r="AA522" s="82"/>
      <c r="AB522" s="82"/>
      <c r="AC522" s="82"/>
      <c r="AD522" s="82"/>
      <c r="AE522" s="82"/>
      <c r="AF522" s="82"/>
      <c r="AG522" s="82"/>
      <c r="AH522" s="82"/>
      <c r="AI522" s="82"/>
      <c r="AJ522" s="82"/>
      <c r="AK522" s="82"/>
      <c r="AL522" s="76"/>
      <c r="AM522" s="82"/>
      <c r="AN522" s="82"/>
      <c r="AO522" s="82"/>
      <c r="AP522" s="82"/>
      <c r="AQ522" s="82"/>
    </row>
    <row r="523" spans="1:43" ht="15" x14ac:dyDescent="0.35">
      <c r="A523" s="85"/>
      <c r="B523" s="86"/>
      <c r="C523" s="87"/>
      <c r="D523" s="87"/>
      <c r="E523" s="87"/>
      <c r="F523" s="87"/>
      <c r="G523" s="88"/>
      <c r="H523" s="87"/>
      <c r="I523" s="87"/>
      <c r="J523" s="87"/>
      <c r="K523" s="8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M523" s="17"/>
      <c r="AN523" s="17"/>
      <c r="AO523" s="17"/>
      <c r="AP523" s="17"/>
      <c r="AQ523" s="17"/>
    </row>
    <row r="524" spans="1:43" s="84" customFormat="1" ht="15" x14ac:dyDescent="0.35">
      <c r="A524" s="80"/>
      <c r="B524" s="81"/>
      <c r="C524" s="82"/>
      <c r="D524" s="82"/>
      <c r="E524" s="82"/>
      <c r="F524" s="82"/>
      <c r="G524" s="83"/>
      <c r="H524" s="82"/>
      <c r="I524" s="82"/>
      <c r="J524" s="82"/>
      <c r="K524" s="82"/>
      <c r="L524" s="76"/>
      <c r="M524" s="82"/>
      <c r="N524" s="82"/>
      <c r="O524" s="82"/>
      <c r="P524" s="82"/>
      <c r="Q524" s="82"/>
      <c r="R524" s="82"/>
      <c r="S524" s="82"/>
      <c r="T524" s="82"/>
      <c r="U524" s="82"/>
      <c r="V524" s="82"/>
      <c r="W524" s="82"/>
      <c r="X524" s="82"/>
      <c r="Y524" s="76"/>
      <c r="Z524" s="82"/>
      <c r="AA524" s="82"/>
      <c r="AB524" s="82"/>
      <c r="AC524" s="82"/>
      <c r="AD524" s="82"/>
      <c r="AE524" s="82"/>
      <c r="AF524" s="82"/>
      <c r="AG524" s="82"/>
      <c r="AH524" s="82"/>
      <c r="AI524" s="82"/>
      <c r="AJ524" s="82"/>
      <c r="AK524" s="82"/>
      <c r="AL524" s="76"/>
      <c r="AM524" s="82"/>
      <c r="AN524" s="82"/>
      <c r="AO524" s="82"/>
      <c r="AP524" s="82"/>
      <c r="AQ524" s="82"/>
    </row>
    <row r="525" spans="1:43" ht="15" x14ac:dyDescent="0.35">
      <c r="A525" s="85"/>
      <c r="B525" s="86"/>
      <c r="C525" s="87"/>
      <c r="D525" s="87"/>
      <c r="E525" s="87"/>
      <c r="F525" s="87"/>
      <c r="G525" s="88"/>
      <c r="H525" s="87"/>
      <c r="I525" s="87"/>
      <c r="J525" s="87"/>
      <c r="K525" s="8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M525" s="17"/>
      <c r="AN525" s="17"/>
      <c r="AO525" s="17"/>
      <c r="AP525" s="17"/>
      <c r="AQ525" s="17"/>
    </row>
    <row r="526" spans="1:43" s="84" customFormat="1" ht="15" x14ac:dyDescent="0.35">
      <c r="A526" s="80"/>
      <c r="B526" s="81"/>
      <c r="C526" s="82"/>
      <c r="D526" s="82"/>
      <c r="E526" s="82"/>
      <c r="F526" s="82"/>
      <c r="G526" s="83"/>
      <c r="H526" s="82"/>
      <c r="I526" s="82"/>
      <c r="J526" s="82"/>
      <c r="K526" s="82"/>
      <c r="L526" s="76"/>
      <c r="M526" s="82"/>
      <c r="N526" s="82"/>
      <c r="O526" s="82"/>
      <c r="P526" s="82"/>
      <c r="Q526" s="82"/>
      <c r="R526" s="82"/>
      <c r="S526" s="82"/>
      <c r="T526" s="82"/>
      <c r="U526" s="82"/>
      <c r="V526" s="82"/>
      <c r="W526" s="82"/>
      <c r="X526" s="82"/>
      <c r="Y526" s="76"/>
      <c r="Z526" s="82"/>
      <c r="AA526" s="82"/>
      <c r="AB526" s="82"/>
      <c r="AC526" s="82"/>
      <c r="AD526" s="82"/>
      <c r="AE526" s="82"/>
      <c r="AF526" s="82"/>
      <c r="AG526" s="82"/>
      <c r="AH526" s="82"/>
      <c r="AI526" s="82"/>
      <c r="AJ526" s="82"/>
      <c r="AK526" s="82"/>
      <c r="AL526" s="76"/>
      <c r="AM526" s="82"/>
      <c r="AN526" s="82"/>
      <c r="AO526" s="82"/>
      <c r="AP526" s="82"/>
      <c r="AQ526" s="82"/>
    </row>
    <row r="527" spans="1:43" ht="15" x14ac:dyDescent="0.35">
      <c r="A527" s="85"/>
      <c r="B527" s="86"/>
      <c r="C527" s="87"/>
      <c r="D527" s="87"/>
      <c r="E527" s="87"/>
      <c r="F527" s="87"/>
      <c r="G527" s="88"/>
      <c r="H527" s="87"/>
      <c r="I527" s="87"/>
      <c r="J527" s="87"/>
      <c r="K527" s="8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M527" s="17"/>
      <c r="AN527" s="17"/>
      <c r="AO527" s="17"/>
      <c r="AP527" s="17"/>
      <c r="AQ527" s="17"/>
    </row>
    <row r="528" spans="1:43" s="84" customFormat="1" ht="15" x14ac:dyDescent="0.35">
      <c r="A528" s="80"/>
      <c r="B528" s="81"/>
      <c r="C528" s="82"/>
      <c r="D528" s="82"/>
      <c r="E528" s="82"/>
      <c r="F528" s="82"/>
      <c r="G528" s="83"/>
      <c r="H528" s="82"/>
      <c r="I528" s="82"/>
      <c r="J528" s="82"/>
      <c r="K528" s="82"/>
      <c r="L528" s="76"/>
      <c r="M528" s="82"/>
      <c r="N528" s="82"/>
      <c r="O528" s="82"/>
      <c r="P528" s="82"/>
      <c r="Q528" s="82"/>
      <c r="R528" s="82"/>
      <c r="S528" s="82"/>
      <c r="T528" s="82"/>
      <c r="U528" s="82"/>
      <c r="V528" s="82"/>
      <c r="W528" s="82"/>
      <c r="X528" s="82"/>
      <c r="Y528" s="76"/>
      <c r="Z528" s="82"/>
      <c r="AA528" s="82"/>
      <c r="AB528" s="82"/>
      <c r="AC528" s="82"/>
      <c r="AD528" s="82"/>
      <c r="AE528" s="82"/>
      <c r="AF528" s="82"/>
      <c r="AG528" s="82"/>
      <c r="AH528" s="82"/>
      <c r="AI528" s="82"/>
      <c r="AJ528" s="82"/>
      <c r="AK528" s="82"/>
      <c r="AL528" s="76"/>
      <c r="AM528" s="82"/>
      <c r="AN528" s="82"/>
      <c r="AO528" s="82"/>
      <c r="AP528" s="82"/>
      <c r="AQ528" s="82"/>
    </row>
    <row r="529" spans="1:43" ht="15" x14ac:dyDescent="0.35">
      <c r="A529" s="85"/>
      <c r="B529" s="86"/>
      <c r="C529" s="87"/>
      <c r="D529" s="87"/>
      <c r="E529" s="87"/>
      <c r="F529" s="87"/>
      <c r="G529" s="88"/>
      <c r="H529" s="87"/>
      <c r="I529" s="87"/>
      <c r="J529" s="87"/>
      <c r="K529" s="8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M529" s="17"/>
      <c r="AN529" s="17"/>
      <c r="AO529" s="17"/>
      <c r="AP529" s="17"/>
      <c r="AQ529" s="17"/>
    </row>
    <row r="530" spans="1:43" s="84" customFormat="1" ht="15" x14ac:dyDescent="0.35">
      <c r="A530" s="80"/>
      <c r="B530" s="81"/>
      <c r="C530" s="82"/>
      <c r="D530" s="82"/>
      <c r="E530" s="82"/>
      <c r="F530" s="82"/>
      <c r="G530" s="83"/>
      <c r="H530" s="82"/>
      <c r="I530" s="82"/>
      <c r="J530" s="82"/>
      <c r="K530" s="82"/>
      <c r="L530" s="76"/>
      <c r="M530" s="82"/>
      <c r="N530" s="82"/>
      <c r="O530" s="82"/>
      <c r="P530" s="82"/>
      <c r="Q530" s="82"/>
      <c r="R530" s="82"/>
      <c r="S530" s="82"/>
      <c r="T530" s="82"/>
      <c r="U530" s="82"/>
      <c r="V530" s="82"/>
      <c r="W530" s="82"/>
      <c r="X530" s="82"/>
      <c r="Y530" s="76"/>
      <c r="Z530" s="82"/>
      <c r="AA530" s="82"/>
      <c r="AB530" s="82"/>
      <c r="AC530" s="82"/>
      <c r="AD530" s="82"/>
      <c r="AE530" s="82"/>
      <c r="AF530" s="82"/>
      <c r="AG530" s="82"/>
      <c r="AH530" s="82"/>
      <c r="AI530" s="82"/>
      <c r="AJ530" s="82"/>
      <c r="AK530" s="82"/>
      <c r="AL530" s="76"/>
      <c r="AM530" s="82"/>
      <c r="AN530" s="82"/>
      <c r="AO530" s="82"/>
      <c r="AP530" s="82"/>
      <c r="AQ530" s="82"/>
    </row>
    <row r="531" spans="1:43" ht="15" x14ac:dyDescent="0.35">
      <c r="A531" s="85"/>
      <c r="B531" s="86"/>
      <c r="C531" s="87"/>
      <c r="D531" s="87"/>
      <c r="E531" s="87"/>
      <c r="F531" s="87"/>
      <c r="G531" s="88"/>
      <c r="H531" s="87"/>
      <c r="I531" s="87"/>
      <c r="J531" s="87"/>
      <c r="K531" s="8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M531" s="17"/>
      <c r="AN531" s="17"/>
      <c r="AO531" s="17"/>
      <c r="AP531" s="17"/>
      <c r="AQ531" s="17"/>
    </row>
    <row r="532" spans="1:43" s="84" customFormat="1" ht="15" x14ac:dyDescent="0.35">
      <c r="A532" s="80"/>
      <c r="B532" s="81"/>
      <c r="C532" s="82"/>
      <c r="D532" s="82"/>
      <c r="E532" s="82"/>
      <c r="F532" s="82"/>
      <c r="G532" s="83"/>
      <c r="H532" s="82"/>
      <c r="I532" s="82"/>
      <c r="J532" s="82"/>
      <c r="K532" s="82"/>
      <c r="L532" s="76"/>
      <c r="M532" s="82"/>
      <c r="N532" s="82"/>
      <c r="O532" s="82"/>
      <c r="P532" s="82"/>
      <c r="Q532" s="82"/>
      <c r="R532" s="82"/>
      <c r="S532" s="82"/>
      <c r="T532" s="82"/>
      <c r="U532" s="82"/>
      <c r="V532" s="82"/>
      <c r="W532" s="82"/>
      <c r="X532" s="82"/>
      <c r="Y532" s="76"/>
      <c r="Z532" s="82"/>
      <c r="AA532" s="82"/>
      <c r="AB532" s="82"/>
      <c r="AC532" s="82"/>
      <c r="AD532" s="82"/>
      <c r="AE532" s="82"/>
      <c r="AF532" s="82"/>
      <c r="AG532" s="82"/>
      <c r="AH532" s="82"/>
      <c r="AI532" s="82"/>
      <c r="AJ532" s="82"/>
      <c r="AK532" s="82"/>
      <c r="AL532" s="76"/>
      <c r="AM532" s="82"/>
      <c r="AN532" s="82"/>
      <c r="AO532" s="82"/>
      <c r="AP532" s="82"/>
      <c r="AQ532" s="82"/>
    </row>
    <row r="533" spans="1:43" ht="15" x14ac:dyDescent="0.35">
      <c r="A533" s="85"/>
      <c r="B533" s="86"/>
      <c r="C533" s="87"/>
      <c r="D533" s="87"/>
      <c r="E533" s="87"/>
      <c r="F533" s="87"/>
      <c r="G533" s="88"/>
      <c r="H533" s="87"/>
      <c r="I533" s="87"/>
      <c r="J533" s="87"/>
      <c r="K533" s="8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M533" s="17"/>
      <c r="AN533" s="17"/>
      <c r="AO533" s="17"/>
      <c r="AP533" s="17"/>
      <c r="AQ533" s="17"/>
    </row>
    <row r="534" spans="1:43" s="84" customFormat="1" ht="15" x14ac:dyDescent="0.35">
      <c r="A534" s="80"/>
      <c r="B534" s="81"/>
      <c r="C534" s="82"/>
      <c r="D534" s="82"/>
      <c r="E534" s="82"/>
      <c r="F534" s="82"/>
      <c r="G534" s="83"/>
      <c r="H534" s="82"/>
      <c r="I534" s="82"/>
      <c r="J534" s="82"/>
      <c r="K534" s="82"/>
      <c r="L534" s="76"/>
      <c r="M534" s="82"/>
      <c r="N534" s="82"/>
      <c r="O534" s="82"/>
      <c r="P534" s="82"/>
      <c r="Q534" s="82"/>
      <c r="R534" s="82"/>
      <c r="S534" s="82"/>
      <c r="T534" s="82"/>
      <c r="U534" s="82"/>
      <c r="V534" s="82"/>
      <c r="W534" s="82"/>
      <c r="X534" s="82"/>
      <c r="Y534" s="76"/>
      <c r="Z534" s="82"/>
      <c r="AA534" s="82"/>
      <c r="AB534" s="82"/>
      <c r="AC534" s="82"/>
      <c r="AD534" s="82"/>
      <c r="AE534" s="82"/>
      <c r="AF534" s="82"/>
      <c r="AG534" s="82"/>
      <c r="AH534" s="82"/>
      <c r="AI534" s="82"/>
      <c r="AJ534" s="82"/>
      <c r="AK534" s="82"/>
      <c r="AL534" s="76"/>
      <c r="AM534" s="82"/>
      <c r="AN534" s="82"/>
      <c r="AO534" s="82"/>
      <c r="AP534" s="82"/>
      <c r="AQ534" s="82"/>
    </row>
    <row r="535" spans="1:43" ht="15" x14ac:dyDescent="0.35">
      <c r="A535" s="85"/>
      <c r="B535" s="86"/>
      <c r="C535" s="87"/>
      <c r="D535" s="87"/>
      <c r="E535" s="87"/>
      <c r="F535" s="87"/>
      <c r="G535" s="88"/>
      <c r="H535" s="87"/>
      <c r="I535" s="87"/>
      <c r="J535" s="87"/>
      <c r="K535" s="8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M535" s="17"/>
      <c r="AN535" s="17"/>
      <c r="AO535" s="17"/>
      <c r="AP535" s="17"/>
      <c r="AQ535" s="17"/>
    </row>
    <row r="536" spans="1:43" s="84" customFormat="1" ht="15" x14ac:dyDescent="0.35">
      <c r="A536" s="80"/>
      <c r="B536" s="81"/>
      <c r="C536" s="82"/>
      <c r="D536" s="82"/>
      <c r="E536" s="82"/>
      <c r="F536" s="82"/>
      <c r="G536" s="83"/>
      <c r="H536" s="82"/>
      <c r="I536" s="82"/>
      <c r="J536" s="82"/>
      <c r="K536" s="82"/>
      <c r="L536" s="76"/>
      <c r="M536" s="82"/>
      <c r="N536" s="82"/>
      <c r="O536" s="82"/>
      <c r="P536" s="82"/>
      <c r="Q536" s="82"/>
      <c r="R536" s="82"/>
      <c r="S536" s="82"/>
      <c r="T536" s="82"/>
      <c r="U536" s="82"/>
      <c r="V536" s="82"/>
      <c r="W536" s="82"/>
      <c r="X536" s="82"/>
      <c r="Y536" s="76"/>
      <c r="Z536" s="82"/>
      <c r="AA536" s="82"/>
      <c r="AB536" s="82"/>
      <c r="AC536" s="82"/>
      <c r="AD536" s="82"/>
      <c r="AE536" s="82"/>
      <c r="AF536" s="82"/>
      <c r="AG536" s="82"/>
      <c r="AH536" s="82"/>
      <c r="AI536" s="82"/>
      <c r="AJ536" s="82"/>
      <c r="AK536" s="82"/>
      <c r="AL536" s="76"/>
      <c r="AM536" s="82"/>
      <c r="AN536" s="82"/>
      <c r="AO536" s="82"/>
      <c r="AP536" s="82"/>
      <c r="AQ536" s="82"/>
    </row>
    <row r="537" spans="1:43" ht="15" x14ac:dyDescent="0.35">
      <c r="A537" s="85"/>
      <c r="B537" s="86"/>
      <c r="C537" s="87"/>
      <c r="D537" s="87"/>
      <c r="E537" s="87"/>
      <c r="F537" s="87"/>
      <c r="G537" s="88"/>
      <c r="H537" s="87"/>
      <c r="I537" s="87"/>
      <c r="J537" s="87"/>
      <c r="K537" s="8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M537" s="17"/>
      <c r="AN537" s="17"/>
      <c r="AO537" s="17"/>
      <c r="AP537" s="17"/>
      <c r="AQ537" s="17"/>
    </row>
    <row r="538" spans="1:43" s="84" customFormat="1" ht="15" x14ac:dyDescent="0.35">
      <c r="A538" s="80"/>
      <c r="B538" s="81"/>
      <c r="C538" s="82"/>
      <c r="D538" s="82"/>
      <c r="E538" s="82"/>
      <c r="F538" s="82"/>
      <c r="G538" s="83"/>
      <c r="H538" s="82"/>
      <c r="I538" s="82"/>
      <c r="J538" s="82"/>
      <c r="K538" s="82"/>
      <c r="L538" s="76"/>
      <c r="M538" s="82"/>
      <c r="N538" s="82"/>
      <c r="O538" s="82"/>
      <c r="P538" s="82"/>
      <c r="Q538" s="82"/>
      <c r="R538" s="82"/>
      <c r="S538" s="82"/>
      <c r="T538" s="82"/>
      <c r="U538" s="82"/>
      <c r="V538" s="82"/>
      <c r="W538" s="82"/>
      <c r="X538" s="82"/>
      <c r="Y538" s="76"/>
      <c r="Z538" s="82"/>
      <c r="AA538" s="82"/>
      <c r="AB538" s="82"/>
      <c r="AC538" s="82"/>
      <c r="AD538" s="82"/>
      <c r="AE538" s="82"/>
      <c r="AF538" s="82"/>
      <c r="AG538" s="82"/>
      <c r="AH538" s="82"/>
      <c r="AI538" s="82"/>
      <c r="AJ538" s="82"/>
      <c r="AK538" s="82"/>
      <c r="AL538" s="76"/>
      <c r="AM538" s="82"/>
      <c r="AN538" s="82"/>
      <c r="AO538" s="82"/>
      <c r="AP538" s="82"/>
      <c r="AQ538" s="82"/>
    </row>
    <row r="539" spans="1:43" ht="15" x14ac:dyDescent="0.35">
      <c r="A539" s="85"/>
      <c r="B539" s="86"/>
      <c r="C539" s="87"/>
      <c r="D539" s="87"/>
      <c r="E539" s="87"/>
      <c r="F539" s="87"/>
      <c r="G539" s="88"/>
      <c r="H539" s="87"/>
      <c r="I539" s="87"/>
      <c r="J539" s="87"/>
      <c r="K539" s="8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M539" s="17"/>
      <c r="AN539" s="17"/>
      <c r="AO539" s="17"/>
      <c r="AP539" s="17"/>
      <c r="AQ539" s="17"/>
    </row>
    <row r="540" spans="1:43" s="84" customFormat="1" ht="15" x14ac:dyDescent="0.35">
      <c r="A540" s="80"/>
      <c r="B540" s="81"/>
      <c r="C540" s="82"/>
      <c r="D540" s="82"/>
      <c r="E540" s="82"/>
      <c r="F540" s="82"/>
      <c r="G540" s="83"/>
      <c r="H540" s="82"/>
      <c r="I540" s="82"/>
      <c r="J540" s="82"/>
      <c r="K540" s="82"/>
      <c r="L540" s="76"/>
      <c r="M540" s="82"/>
      <c r="N540" s="82"/>
      <c r="O540" s="82"/>
      <c r="P540" s="82"/>
      <c r="Q540" s="82"/>
      <c r="R540" s="82"/>
      <c r="S540" s="82"/>
      <c r="T540" s="82"/>
      <c r="U540" s="82"/>
      <c r="V540" s="82"/>
      <c r="W540" s="82"/>
      <c r="X540" s="82"/>
      <c r="Y540" s="76"/>
      <c r="Z540" s="82"/>
      <c r="AA540" s="82"/>
      <c r="AB540" s="82"/>
      <c r="AC540" s="82"/>
      <c r="AD540" s="82"/>
      <c r="AE540" s="82"/>
      <c r="AF540" s="82"/>
      <c r="AG540" s="82"/>
      <c r="AH540" s="82"/>
      <c r="AI540" s="82"/>
      <c r="AJ540" s="82"/>
      <c r="AK540" s="82"/>
      <c r="AL540" s="76"/>
      <c r="AM540" s="82"/>
      <c r="AN540" s="82"/>
      <c r="AO540" s="82"/>
      <c r="AP540" s="82"/>
      <c r="AQ540" s="82"/>
    </row>
    <row r="541" spans="1:43" ht="15" x14ac:dyDescent="0.35">
      <c r="A541" s="85"/>
      <c r="B541" s="86"/>
      <c r="C541" s="87"/>
      <c r="D541" s="87"/>
      <c r="E541" s="87"/>
      <c r="F541" s="87"/>
      <c r="G541" s="88"/>
      <c r="H541" s="87"/>
      <c r="I541" s="87"/>
      <c r="J541" s="87"/>
      <c r="K541" s="8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M541" s="17"/>
      <c r="AN541" s="17"/>
      <c r="AO541" s="17"/>
      <c r="AP541" s="17"/>
      <c r="AQ541" s="17"/>
    </row>
    <row r="542" spans="1:43" s="84" customFormat="1" ht="15" x14ac:dyDescent="0.35">
      <c r="A542" s="80"/>
      <c r="B542" s="81"/>
      <c r="C542" s="82"/>
      <c r="D542" s="82"/>
      <c r="E542" s="82"/>
      <c r="F542" s="82"/>
      <c r="G542" s="83"/>
      <c r="H542" s="82"/>
      <c r="I542" s="82"/>
      <c r="J542" s="82"/>
      <c r="K542" s="82"/>
      <c r="L542" s="76"/>
      <c r="M542" s="82"/>
      <c r="N542" s="82"/>
      <c r="O542" s="82"/>
      <c r="P542" s="82"/>
      <c r="Q542" s="82"/>
      <c r="R542" s="82"/>
      <c r="S542" s="82"/>
      <c r="T542" s="82"/>
      <c r="U542" s="82"/>
      <c r="V542" s="82"/>
      <c r="W542" s="82"/>
      <c r="X542" s="82"/>
      <c r="Y542" s="76"/>
      <c r="Z542" s="82"/>
      <c r="AA542" s="82"/>
      <c r="AB542" s="82"/>
      <c r="AC542" s="82"/>
      <c r="AD542" s="82"/>
      <c r="AE542" s="82"/>
      <c r="AF542" s="82"/>
      <c r="AG542" s="82"/>
      <c r="AH542" s="82"/>
      <c r="AI542" s="82"/>
      <c r="AJ542" s="82"/>
      <c r="AK542" s="82"/>
      <c r="AL542" s="76"/>
      <c r="AM542" s="82"/>
      <c r="AN542" s="82"/>
      <c r="AO542" s="82"/>
      <c r="AP542" s="82"/>
      <c r="AQ542" s="82"/>
    </row>
    <row r="543" spans="1:43" ht="15" x14ac:dyDescent="0.35">
      <c r="A543" s="85"/>
      <c r="B543" s="86"/>
      <c r="C543" s="87"/>
      <c r="D543" s="87"/>
      <c r="E543" s="87"/>
      <c r="F543" s="87"/>
      <c r="G543" s="88"/>
      <c r="H543" s="87"/>
      <c r="I543" s="87"/>
      <c r="J543" s="87"/>
      <c r="K543" s="8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M543" s="17"/>
      <c r="AN543" s="17"/>
      <c r="AO543" s="17"/>
      <c r="AP543" s="17"/>
      <c r="AQ543" s="17"/>
    </row>
    <row r="544" spans="1:43" s="84" customFormat="1" ht="15" x14ac:dyDescent="0.35">
      <c r="A544" s="80"/>
      <c r="B544" s="81"/>
      <c r="C544" s="82"/>
      <c r="D544" s="82"/>
      <c r="E544" s="82"/>
      <c r="F544" s="82"/>
      <c r="G544" s="83"/>
      <c r="H544" s="82"/>
      <c r="I544" s="82"/>
      <c r="J544" s="82"/>
      <c r="K544" s="82"/>
      <c r="L544" s="76"/>
      <c r="M544" s="82"/>
      <c r="N544" s="82"/>
      <c r="O544" s="82"/>
      <c r="P544" s="82"/>
      <c r="Q544" s="82"/>
      <c r="R544" s="82"/>
      <c r="S544" s="82"/>
      <c r="T544" s="82"/>
      <c r="U544" s="82"/>
      <c r="V544" s="82"/>
      <c r="W544" s="82"/>
      <c r="X544" s="82"/>
      <c r="Y544" s="76"/>
      <c r="Z544" s="82"/>
      <c r="AA544" s="82"/>
      <c r="AB544" s="82"/>
      <c r="AC544" s="82"/>
      <c r="AD544" s="82"/>
      <c r="AE544" s="82"/>
      <c r="AF544" s="82"/>
      <c r="AG544" s="82"/>
      <c r="AH544" s="82"/>
      <c r="AI544" s="82"/>
      <c r="AJ544" s="82"/>
      <c r="AK544" s="82"/>
      <c r="AL544" s="76"/>
      <c r="AM544" s="82"/>
      <c r="AN544" s="82"/>
      <c r="AO544" s="82"/>
      <c r="AP544" s="82"/>
      <c r="AQ544" s="82"/>
    </row>
    <row r="545" spans="1:43" ht="15" x14ac:dyDescent="0.35">
      <c r="A545" s="85"/>
      <c r="B545" s="86"/>
      <c r="C545" s="87"/>
      <c r="D545" s="87"/>
      <c r="E545" s="87"/>
      <c r="F545" s="87"/>
      <c r="G545" s="88"/>
      <c r="H545" s="87"/>
      <c r="I545" s="87"/>
      <c r="J545" s="87"/>
      <c r="K545" s="8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M545" s="17"/>
      <c r="AN545" s="17"/>
      <c r="AO545" s="17"/>
      <c r="AP545" s="17"/>
      <c r="AQ545" s="17"/>
    </row>
    <row r="546" spans="1:43" s="84" customFormat="1" ht="15" x14ac:dyDescent="0.35">
      <c r="A546" s="80"/>
      <c r="B546" s="81"/>
      <c r="C546" s="82"/>
      <c r="D546" s="82"/>
      <c r="E546" s="82"/>
      <c r="F546" s="82"/>
      <c r="G546" s="83"/>
      <c r="H546" s="82"/>
      <c r="I546" s="82"/>
      <c r="J546" s="82"/>
      <c r="K546" s="82"/>
      <c r="L546" s="76"/>
      <c r="M546" s="82"/>
      <c r="N546" s="82"/>
      <c r="O546" s="82"/>
      <c r="P546" s="82"/>
      <c r="Q546" s="82"/>
      <c r="R546" s="82"/>
      <c r="S546" s="82"/>
      <c r="T546" s="82"/>
      <c r="U546" s="82"/>
      <c r="V546" s="82"/>
      <c r="W546" s="82"/>
      <c r="X546" s="82"/>
      <c r="Y546" s="76"/>
      <c r="Z546" s="82"/>
      <c r="AA546" s="82"/>
      <c r="AB546" s="82"/>
      <c r="AC546" s="82"/>
      <c r="AD546" s="82"/>
      <c r="AE546" s="82"/>
      <c r="AF546" s="82"/>
      <c r="AG546" s="82"/>
      <c r="AH546" s="82"/>
      <c r="AI546" s="82"/>
      <c r="AJ546" s="82"/>
      <c r="AK546" s="82"/>
      <c r="AL546" s="76"/>
      <c r="AM546" s="82"/>
      <c r="AN546" s="82"/>
      <c r="AO546" s="82"/>
      <c r="AP546" s="82"/>
      <c r="AQ546" s="82"/>
    </row>
    <row r="547" spans="1:43" ht="15" x14ac:dyDescent="0.35">
      <c r="A547" s="85"/>
      <c r="B547" s="86"/>
      <c r="C547" s="87"/>
      <c r="D547" s="87"/>
      <c r="E547" s="87"/>
      <c r="F547" s="87"/>
      <c r="G547" s="88"/>
      <c r="H547" s="87"/>
      <c r="I547" s="87"/>
      <c r="J547" s="87"/>
      <c r="K547" s="8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M547" s="17"/>
      <c r="AN547" s="17"/>
      <c r="AO547" s="17"/>
      <c r="AP547" s="17"/>
      <c r="AQ547" s="17"/>
    </row>
    <row r="548" spans="1:43" s="84" customFormat="1" ht="15" x14ac:dyDescent="0.35">
      <c r="A548" s="80"/>
      <c r="B548" s="81"/>
      <c r="C548" s="82"/>
      <c r="D548" s="82"/>
      <c r="E548" s="82"/>
      <c r="F548" s="82"/>
      <c r="G548" s="83"/>
      <c r="H548" s="82"/>
      <c r="I548" s="82"/>
      <c r="J548" s="82"/>
      <c r="K548" s="82"/>
      <c r="L548" s="76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76"/>
      <c r="Z548" s="82"/>
      <c r="AA548" s="82"/>
      <c r="AB548" s="82"/>
      <c r="AC548" s="82"/>
      <c r="AD548" s="82"/>
      <c r="AE548" s="82"/>
      <c r="AF548" s="82"/>
      <c r="AG548" s="82"/>
      <c r="AH548" s="82"/>
      <c r="AI548" s="82"/>
      <c r="AJ548" s="82"/>
      <c r="AK548" s="82"/>
      <c r="AL548" s="76"/>
      <c r="AM548" s="82"/>
      <c r="AN548" s="82"/>
      <c r="AO548" s="82"/>
      <c r="AP548" s="82"/>
      <c r="AQ548" s="82"/>
    </row>
    <row r="549" spans="1:43" ht="15" x14ac:dyDescent="0.35">
      <c r="A549" s="85"/>
      <c r="B549" s="86"/>
      <c r="C549" s="87"/>
      <c r="D549" s="87"/>
      <c r="E549" s="87"/>
      <c r="F549" s="87"/>
      <c r="G549" s="88"/>
      <c r="H549" s="87"/>
      <c r="I549" s="87"/>
      <c r="J549" s="87"/>
      <c r="K549" s="8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M549" s="17"/>
      <c r="AN549" s="17"/>
      <c r="AO549" s="17"/>
      <c r="AP549" s="17"/>
      <c r="AQ549" s="17"/>
    </row>
    <row r="550" spans="1:43" s="84" customFormat="1" ht="15" x14ac:dyDescent="0.35">
      <c r="A550" s="80"/>
      <c r="B550" s="81"/>
      <c r="C550" s="82"/>
      <c r="D550" s="82"/>
      <c r="E550" s="82"/>
      <c r="F550" s="82"/>
      <c r="G550" s="83"/>
      <c r="H550" s="82"/>
      <c r="I550" s="82"/>
      <c r="J550" s="82"/>
      <c r="K550" s="82"/>
      <c r="L550" s="76"/>
      <c r="M550" s="82"/>
      <c r="N550" s="82"/>
      <c r="O550" s="82"/>
      <c r="P550" s="82"/>
      <c r="Q550" s="82"/>
      <c r="R550" s="82"/>
      <c r="S550" s="82"/>
      <c r="T550" s="82"/>
      <c r="U550" s="82"/>
      <c r="V550" s="82"/>
      <c r="W550" s="82"/>
      <c r="X550" s="82"/>
      <c r="Y550" s="76"/>
      <c r="Z550" s="82"/>
      <c r="AA550" s="82"/>
      <c r="AB550" s="82"/>
      <c r="AC550" s="82"/>
      <c r="AD550" s="82"/>
      <c r="AE550" s="82"/>
      <c r="AF550" s="82"/>
      <c r="AG550" s="82"/>
      <c r="AH550" s="82"/>
      <c r="AI550" s="82"/>
      <c r="AJ550" s="82"/>
      <c r="AK550" s="82"/>
      <c r="AL550" s="76"/>
      <c r="AM550" s="82"/>
      <c r="AN550" s="82"/>
      <c r="AO550" s="82"/>
      <c r="AP550" s="82"/>
      <c r="AQ550" s="82"/>
    </row>
    <row r="551" spans="1:43" ht="15" x14ac:dyDescent="0.35">
      <c r="A551" s="85"/>
      <c r="B551" s="86"/>
      <c r="C551" s="87"/>
      <c r="D551" s="87"/>
      <c r="E551" s="87"/>
      <c r="F551" s="87"/>
      <c r="G551" s="88"/>
      <c r="H551" s="87"/>
      <c r="I551" s="87"/>
      <c r="J551" s="87"/>
      <c r="K551" s="8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M551" s="17"/>
      <c r="AN551" s="17"/>
      <c r="AO551" s="17"/>
      <c r="AP551" s="17"/>
      <c r="AQ551" s="17"/>
    </row>
    <row r="552" spans="1:43" s="84" customFormat="1" ht="15" x14ac:dyDescent="0.35">
      <c r="A552" s="80"/>
      <c r="B552" s="81"/>
      <c r="C552" s="82"/>
      <c r="D552" s="82"/>
      <c r="E552" s="82"/>
      <c r="F552" s="82"/>
      <c r="G552" s="83"/>
      <c r="H552" s="82"/>
      <c r="I552" s="82"/>
      <c r="J552" s="82"/>
      <c r="K552" s="82"/>
      <c r="L552" s="76"/>
      <c r="M552" s="82"/>
      <c r="N552" s="82"/>
      <c r="O552" s="82"/>
      <c r="P552" s="82"/>
      <c r="Q552" s="82"/>
      <c r="R552" s="82"/>
      <c r="S552" s="82"/>
      <c r="T552" s="82"/>
      <c r="U552" s="82"/>
      <c r="V552" s="82"/>
      <c r="W552" s="82"/>
      <c r="X552" s="82"/>
      <c r="Y552" s="76"/>
      <c r="Z552" s="82"/>
      <c r="AA552" s="82"/>
      <c r="AB552" s="82"/>
      <c r="AC552" s="82"/>
      <c r="AD552" s="82"/>
      <c r="AE552" s="82"/>
      <c r="AF552" s="82"/>
      <c r="AG552" s="82"/>
      <c r="AH552" s="82"/>
      <c r="AI552" s="82"/>
      <c r="AJ552" s="82"/>
      <c r="AK552" s="82"/>
      <c r="AL552" s="76"/>
      <c r="AM552" s="82"/>
      <c r="AN552" s="82"/>
      <c r="AO552" s="82"/>
      <c r="AP552" s="82"/>
      <c r="AQ552" s="82"/>
    </row>
    <row r="553" spans="1:43" ht="15" x14ac:dyDescent="0.35">
      <c r="A553" s="85"/>
      <c r="B553" s="86"/>
      <c r="C553" s="87"/>
      <c r="D553" s="87"/>
      <c r="E553" s="87"/>
      <c r="F553" s="87"/>
      <c r="G553" s="88"/>
      <c r="H553" s="87"/>
      <c r="I553" s="87"/>
      <c r="J553" s="87"/>
      <c r="K553" s="8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M553" s="17"/>
      <c r="AN553" s="17"/>
      <c r="AO553" s="17"/>
      <c r="AP553" s="17"/>
      <c r="AQ553" s="17"/>
    </row>
    <row r="554" spans="1:43" s="84" customFormat="1" ht="15" x14ac:dyDescent="0.35">
      <c r="A554" s="80"/>
      <c r="B554" s="81"/>
      <c r="C554" s="82"/>
      <c r="D554" s="82"/>
      <c r="E554" s="82"/>
      <c r="F554" s="82"/>
      <c r="G554" s="83"/>
      <c r="H554" s="82"/>
      <c r="I554" s="82"/>
      <c r="J554" s="82"/>
      <c r="K554" s="82"/>
      <c r="L554" s="76"/>
      <c r="M554" s="82"/>
      <c r="N554" s="82"/>
      <c r="O554" s="82"/>
      <c r="P554" s="82"/>
      <c r="Q554" s="82"/>
      <c r="R554" s="82"/>
      <c r="S554" s="82"/>
      <c r="T554" s="82"/>
      <c r="U554" s="82"/>
      <c r="V554" s="82"/>
      <c r="W554" s="82"/>
      <c r="X554" s="82"/>
      <c r="Y554" s="76"/>
      <c r="Z554" s="82"/>
      <c r="AA554" s="82"/>
      <c r="AB554" s="82"/>
      <c r="AC554" s="82"/>
      <c r="AD554" s="82"/>
      <c r="AE554" s="82"/>
      <c r="AF554" s="82"/>
      <c r="AG554" s="82"/>
      <c r="AH554" s="82"/>
      <c r="AI554" s="82"/>
      <c r="AJ554" s="82"/>
      <c r="AK554" s="82"/>
      <c r="AL554" s="76"/>
      <c r="AM554" s="82"/>
      <c r="AN554" s="82"/>
      <c r="AO554" s="82"/>
      <c r="AP554" s="82"/>
      <c r="AQ554" s="82"/>
    </row>
    <row r="555" spans="1:43" ht="15" x14ac:dyDescent="0.35">
      <c r="A555" s="85"/>
      <c r="B555" s="86"/>
      <c r="C555" s="87"/>
      <c r="D555" s="87"/>
      <c r="E555" s="87"/>
      <c r="F555" s="87"/>
      <c r="G555" s="88"/>
      <c r="H555" s="87"/>
      <c r="I555" s="87"/>
      <c r="J555" s="87"/>
      <c r="K555" s="8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M555" s="17"/>
      <c r="AN555" s="17"/>
      <c r="AO555" s="17"/>
      <c r="AP555" s="17"/>
      <c r="AQ555" s="17"/>
    </row>
    <row r="556" spans="1:43" s="84" customFormat="1" ht="15" x14ac:dyDescent="0.35">
      <c r="A556" s="80"/>
      <c r="B556" s="81"/>
      <c r="C556" s="82"/>
      <c r="D556" s="82"/>
      <c r="E556" s="82"/>
      <c r="F556" s="82"/>
      <c r="G556" s="83"/>
      <c r="H556" s="82"/>
      <c r="I556" s="82"/>
      <c r="J556" s="82"/>
      <c r="K556" s="82"/>
      <c r="L556" s="76"/>
      <c r="M556" s="82"/>
      <c r="N556" s="82"/>
      <c r="O556" s="82"/>
      <c r="P556" s="82"/>
      <c r="Q556" s="82"/>
      <c r="R556" s="82"/>
      <c r="S556" s="82"/>
      <c r="T556" s="82"/>
      <c r="U556" s="82"/>
      <c r="V556" s="82"/>
      <c r="W556" s="82"/>
      <c r="X556" s="82"/>
      <c r="Y556" s="76"/>
      <c r="Z556" s="82"/>
      <c r="AA556" s="82"/>
      <c r="AB556" s="82"/>
      <c r="AC556" s="82"/>
      <c r="AD556" s="82"/>
      <c r="AE556" s="82"/>
      <c r="AF556" s="82"/>
      <c r="AG556" s="82"/>
      <c r="AH556" s="82"/>
      <c r="AI556" s="82"/>
      <c r="AJ556" s="82"/>
      <c r="AK556" s="82"/>
      <c r="AL556" s="76"/>
      <c r="AM556" s="82"/>
      <c r="AN556" s="82"/>
      <c r="AO556" s="82"/>
      <c r="AP556" s="82"/>
      <c r="AQ556" s="82"/>
    </row>
    <row r="557" spans="1:43" ht="15" x14ac:dyDescent="0.35">
      <c r="A557" s="85"/>
      <c r="B557" s="86"/>
      <c r="C557" s="87"/>
      <c r="D557" s="87"/>
      <c r="E557" s="87"/>
      <c r="F557" s="87"/>
      <c r="G557" s="88"/>
      <c r="H557" s="87"/>
      <c r="I557" s="87"/>
      <c r="J557" s="87"/>
      <c r="K557" s="8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M557" s="17"/>
      <c r="AN557" s="17"/>
      <c r="AO557" s="17"/>
      <c r="AP557" s="17"/>
      <c r="AQ557" s="17"/>
    </row>
    <row r="558" spans="1:43" s="84" customFormat="1" ht="15" x14ac:dyDescent="0.35">
      <c r="A558" s="80"/>
      <c r="B558" s="81"/>
      <c r="C558" s="82"/>
      <c r="D558" s="82"/>
      <c r="E558" s="82"/>
      <c r="F558" s="82"/>
      <c r="G558" s="83"/>
      <c r="H558" s="82"/>
      <c r="I558" s="82"/>
      <c r="J558" s="82"/>
      <c r="K558" s="82"/>
      <c r="L558" s="76"/>
      <c r="M558" s="82"/>
      <c r="N558" s="82"/>
      <c r="O558" s="82"/>
      <c r="P558" s="82"/>
      <c r="Q558" s="82"/>
      <c r="R558" s="82"/>
      <c r="S558" s="82"/>
      <c r="T558" s="82"/>
      <c r="U558" s="82"/>
      <c r="V558" s="82"/>
      <c r="W558" s="82"/>
      <c r="X558" s="82"/>
      <c r="Y558" s="76"/>
      <c r="Z558" s="82"/>
      <c r="AA558" s="82"/>
      <c r="AB558" s="82"/>
      <c r="AC558" s="82"/>
      <c r="AD558" s="82"/>
      <c r="AE558" s="82"/>
      <c r="AF558" s="82"/>
      <c r="AG558" s="82"/>
      <c r="AH558" s="82"/>
      <c r="AI558" s="82"/>
      <c r="AJ558" s="82"/>
      <c r="AK558" s="82"/>
      <c r="AL558" s="76"/>
      <c r="AM558" s="82"/>
      <c r="AN558" s="82"/>
      <c r="AO558" s="82"/>
      <c r="AP558" s="82"/>
      <c r="AQ558" s="82"/>
    </row>
    <row r="559" spans="1:43" ht="15" x14ac:dyDescent="0.35">
      <c r="A559" s="85"/>
      <c r="B559" s="86"/>
      <c r="C559" s="87"/>
      <c r="D559" s="87"/>
      <c r="E559" s="87"/>
      <c r="F559" s="87"/>
      <c r="G559" s="88"/>
      <c r="H559" s="87"/>
      <c r="I559" s="87"/>
      <c r="J559" s="87"/>
      <c r="K559" s="8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M559" s="17"/>
      <c r="AN559" s="17"/>
      <c r="AO559" s="17"/>
      <c r="AP559" s="17"/>
      <c r="AQ559" s="17"/>
    </row>
    <row r="560" spans="1:43" s="84" customFormat="1" ht="15" x14ac:dyDescent="0.35">
      <c r="A560" s="80"/>
      <c r="B560" s="81"/>
      <c r="C560" s="82"/>
      <c r="D560" s="82"/>
      <c r="E560" s="82"/>
      <c r="F560" s="82"/>
      <c r="G560" s="83"/>
      <c r="H560" s="82"/>
      <c r="I560" s="82"/>
      <c r="J560" s="82"/>
      <c r="K560" s="82"/>
      <c r="L560" s="76"/>
      <c r="M560" s="82"/>
      <c r="N560" s="82"/>
      <c r="O560" s="82"/>
      <c r="P560" s="82"/>
      <c r="Q560" s="82"/>
      <c r="R560" s="82"/>
      <c r="S560" s="82"/>
      <c r="T560" s="82"/>
      <c r="U560" s="82"/>
      <c r="V560" s="82"/>
      <c r="W560" s="82"/>
      <c r="X560" s="82"/>
      <c r="Y560" s="76"/>
      <c r="Z560" s="82"/>
      <c r="AA560" s="82"/>
      <c r="AB560" s="82"/>
      <c r="AC560" s="82"/>
      <c r="AD560" s="82"/>
      <c r="AE560" s="82"/>
      <c r="AF560" s="82"/>
      <c r="AG560" s="82"/>
      <c r="AH560" s="82"/>
      <c r="AI560" s="82"/>
      <c r="AJ560" s="82"/>
      <c r="AK560" s="82"/>
      <c r="AL560" s="76"/>
      <c r="AM560" s="82"/>
      <c r="AN560" s="82"/>
      <c r="AO560" s="82"/>
      <c r="AP560" s="82"/>
      <c r="AQ560" s="82"/>
    </row>
    <row r="561" spans="1:43" ht="15" x14ac:dyDescent="0.35">
      <c r="A561" s="85"/>
      <c r="B561" s="86"/>
      <c r="C561" s="87"/>
      <c r="D561" s="87"/>
      <c r="E561" s="87"/>
      <c r="F561" s="87"/>
      <c r="G561" s="88"/>
      <c r="H561" s="87"/>
      <c r="I561" s="87"/>
      <c r="J561" s="87"/>
      <c r="K561" s="8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M561" s="17"/>
      <c r="AN561" s="17"/>
      <c r="AO561" s="17"/>
      <c r="AP561" s="17"/>
      <c r="AQ561" s="17"/>
    </row>
    <row r="562" spans="1:43" s="84" customFormat="1" ht="15" x14ac:dyDescent="0.35">
      <c r="A562" s="80"/>
      <c r="B562" s="81"/>
      <c r="C562" s="82"/>
      <c r="D562" s="82"/>
      <c r="E562" s="82"/>
      <c r="F562" s="82"/>
      <c r="G562" s="83"/>
      <c r="H562" s="82"/>
      <c r="I562" s="82"/>
      <c r="J562" s="82"/>
      <c r="K562" s="82"/>
      <c r="L562" s="76"/>
      <c r="M562" s="82"/>
      <c r="N562" s="82"/>
      <c r="O562" s="82"/>
      <c r="P562" s="82"/>
      <c r="Q562" s="82"/>
      <c r="R562" s="82"/>
      <c r="S562" s="82"/>
      <c r="T562" s="82"/>
      <c r="U562" s="82"/>
      <c r="V562" s="82"/>
      <c r="W562" s="82"/>
      <c r="X562" s="82"/>
      <c r="Y562" s="76"/>
      <c r="Z562" s="82"/>
      <c r="AA562" s="82"/>
      <c r="AB562" s="82"/>
      <c r="AC562" s="82"/>
      <c r="AD562" s="82"/>
      <c r="AE562" s="82"/>
      <c r="AF562" s="82"/>
      <c r="AG562" s="82"/>
      <c r="AH562" s="82"/>
      <c r="AI562" s="82"/>
      <c r="AJ562" s="82"/>
      <c r="AK562" s="82"/>
      <c r="AL562" s="76"/>
      <c r="AM562" s="82"/>
      <c r="AN562" s="82"/>
      <c r="AO562" s="82"/>
      <c r="AP562" s="82"/>
      <c r="AQ562" s="82"/>
    </row>
    <row r="563" spans="1:43" ht="15" x14ac:dyDescent="0.35">
      <c r="A563" s="85"/>
      <c r="B563" s="86"/>
      <c r="C563" s="87"/>
      <c r="D563" s="87"/>
      <c r="E563" s="87"/>
      <c r="F563" s="87"/>
      <c r="G563" s="88"/>
      <c r="H563" s="87"/>
      <c r="I563" s="87"/>
      <c r="J563" s="87"/>
      <c r="K563" s="8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M563" s="17"/>
      <c r="AN563" s="17"/>
      <c r="AO563" s="17"/>
      <c r="AP563" s="17"/>
      <c r="AQ563" s="17"/>
    </row>
    <row r="564" spans="1:43" s="84" customFormat="1" ht="15" x14ac:dyDescent="0.35">
      <c r="A564" s="80"/>
      <c r="B564" s="81"/>
      <c r="C564" s="82"/>
      <c r="D564" s="82"/>
      <c r="E564" s="82"/>
      <c r="F564" s="82"/>
      <c r="G564" s="83"/>
      <c r="H564" s="82"/>
      <c r="I564" s="82"/>
      <c r="J564" s="82"/>
      <c r="K564" s="82"/>
      <c r="L564" s="76"/>
      <c r="M564" s="82"/>
      <c r="N564" s="82"/>
      <c r="O564" s="82"/>
      <c r="P564" s="82"/>
      <c r="Q564" s="82"/>
      <c r="R564" s="82"/>
      <c r="S564" s="82"/>
      <c r="T564" s="82"/>
      <c r="U564" s="82"/>
      <c r="V564" s="82"/>
      <c r="W564" s="82"/>
      <c r="X564" s="82"/>
      <c r="Y564" s="76"/>
      <c r="Z564" s="82"/>
      <c r="AA564" s="82"/>
      <c r="AB564" s="82"/>
      <c r="AC564" s="82"/>
      <c r="AD564" s="82"/>
      <c r="AE564" s="82"/>
      <c r="AF564" s="82"/>
      <c r="AG564" s="82"/>
      <c r="AH564" s="82"/>
      <c r="AI564" s="82"/>
      <c r="AJ564" s="82"/>
      <c r="AK564" s="82"/>
      <c r="AL564" s="76"/>
      <c r="AM564" s="82"/>
      <c r="AN564" s="82"/>
      <c r="AO564" s="82"/>
      <c r="AP564" s="82"/>
      <c r="AQ564" s="82"/>
    </row>
    <row r="565" spans="1:43" ht="15" x14ac:dyDescent="0.35">
      <c r="A565" s="85"/>
      <c r="B565" s="86"/>
      <c r="C565" s="87"/>
      <c r="D565" s="87"/>
      <c r="E565" s="87"/>
      <c r="F565" s="87"/>
      <c r="G565" s="88"/>
      <c r="H565" s="87"/>
      <c r="I565" s="87"/>
      <c r="J565" s="87"/>
      <c r="K565" s="8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M565" s="17"/>
      <c r="AN565" s="17"/>
      <c r="AO565" s="17"/>
      <c r="AP565" s="17"/>
      <c r="AQ565" s="17"/>
    </row>
    <row r="566" spans="1:43" s="84" customFormat="1" ht="15" x14ac:dyDescent="0.35">
      <c r="A566" s="80"/>
      <c r="B566" s="81"/>
      <c r="C566" s="82"/>
      <c r="D566" s="82"/>
      <c r="E566" s="82"/>
      <c r="F566" s="82"/>
      <c r="G566" s="83"/>
      <c r="H566" s="82"/>
      <c r="I566" s="82"/>
      <c r="J566" s="82"/>
      <c r="K566" s="82"/>
      <c r="L566" s="76"/>
      <c r="M566" s="82"/>
      <c r="N566" s="82"/>
      <c r="O566" s="82"/>
      <c r="P566" s="82"/>
      <c r="Q566" s="82"/>
      <c r="R566" s="82"/>
      <c r="S566" s="82"/>
      <c r="T566" s="82"/>
      <c r="U566" s="82"/>
      <c r="V566" s="82"/>
      <c r="W566" s="82"/>
      <c r="X566" s="82"/>
      <c r="Y566" s="76"/>
      <c r="Z566" s="82"/>
      <c r="AA566" s="82"/>
      <c r="AB566" s="82"/>
      <c r="AC566" s="82"/>
      <c r="AD566" s="82"/>
      <c r="AE566" s="82"/>
      <c r="AF566" s="82"/>
      <c r="AG566" s="82"/>
      <c r="AH566" s="82"/>
      <c r="AI566" s="82"/>
      <c r="AJ566" s="82"/>
      <c r="AK566" s="82"/>
      <c r="AL566" s="76"/>
      <c r="AM566" s="82"/>
      <c r="AN566" s="82"/>
      <c r="AO566" s="82"/>
      <c r="AP566" s="82"/>
      <c r="AQ566" s="82"/>
    </row>
    <row r="567" spans="1:43" ht="15" x14ac:dyDescent="0.35">
      <c r="A567" s="85"/>
      <c r="B567" s="86"/>
      <c r="C567" s="87"/>
      <c r="D567" s="87"/>
      <c r="E567" s="87"/>
      <c r="F567" s="87"/>
      <c r="G567" s="88"/>
      <c r="H567" s="87"/>
      <c r="I567" s="87"/>
      <c r="J567" s="87"/>
      <c r="K567" s="8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M567" s="17"/>
      <c r="AN567" s="17"/>
      <c r="AO567" s="17"/>
      <c r="AP567" s="17"/>
      <c r="AQ567" s="17"/>
    </row>
    <row r="568" spans="1:43" s="84" customFormat="1" ht="15" x14ac:dyDescent="0.35">
      <c r="A568" s="80"/>
      <c r="B568" s="81"/>
      <c r="C568" s="82"/>
      <c r="D568" s="82"/>
      <c r="E568" s="82"/>
      <c r="F568" s="82"/>
      <c r="G568" s="83"/>
      <c r="H568" s="82"/>
      <c r="I568" s="82"/>
      <c r="J568" s="82"/>
      <c r="K568" s="82"/>
      <c r="L568" s="76"/>
      <c r="M568" s="82"/>
      <c r="N568" s="82"/>
      <c r="O568" s="82"/>
      <c r="P568" s="82"/>
      <c r="Q568" s="82"/>
      <c r="R568" s="82"/>
      <c r="S568" s="82"/>
      <c r="T568" s="82"/>
      <c r="U568" s="82"/>
      <c r="V568" s="82"/>
      <c r="W568" s="82"/>
      <c r="X568" s="82"/>
      <c r="Y568" s="76"/>
      <c r="Z568" s="82"/>
      <c r="AA568" s="82"/>
      <c r="AB568" s="82"/>
      <c r="AC568" s="82"/>
      <c r="AD568" s="82"/>
      <c r="AE568" s="82"/>
      <c r="AF568" s="82"/>
      <c r="AG568" s="82"/>
      <c r="AH568" s="82"/>
      <c r="AI568" s="82"/>
      <c r="AJ568" s="82"/>
      <c r="AK568" s="82"/>
      <c r="AL568" s="76"/>
      <c r="AM568" s="82"/>
      <c r="AN568" s="82"/>
      <c r="AO568" s="82"/>
      <c r="AP568" s="82"/>
      <c r="AQ568" s="82"/>
    </row>
    <row r="569" spans="1:43" ht="15" x14ac:dyDescent="0.35">
      <c r="A569" s="85"/>
      <c r="B569" s="86"/>
      <c r="C569" s="87"/>
      <c r="D569" s="87"/>
      <c r="E569" s="87"/>
      <c r="F569" s="87"/>
      <c r="G569" s="88"/>
      <c r="H569" s="87"/>
      <c r="I569" s="87"/>
      <c r="J569" s="87"/>
      <c r="K569" s="8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M569" s="17"/>
      <c r="AN569" s="17"/>
      <c r="AO569" s="17"/>
      <c r="AP569" s="17"/>
      <c r="AQ569" s="17"/>
    </row>
    <row r="570" spans="1:43" s="84" customFormat="1" ht="15" x14ac:dyDescent="0.35">
      <c r="A570" s="80"/>
      <c r="B570" s="81"/>
      <c r="C570" s="82"/>
      <c r="D570" s="82"/>
      <c r="E570" s="82"/>
      <c r="F570" s="82"/>
      <c r="G570" s="83"/>
      <c r="H570" s="82"/>
      <c r="I570" s="82"/>
      <c r="J570" s="82"/>
      <c r="K570" s="82"/>
      <c r="L570" s="76"/>
      <c r="M570" s="82"/>
      <c r="N570" s="82"/>
      <c r="O570" s="82"/>
      <c r="P570" s="82"/>
      <c r="Q570" s="82"/>
      <c r="R570" s="82"/>
      <c r="S570" s="82"/>
      <c r="T570" s="82"/>
      <c r="U570" s="82"/>
      <c r="V570" s="82"/>
      <c r="W570" s="82"/>
      <c r="X570" s="82"/>
      <c r="Y570" s="76"/>
      <c r="Z570" s="82"/>
      <c r="AA570" s="82"/>
      <c r="AB570" s="82"/>
      <c r="AC570" s="82"/>
      <c r="AD570" s="82"/>
      <c r="AE570" s="82"/>
      <c r="AF570" s="82"/>
      <c r="AG570" s="82"/>
      <c r="AH570" s="82"/>
      <c r="AI570" s="82"/>
      <c r="AJ570" s="82"/>
      <c r="AK570" s="82"/>
      <c r="AL570" s="76"/>
      <c r="AM570" s="82"/>
      <c r="AN570" s="82"/>
      <c r="AO570" s="82"/>
      <c r="AP570" s="82"/>
      <c r="AQ570" s="82"/>
    </row>
    <row r="571" spans="1:43" ht="15" x14ac:dyDescent="0.35">
      <c r="A571" s="85"/>
      <c r="B571" s="86"/>
      <c r="C571" s="87"/>
      <c r="D571" s="87"/>
      <c r="E571" s="87"/>
      <c r="F571" s="87"/>
      <c r="G571" s="88"/>
      <c r="H571" s="87"/>
      <c r="I571" s="87"/>
      <c r="J571" s="87"/>
      <c r="K571" s="8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M571" s="17"/>
      <c r="AN571" s="17"/>
      <c r="AO571" s="17"/>
      <c r="AP571" s="17"/>
      <c r="AQ571" s="17"/>
    </row>
    <row r="572" spans="1:43" s="84" customFormat="1" ht="15" x14ac:dyDescent="0.35">
      <c r="A572" s="80"/>
      <c r="B572" s="81"/>
      <c r="C572" s="82"/>
      <c r="D572" s="82"/>
      <c r="E572" s="82"/>
      <c r="F572" s="82"/>
      <c r="G572" s="83"/>
      <c r="H572" s="82"/>
      <c r="I572" s="82"/>
      <c r="J572" s="82"/>
      <c r="K572" s="82"/>
      <c r="L572" s="76"/>
      <c r="M572" s="82"/>
      <c r="N572" s="82"/>
      <c r="O572" s="82"/>
      <c r="P572" s="82"/>
      <c r="Q572" s="82"/>
      <c r="R572" s="82"/>
      <c r="S572" s="82"/>
      <c r="T572" s="82"/>
      <c r="U572" s="82"/>
      <c r="V572" s="82"/>
      <c r="W572" s="82"/>
      <c r="X572" s="82"/>
      <c r="Y572" s="76"/>
      <c r="Z572" s="82"/>
      <c r="AA572" s="82"/>
      <c r="AB572" s="82"/>
      <c r="AC572" s="82"/>
      <c r="AD572" s="82"/>
      <c r="AE572" s="82"/>
      <c r="AF572" s="82"/>
      <c r="AG572" s="82"/>
      <c r="AH572" s="82"/>
      <c r="AI572" s="82"/>
      <c r="AJ572" s="82"/>
      <c r="AK572" s="82"/>
      <c r="AL572" s="76"/>
      <c r="AM572" s="82"/>
      <c r="AN572" s="82"/>
      <c r="AO572" s="82"/>
      <c r="AP572" s="82"/>
      <c r="AQ572" s="82"/>
    </row>
    <row r="573" spans="1:43" ht="15" x14ac:dyDescent="0.35">
      <c r="A573" s="85"/>
      <c r="B573" s="86"/>
      <c r="C573" s="87"/>
      <c r="D573" s="87"/>
      <c r="E573" s="87"/>
      <c r="F573" s="87"/>
      <c r="G573" s="88"/>
      <c r="H573" s="87"/>
      <c r="I573" s="87"/>
      <c r="J573" s="87"/>
      <c r="K573" s="8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M573" s="17"/>
      <c r="AN573" s="17"/>
      <c r="AO573" s="17"/>
      <c r="AP573" s="17"/>
      <c r="AQ573" s="17"/>
    </row>
    <row r="574" spans="1:43" s="84" customFormat="1" ht="15" x14ac:dyDescent="0.35">
      <c r="A574" s="80"/>
      <c r="B574" s="81"/>
      <c r="C574" s="82"/>
      <c r="D574" s="82"/>
      <c r="E574" s="82"/>
      <c r="F574" s="82"/>
      <c r="G574" s="83"/>
      <c r="H574" s="82"/>
      <c r="I574" s="82"/>
      <c r="J574" s="82"/>
      <c r="K574" s="82"/>
      <c r="L574" s="76"/>
      <c r="M574" s="82"/>
      <c r="N574" s="82"/>
      <c r="O574" s="82"/>
      <c r="P574" s="82"/>
      <c r="Q574" s="82"/>
      <c r="R574" s="82"/>
      <c r="S574" s="82"/>
      <c r="T574" s="82"/>
      <c r="U574" s="82"/>
      <c r="V574" s="82"/>
      <c r="W574" s="82"/>
      <c r="X574" s="82"/>
      <c r="Y574" s="76"/>
      <c r="Z574" s="82"/>
      <c r="AA574" s="82"/>
      <c r="AB574" s="82"/>
      <c r="AC574" s="82"/>
      <c r="AD574" s="82"/>
      <c r="AE574" s="82"/>
      <c r="AF574" s="82"/>
      <c r="AG574" s="82"/>
      <c r="AH574" s="82"/>
      <c r="AI574" s="82"/>
      <c r="AJ574" s="82"/>
      <c r="AK574" s="82"/>
      <c r="AL574" s="76"/>
      <c r="AM574" s="82"/>
      <c r="AN574" s="82"/>
      <c r="AO574" s="82"/>
      <c r="AP574" s="82"/>
      <c r="AQ574" s="82"/>
    </row>
    <row r="575" spans="1:43" ht="15" x14ac:dyDescent="0.35">
      <c r="A575" s="85"/>
      <c r="B575" s="86"/>
      <c r="C575" s="87"/>
      <c r="D575" s="87"/>
      <c r="E575" s="87"/>
      <c r="F575" s="87"/>
      <c r="G575" s="88"/>
      <c r="H575" s="87"/>
      <c r="I575" s="87"/>
      <c r="J575" s="87"/>
      <c r="K575" s="8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M575" s="17"/>
      <c r="AN575" s="17"/>
      <c r="AO575" s="17"/>
      <c r="AP575" s="17"/>
      <c r="AQ575" s="17"/>
    </row>
    <row r="576" spans="1:43" s="84" customFormat="1" ht="15" x14ac:dyDescent="0.35">
      <c r="A576" s="80"/>
      <c r="B576" s="81"/>
      <c r="C576" s="82"/>
      <c r="D576" s="82"/>
      <c r="E576" s="82"/>
      <c r="F576" s="82"/>
      <c r="G576" s="83"/>
      <c r="H576" s="82"/>
      <c r="I576" s="82"/>
      <c r="J576" s="82"/>
      <c r="K576" s="82"/>
      <c r="L576" s="76"/>
      <c r="M576" s="82"/>
      <c r="N576" s="82"/>
      <c r="O576" s="82"/>
      <c r="P576" s="82"/>
      <c r="Q576" s="82"/>
      <c r="R576" s="82"/>
      <c r="S576" s="82"/>
      <c r="T576" s="82"/>
      <c r="U576" s="82"/>
      <c r="V576" s="82"/>
      <c r="W576" s="82"/>
      <c r="X576" s="82"/>
      <c r="Y576" s="76"/>
      <c r="Z576" s="82"/>
      <c r="AA576" s="82"/>
      <c r="AB576" s="82"/>
      <c r="AC576" s="82"/>
      <c r="AD576" s="82"/>
      <c r="AE576" s="82"/>
      <c r="AF576" s="82"/>
      <c r="AG576" s="82"/>
      <c r="AH576" s="82"/>
      <c r="AI576" s="82"/>
      <c r="AJ576" s="82"/>
      <c r="AK576" s="82"/>
      <c r="AL576" s="76"/>
      <c r="AM576" s="82"/>
      <c r="AN576" s="82"/>
      <c r="AO576" s="82"/>
      <c r="AP576" s="82"/>
      <c r="AQ576" s="82"/>
    </row>
    <row r="577" spans="1:43" ht="15" x14ac:dyDescent="0.35">
      <c r="A577" s="85"/>
      <c r="B577" s="86"/>
      <c r="C577" s="87"/>
      <c r="D577" s="87"/>
      <c r="E577" s="87"/>
      <c r="F577" s="87"/>
      <c r="G577" s="88"/>
      <c r="H577" s="87"/>
      <c r="I577" s="87"/>
      <c r="J577" s="87"/>
      <c r="K577" s="8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M577" s="17"/>
      <c r="AN577" s="17"/>
      <c r="AO577" s="17"/>
      <c r="AP577" s="17"/>
      <c r="AQ577" s="17"/>
    </row>
    <row r="578" spans="1:43" s="84" customFormat="1" ht="15" x14ac:dyDescent="0.35">
      <c r="A578" s="80"/>
      <c r="B578" s="81"/>
      <c r="C578" s="82"/>
      <c r="D578" s="82"/>
      <c r="E578" s="82"/>
      <c r="F578" s="82"/>
      <c r="G578" s="83"/>
      <c r="H578" s="82"/>
      <c r="I578" s="82"/>
      <c r="J578" s="82"/>
      <c r="K578" s="82"/>
      <c r="L578" s="76"/>
      <c r="M578" s="82"/>
      <c r="N578" s="82"/>
      <c r="O578" s="82"/>
      <c r="P578" s="82"/>
      <c r="Q578" s="82"/>
      <c r="R578" s="82"/>
      <c r="S578" s="82"/>
      <c r="T578" s="82"/>
      <c r="U578" s="82"/>
      <c r="V578" s="82"/>
      <c r="W578" s="82"/>
      <c r="X578" s="82"/>
      <c r="Y578" s="76"/>
      <c r="Z578" s="82"/>
      <c r="AA578" s="82"/>
      <c r="AB578" s="82"/>
      <c r="AC578" s="82"/>
      <c r="AD578" s="82"/>
      <c r="AE578" s="82"/>
      <c r="AF578" s="82"/>
      <c r="AG578" s="82"/>
      <c r="AH578" s="82"/>
      <c r="AI578" s="82"/>
      <c r="AJ578" s="82"/>
      <c r="AK578" s="82"/>
      <c r="AL578" s="76"/>
      <c r="AM578" s="82"/>
      <c r="AN578" s="82"/>
      <c r="AO578" s="82"/>
      <c r="AP578" s="82"/>
      <c r="AQ578" s="82"/>
    </row>
    <row r="579" spans="1:43" ht="15" x14ac:dyDescent="0.35">
      <c r="A579" s="85"/>
      <c r="B579" s="86"/>
      <c r="C579" s="87"/>
      <c r="D579" s="87"/>
      <c r="E579" s="87"/>
      <c r="F579" s="87"/>
      <c r="G579" s="88"/>
      <c r="H579" s="87"/>
      <c r="I579" s="87"/>
      <c r="J579" s="87"/>
      <c r="K579" s="8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M579" s="17"/>
      <c r="AN579" s="17"/>
      <c r="AO579" s="17"/>
      <c r="AP579" s="17"/>
      <c r="AQ579" s="17"/>
    </row>
    <row r="580" spans="1:43" s="84" customFormat="1" ht="15" x14ac:dyDescent="0.35">
      <c r="A580" s="80"/>
      <c r="B580" s="81"/>
      <c r="C580" s="82"/>
      <c r="D580" s="82"/>
      <c r="E580" s="82"/>
      <c r="F580" s="82"/>
      <c r="G580" s="83"/>
      <c r="H580" s="82"/>
      <c r="I580" s="82"/>
      <c r="J580" s="82"/>
      <c r="K580" s="82"/>
      <c r="L580" s="76"/>
      <c r="M580" s="82"/>
      <c r="N580" s="82"/>
      <c r="O580" s="82"/>
      <c r="P580" s="82"/>
      <c r="Q580" s="82"/>
      <c r="R580" s="82"/>
      <c r="S580" s="82"/>
      <c r="T580" s="82"/>
      <c r="U580" s="82"/>
      <c r="V580" s="82"/>
      <c r="W580" s="82"/>
      <c r="X580" s="82"/>
      <c r="Y580" s="76"/>
      <c r="Z580" s="82"/>
      <c r="AA580" s="82"/>
      <c r="AB580" s="82"/>
      <c r="AC580" s="82"/>
      <c r="AD580" s="82"/>
      <c r="AE580" s="82"/>
      <c r="AF580" s="82"/>
      <c r="AG580" s="82"/>
      <c r="AH580" s="82"/>
      <c r="AI580" s="82"/>
      <c r="AJ580" s="82"/>
      <c r="AK580" s="82"/>
      <c r="AL580" s="76"/>
      <c r="AM580" s="82"/>
      <c r="AN580" s="82"/>
      <c r="AO580" s="82"/>
      <c r="AP580" s="82"/>
      <c r="AQ580" s="82"/>
    </row>
    <row r="581" spans="1:43" ht="15" x14ac:dyDescent="0.35">
      <c r="A581" s="85"/>
      <c r="B581" s="86"/>
      <c r="C581" s="87"/>
      <c r="D581" s="87"/>
      <c r="E581" s="87"/>
      <c r="F581" s="87"/>
      <c r="G581" s="88"/>
      <c r="H581" s="87"/>
      <c r="I581" s="87"/>
      <c r="J581" s="87"/>
      <c r="K581" s="8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M581" s="17"/>
      <c r="AN581" s="17"/>
      <c r="AO581" s="17"/>
      <c r="AP581" s="17"/>
      <c r="AQ581" s="17"/>
    </row>
    <row r="582" spans="1:43" s="84" customFormat="1" ht="15" x14ac:dyDescent="0.35">
      <c r="A582" s="80"/>
      <c r="B582" s="81"/>
      <c r="C582" s="82"/>
      <c r="D582" s="82"/>
      <c r="E582" s="82"/>
      <c r="F582" s="82"/>
      <c r="G582" s="83"/>
      <c r="H582" s="82"/>
      <c r="I582" s="82"/>
      <c r="J582" s="82"/>
      <c r="K582" s="82"/>
      <c r="L582" s="76"/>
      <c r="M582" s="82"/>
      <c r="N582" s="82"/>
      <c r="O582" s="82"/>
      <c r="P582" s="82"/>
      <c r="Q582" s="82"/>
      <c r="R582" s="82"/>
      <c r="S582" s="82"/>
      <c r="T582" s="82"/>
      <c r="U582" s="82"/>
      <c r="V582" s="82"/>
      <c r="W582" s="82"/>
      <c r="X582" s="82"/>
      <c r="Y582" s="76"/>
      <c r="Z582" s="82"/>
      <c r="AA582" s="82"/>
      <c r="AB582" s="82"/>
      <c r="AC582" s="82"/>
      <c r="AD582" s="82"/>
      <c r="AE582" s="82"/>
      <c r="AF582" s="82"/>
      <c r="AG582" s="82"/>
      <c r="AH582" s="82"/>
      <c r="AI582" s="82"/>
      <c r="AJ582" s="82"/>
      <c r="AK582" s="82"/>
      <c r="AL582" s="76"/>
      <c r="AM582" s="82"/>
      <c r="AN582" s="82"/>
      <c r="AO582" s="82"/>
      <c r="AP582" s="82"/>
      <c r="AQ582" s="82"/>
    </row>
    <row r="583" spans="1:43" ht="15" x14ac:dyDescent="0.35">
      <c r="A583" s="85"/>
      <c r="B583" s="86"/>
      <c r="C583" s="87"/>
      <c r="D583" s="87"/>
      <c r="E583" s="87"/>
      <c r="F583" s="87"/>
      <c r="G583" s="88"/>
      <c r="H583" s="87"/>
      <c r="I583" s="87"/>
      <c r="J583" s="87"/>
      <c r="K583" s="8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M583" s="17"/>
      <c r="AN583" s="17"/>
      <c r="AO583" s="17"/>
      <c r="AP583" s="17"/>
      <c r="AQ583" s="17"/>
    </row>
    <row r="584" spans="1:43" s="84" customFormat="1" ht="15" x14ac:dyDescent="0.35">
      <c r="A584" s="80"/>
      <c r="B584" s="81"/>
      <c r="C584" s="82"/>
      <c r="D584" s="82"/>
      <c r="E584" s="82"/>
      <c r="F584" s="82"/>
      <c r="G584" s="83"/>
      <c r="H584" s="82"/>
      <c r="I584" s="82"/>
      <c r="J584" s="82"/>
      <c r="K584" s="82"/>
      <c r="L584" s="76"/>
      <c r="M584" s="82"/>
      <c r="N584" s="82"/>
      <c r="O584" s="82"/>
      <c r="P584" s="82"/>
      <c r="Q584" s="82"/>
      <c r="R584" s="82"/>
      <c r="S584" s="82"/>
      <c r="T584" s="82"/>
      <c r="U584" s="82"/>
      <c r="V584" s="82"/>
      <c r="W584" s="82"/>
      <c r="X584" s="82"/>
      <c r="Y584" s="76"/>
      <c r="Z584" s="82"/>
      <c r="AA584" s="82"/>
      <c r="AB584" s="82"/>
      <c r="AC584" s="82"/>
      <c r="AD584" s="82"/>
      <c r="AE584" s="82"/>
      <c r="AF584" s="82"/>
      <c r="AG584" s="82"/>
      <c r="AH584" s="82"/>
      <c r="AI584" s="82"/>
      <c r="AJ584" s="82"/>
      <c r="AK584" s="82"/>
      <c r="AL584" s="76"/>
      <c r="AM584" s="82"/>
      <c r="AN584" s="82"/>
      <c r="AO584" s="82"/>
      <c r="AP584" s="82"/>
      <c r="AQ584" s="82"/>
    </row>
    <row r="585" spans="1:43" ht="15" x14ac:dyDescent="0.35">
      <c r="A585" s="85"/>
      <c r="B585" s="86"/>
      <c r="C585" s="87"/>
      <c r="D585" s="87"/>
      <c r="E585" s="87"/>
      <c r="F585" s="87"/>
      <c r="G585" s="88"/>
      <c r="H585" s="87"/>
      <c r="I585" s="87"/>
      <c r="J585" s="87"/>
      <c r="K585" s="8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M585" s="17"/>
      <c r="AN585" s="17"/>
      <c r="AO585" s="17"/>
      <c r="AP585" s="17"/>
      <c r="AQ585" s="17"/>
    </row>
    <row r="586" spans="1:43" s="84" customFormat="1" ht="15" x14ac:dyDescent="0.35">
      <c r="A586" s="80"/>
      <c r="B586" s="81"/>
      <c r="C586" s="82"/>
      <c r="D586" s="82"/>
      <c r="E586" s="82"/>
      <c r="F586" s="82"/>
      <c r="G586" s="83"/>
      <c r="H586" s="82"/>
      <c r="I586" s="82"/>
      <c r="J586" s="82"/>
      <c r="K586" s="82"/>
      <c r="L586" s="76"/>
      <c r="M586" s="82"/>
      <c r="N586" s="82"/>
      <c r="O586" s="82"/>
      <c r="P586" s="82"/>
      <c r="Q586" s="82"/>
      <c r="R586" s="82"/>
      <c r="S586" s="82"/>
      <c r="T586" s="82"/>
      <c r="U586" s="82"/>
      <c r="V586" s="82"/>
      <c r="W586" s="82"/>
      <c r="X586" s="82"/>
      <c r="Y586" s="76"/>
      <c r="Z586" s="82"/>
      <c r="AA586" s="82"/>
      <c r="AB586" s="82"/>
      <c r="AC586" s="82"/>
      <c r="AD586" s="82"/>
      <c r="AE586" s="82"/>
      <c r="AF586" s="82"/>
      <c r="AG586" s="82"/>
      <c r="AH586" s="82"/>
      <c r="AI586" s="82"/>
      <c r="AJ586" s="82"/>
      <c r="AK586" s="82"/>
      <c r="AL586" s="76"/>
      <c r="AM586" s="82"/>
      <c r="AN586" s="82"/>
      <c r="AO586" s="82"/>
      <c r="AP586" s="82"/>
      <c r="AQ586" s="82"/>
    </row>
    <row r="587" spans="1:43" ht="15" x14ac:dyDescent="0.35">
      <c r="A587" s="85"/>
      <c r="B587" s="86"/>
      <c r="C587" s="87"/>
      <c r="D587" s="87"/>
      <c r="E587" s="87"/>
      <c r="F587" s="87"/>
      <c r="G587" s="88"/>
      <c r="H587" s="87"/>
      <c r="I587" s="87"/>
      <c r="J587" s="87"/>
      <c r="K587" s="8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M587" s="17"/>
      <c r="AN587" s="17"/>
      <c r="AO587" s="17"/>
      <c r="AP587" s="17"/>
      <c r="AQ587" s="17"/>
    </row>
    <row r="588" spans="1:43" s="84" customFormat="1" ht="15" x14ac:dyDescent="0.35">
      <c r="A588" s="80"/>
      <c r="B588" s="81"/>
      <c r="C588" s="82"/>
      <c r="D588" s="82"/>
      <c r="E588" s="82"/>
      <c r="F588" s="82"/>
      <c r="G588" s="83"/>
      <c r="H588" s="82"/>
      <c r="I588" s="82"/>
      <c r="J588" s="82"/>
      <c r="K588" s="82"/>
      <c r="L588" s="76"/>
      <c r="M588" s="82"/>
      <c r="N588" s="82"/>
      <c r="O588" s="82"/>
      <c r="P588" s="82"/>
      <c r="Q588" s="82"/>
      <c r="R588" s="82"/>
      <c r="S588" s="82"/>
      <c r="T588" s="82"/>
      <c r="U588" s="82"/>
      <c r="V588" s="82"/>
      <c r="W588" s="82"/>
      <c r="X588" s="82"/>
      <c r="Y588" s="76"/>
      <c r="Z588" s="82"/>
      <c r="AA588" s="82"/>
      <c r="AB588" s="82"/>
      <c r="AC588" s="82"/>
      <c r="AD588" s="82"/>
      <c r="AE588" s="82"/>
      <c r="AF588" s="82"/>
      <c r="AG588" s="82"/>
      <c r="AH588" s="82"/>
      <c r="AI588" s="82"/>
      <c r="AJ588" s="82"/>
      <c r="AK588" s="82"/>
      <c r="AL588" s="76"/>
      <c r="AM588" s="82"/>
      <c r="AN588" s="82"/>
      <c r="AO588" s="82"/>
      <c r="AP588" s="82"/>
      <c r="AQ588" s="82"/>
    </row>
    <row r="589" spans="1:43" ht="15" x14ac:dyDescent="0.35">
      <c r="A589" s="85"/>
      <c r="B589" s="86"/>
      <c r="C589" s="87"/>
      <c r="D589" s="87"/>
      <c r="E589" s="87"/>
      <c r="F589" s="87"/>
      <c r="G589" s="88"/>
      <c r="H589" s="87"/>
      <c r="I589" s="87"/>
      <c r="J589" s="87"/>
      <c r="K589" s="8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M589" s="17"/>
      <c r="AN589" s="17"/>
      <c r="AO589" s="17"/>
      <c r="AP589" s="17"/>
      <c r="AQ589" s="17"/>
    </row>
    <row r="590" spans="1:43" s="84" customFormat="1" ht="15" x14ac:dyDescent="0.35">
      <c r="A590" s="80"/>
      <c r="B590" s="81"/>
      <c r="C590" s="82"/>
      <c r="D590" s="82"/>
      <c r="E590" s="82"/>
      <c r="F590" s="82"/>
      <c r="G590" s="83"/>
      <c r="H590" s="82"/>
      <c r="I590" s="82"/>
      <c r="J590" s="82"/>
      <c r="K590" s="82"/>
      <c r="L590" s="76"/>
      <c r="M590" s="82"/>
      <c r="N590" s="82"/>
      <c r="O590" s="82"/>
      <c r="P590" s="82"/>
      <c r="Q590" s="82"/>
      <c r="R590" s="82"/>
      <c r="S590" s="82"/>
      <c r="T590" s="82"/>
      <c r="U590" s="82"/>
      <c r="V590" s="82"/>
      <c r="W590" s="82"/>
      <c r="X590" s="82"/>
      <c r="Y590" s="76"/>
      <c r="Z590" s="82"/>
      <c r="AA590" s="82"/>
      <c r="AB590" s="82"/>
      <c r="AC590" s="82"/>
      <c r="AD590" s="82"/>
      <c r="AE590" s="82"/>
      <c r="AF590" s="82"/>
      <c r="AG590" s="82"/>
      <c r="AH590" s="82"/>
      <c r="AI590" s="82"/>
      <c r="AJ590" s="82"/>
      <c r="AK590" s="82"/>
      <c r="AL590" s="76"/>
      <c r="AM590" s="82"/>
      <c r="AN590" s="82"/>
      <c r="AO590" s="82"/>
      <c r="AP590" s="82"/>
      <c r="AQ590" s="82"/>
    </row>
    <row r="591" spans="1:43" ht="15" x14ac:dyDescent="0.35">
      <c r="A591" s="85"/>
      <c r="B591" s="86"/>
      <c r="C591" s="87"/>
      <c r="D591" s="87"/>
      <c r="E591" s="87"/>
      <c r="F591" s="87"/>
      <c r="G591" s="88"/>
      <c r="H591" s="87"/>
      <c r="I591" s="87"/>
      <c r="J591" s="87"/>
      <c r="K591" s="8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M591" s="17"/>
      <c r="AN591" s="17"/>
      <c r="AO591" s="17"/>
      <c r="AP591" s="17"/>
      <c r="AQ591" s="17"/>
    </row>
    <row r="592" spans="1:43" s="84" customFormat="1" ht="15" x14ac:dyDescent="0.35">
      <c r="A592" s="80"/>
      <c r="B592" s="81"/>
      <c r="C592" s="82"/>
      <c r="D592" s="82"/>
      <c r="E592" s="82"/>
      <c r="F592" s="82"/>
      <c r="G592" s="83"/>
      <c r="H592" s="82"/>
      <c r="I592" s="82"/>
      <c r="J592" s="82"/>
      <c r="K592" s="82"/>
      <c r="L592" s="76"/>
      <c r="M592" s="82"/>
      <c r="N592" s="82"/>
      <c r="O592" s="82"/>
      <c r="P592" s="82"/>
      <c r="Q592" s="82"/>
      <c r="R592" s="82"/>
      <c r="S592" s="82"/>
      <c r="T592" s="82"/>
      <c r="U592" s="82"/>
      <c r="V592" s="82"/>
      <c r="W592" s="82"/>
      <c r="X592" s="82"/>
      <c r="Y592" s="76"/>
      <c r="Z592" s="82"/>
      <c r="AA592" s="82"/>
      <c r="AB592" s="82"/>
      <c r="AC592" s="82"/>
      <c r="AD592" s="82"/>
      <c r="AE592" s="82"/>
      <c r="AF592" s="82"/>
      <c r="AG592" s="82"/>
      <c r="AH592" s="82"/>
      <c r="AI592" s="82"/>
      <c r="AJ592" s="82"/>
      <c r="AK592" s="82"/>
      <c r="AL592" s="76"/>
      <c r="AM592" s="82"/>
      <c r="AN592" s="82"/>
      <c r="AO592" s="82"/>
      <c r="AP592" s="82"/>
      <c r="AQ592" s="82"/>
    </row>
    <row r="593" spans="1:43" ht="15" x14ac:dyDescent="0.35">
      <c r="A593" s="85"/>
      <c r="B593" s="86"/>
      <c r="C593" s="87"/>
      <c r="D593" s="87"/>
      <c r="E593" s="87"/>
      <c r="F593" s="87"/>
      <c r="G593" s="88"/>
      <c r="H593" s="87"/>
      <c r="I593" s="87"/>
      <c r="J593" s="87"/>
      <c r="K593" s="8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M593" s="17"/>
      <c r="AN593" s="17"/>
      <c r="AO593" s="17"/>
      <c r="AP593" s="17"/>
      <c r="AQ593" s="17"/>
    </row>
    <row r="594" spans="1:43" s="84" customFormat="1" ht="15" x14ac:dyDescent="0.35">
      <c r="A594" s="80"/>
      <c r="B594" s="81"/>
      <c r="C594" s="82"/>
      <c r="D594" s="82"/>
      <c r="E594" s="82"/>
      <c r="F594" s="82"/>
      <c r="G594" s="83"/>
      <c r="H594" s="82"/>
      <c r="I594" s="82"/>
      <c r="J594" s="82"/>
      <c r="K594" s="82"/>
      <c r="L594" s="76"/>
      <c r="M594" s="82"/>
      <c r="N594" s="82"/>
      <c r="O594" s="82"/>
      <c r="P594" s="82"/>
      <c r="Q594" s="82"/>
      <c r="R594" s="82"/>
      <c r="S594" s="82"/>
      <c r="T594" s="82"/>
      <c r="U594" s="82"/>
      <c r="V594" s="82"/>
      <c r="W594" s="82"/>
      <c r="X594" s="82"/>
      <c r="Y594" s="76"/>
      <c r="Z594" s="82"/>
      <c r="AA594" s="82"/>
      <c r="AB594" s="82"/>
      <c r="AC594" s="82"/>
      <c r="AD594" s="82"/>
      <c r="AE594" s="82"/>
      <c r="AF594" s="82"/>
      <c r="AG594" s="82"/>
      <c r="AH594" s="82"/>
      <c r="AI594" s="82"/>
      <c r="AJ594" s="82"/>
      <c r="AK594" s="82"/>
      <c r="AL594" s="76"/>
      <c r="AM594" s="82"/>
      <c r="AN594" s="82"/>
      <c r="AO594" s="82"/>
      <c r="AP594" s="82"/>
      <c r="AQ594" s="82"/>
    </row>
    <row r="595" spans="1:43" ht="15" x14ac:dyDescent="0.35">
      <c r="A595" s="85"/>
      <c r="B595" s="86"/>
      <c r="C595" s="87"/>
      <c r="D595" s="87"/>
      <c r="E595" s="87"/>
      <c r="F595" s="87"/>
      <c r="G595" s="88"/>
      <c r="H595" s="87"/>
      <c r="I595" s="87"/>
      <c r="J595" s="87"/>
      <c r="K595" s="8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M595" s="17"/>
      <c r="AN595" s="17"/>
      <c r="AO595" s="17"/>
      <c r="AP595" s="17"/>
      <c r="AQ595" s="17"/>
    </row>
    <row r="596" spans="1:43" s="84" customFormat="1" ht="15" x14ac:dyDescent="0.35">
      <c r="A596" s="80"/>
      <c r="B596" s="81"/>
      <c r="C596" s="82"/>
      <c r="D596" s="82"/>
      <c r="E596" s="82"/>
      <c r="F596" s="82"/>
      <c r="G596" s="83"/>
      <c r="H596" s="82"/>
      <c r="I596" s="82"/>
      <c r="J596" s="82"/>
      <c r="K596" s="82"/>
      <c r="L596" s="76"/>
      <c r="M596" s="82"/>
      <c r="N596" s="82"/>
      <c r="O596" s="82"/>
      <c r="P596" s="82"/>
      <c r="Q596" s="82"/>
      <c r="R596" s="82"/>
      <c r="S596" s="82"/>
      <c r="T596" s="82"/>
      <c r="U596" s="82"/>
      <c r="V596" s="82"/>
      <c r="W596" s="82"/>
      <c r="X596" s="82"/>
      <c r="Y596" s="76"/>
      <c r="Z596" s="82"/>
      <c r="AA596" s="82"/>
      <c r="AB596" s="82"/>
      <c r="AC596" s="82"/>
      <c r="AD596" s="82"/>
      <c r="AE596" s="82"/>
      <c r="AF596" s="82"/>
      <c r="AG596" s="82"/>
      <c r="AH596" s="82"/>
      <c r="AI596" s="82"/>
      <c r="AJ596" s="82"/>
      <c r="AK596" s="82"/>
      <c r="AL596" s="76"/>
      <c r="AM596" s="82"/>
      <c r="AN596" s="82"/>
      <c r="AO596" s="82"/>
      <c r="AP596" s="82"/>
      <c r="AQ596" s="82"/>
    </row>
    <row r="597" spans="1:43" ht="15" x14ac:dyDescent="0.35">
      <c r="A597" s="85"/>
      <c r="B597" s="86"/>
      <c r="C597" s="87"/>
      <c r="D597" s="87"/>
      <c r="E597" s="87"/>
      <c r="F597" s="87"/>
      <c r="G597" s="88"/>
      <c r="H597" s="87"/>
      <c r="I597" s="87"/>
      <c r="J597" s="87"/>
      <c r="K597" s="8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M597" s="17"/>
      <c r="AN597" s="17"/>
      <c r="AO597" s="17"/>
      <c r="AP597" s="17"/>
      <c r="AQ597" s="17"/>
    </row>
    <row r="598" spans="1:43" s="84" customFormat="1" ht="15" x14ac:dyDescent="0.35">
      <c r="A598" s="80"/>
      <c r="B598" s="81"/>
      <c r="C598" s="82"/>
      <c r="D598" s="82"/>
      <c r="E598" s="82"/>
      <c r="F598" s="82"/>
      <c r="G598" s="83"/>
      <c r="H598" s="82"/>
      <c r="I598" s="82"/>
      <c r="J598" s="82"/>
      <c r="K598" s="82"/>
      <c r="L598" s="76"/>
      <c r="M598" s="82"/>
      <c r="N598" s="82"/>
      <c r="O598" s="82"/>
      <c r="P598" s="82"/>
      <c r="Q598" s="82"/>
      <c r="R598" s="82"/>
      <c r="S598" s="82"/>
      <c r="T598" s="82"/>
      <c r="U598" s="82"/>
      <c r="V598" s="82"/>
      <c r="W598" s="82"/>
      <c r="X598" s="82"/>
      <c r="Y598" s="76"/>
      <c r="Z598" s="82"/>
      <c r="AA598" s="82"/>
      <c r="AB598" s="82"/>
      <c r="AC598" s="82"/>
      <c r="AD598" s="82"/>
      <c r="AE598" s="82"/>
      <c r="AF598" s="82"/>
      <c r="AG598" s="82"/>
      <c r="AH598" s="82"/>
      <c r="AI598" s="82"/>
      <c r="AJ598" s="82"/>
      <c r="AK598" s="82"/>
      <c r="AL598" s="76"/>
      <c r="AM598" s="82"/>
      <c r="AN598" s="82"/>
      <c r="AO598" s="82"/>
      <c r="AP598" s="82"/>
      <c r="AQ598" s="82"/>
    </row>
    <row r="599" spans="1:43" ht="15" x14ac:dyDescent="0.35">
      <c r="A599" s="85"/>
      <c r="B599" s="86"/>
      <c r="C599" s="87"/>
      <c r="D599" s="87"/>
      <c r="E599" s="87"/>
      <c r="F599" s="87"/>
      <c r="G599" s="88"/>
      <c r="H599" s="87"/>
      <c r="I599" s="87"/>
      <c r="J599" s="87"/>
      <c r="K599" s="8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M599" s="17"/>
      <c r="AN599" s="17"/>
      <c r="AO599" s="17"/>
      <c r="AP599" s="17"/>
      <c r="AQ599" s="17"/>
    </row>
    <row r="600" spans="1:43" s="84" customFormat="1" ht="15" x14ac:dyDescent="0.35">
      <c r="A600" s="80"/>
      <c r="B600" s="81"/>
      <c r="C600" s="82"/>
      <c r="D600" s="82"/>
      <c r="E600" s="82"/>
      <c r="F600" s="82"/>
      <c r="G600" s="83"/>
      <c r="H600" s="82"/>
      <c r="I600" s="82"/>
      <c r="J600" s="82"/>
      <c r="K600" s="82"/>
      <c r="L600" s="76"/>
      <c r="M600" s="82"/>
      <c r="N600" s="82"/>
      <c r="O600" s="82"/>
      <c r="P600" s="82"/>
      <c r="Q600" s="82"/>
      <c r="R600" s="82"/>
      <c r="S600" s="82"/>
      <c r="T600" s="82"/>
      <c r="U600" s="82"/>
      <c r="V600" s="82"/>
      <c r="W600" s="82"/>
      <c r="X600" s="82"/>
      <c r="Y600" s="76"/>
      <c r="Z600" s="82"/>
      <c r="AA600" s="82"/>
      <c r="AB600" s="82"/>
      <c r="AC600" s="82"/>
      <c r="AD600" s="82"/>
      <c r="AE600" s="82"/>
      <c r="AF600" s="82"/>
      <c r="AG600" s="82"/>
      <c r="AH600" s="82"/>
      <c r="AI600" s="82"/>
      <c r="AJ600" s="82"/>
      <c r="AK600" s="82"/>
      <c r="AL600" s="76"/>
      <c r="AM600" s="82"/>
      <c r="AN600" s="82"/>
      <c r="AO600" s="82"/>
      <c r="AP600" s="82"/>
      <c r="AQ600" s="82"/>
    </row>
    <row r="601" spans="1:43" ht="15" x14ac:dyDescent="0.35">
      <c r="A601" s="85"/>
      <c r="B601" s="86"/>
      <c r="C601" s="87"/>
      <c r="D601" s="87"/>
      <c r="E601" s="87"/>
      <c r="F601" s="87"/>
      <c r="G601" s="88"/>
      <c r="H601" s="87"/>
      <c r="I601" s="87"/>
      <c r="J601" s="87"/>
      <c r="K601" s="8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M601" s="17"/>
      <c r="AN601" s="17"/>
      <c r="AO601" s="17"/>
      <c r="AP601" s="17"/>
      <c r="AQ601" s="17"/>
    </row>
    <row r="602" spans="1:43" s="84" customFormat="1" ht="15" x14ac:dyDescent="0.35">
      <c r="A602" s="80"/>
      <c r="B602" s="81"/>
      <c r="C602" s="82"/>
      <c r="D602" s="82"/>
      <c r="E602" s="82"/>
      <c r="F602" s="82"/>
      <c r="G602" s="83"/>
      <c r="H602" s="82"/>
      <c r="I602" s="82"/>
      <c r="J602" s="82"/>
      <c r="K602" s="82"/>
      <c r="L602" s="76"/>
      <c r="M602" s="82"/>
      <c r="N602" s="82"/>
      <c r="O602" s="82"/>
      <c r="P602" s="82"/>
      <c r="Q602" s="82"/>
      <c r="R602" s="82"/>
      <c r="S602" s="82"/>
      <c r="T602" s="82"/>
      <c r="U602" s="82"/>
      <c r="V602" s="82"/>
      <c r="W602" s="82"/>
      <c r="X602" s="82"/>
      <c r="Y602" s="76"/>
      <c r="Z602" s="82"/>
      <c r="AA602" s="82"/>
      <c r="AB602" s="82"/>
      <c r="AC602" s="82"/>
      <c r="AD602" s="82"/>
      <c r="AE602" s="82"/>
      <c r="AF602" s="82"/>
      <c r="AG602" s="82"/>
      <c r="AH602" s="82"/>
      <c r="AI602" s="82"/>
      <c r="AJ602" s="82"/>
      <c r="AK602" s="82"/>
      <c r="AL602" s="76"/>
      <c r="AM602" s="82"/>
      <c r="AN602" s="82"/>
      <c r="AO602" s="82"/>
      <c r="AP602" s="82"/>
      <c r="AQ602" s="82"/>
    </row>
    <row r="603" spans="1:43" ht="15" x14ac:dyDescent="0.35">
      <c r="A603" s="85"/>
      <c r="B603" s="86"/>
      <c r="C603" s="87"/>
      <c r="D603" s="87"/>
      <c r="E603" s="87"/>
      <c r="F603" s="87"/>
      <c r="G603" s="88"/>
      <c r="H603" s="87"/>
      <c r="I603" s="87"/>
      <c r="J603" s="87"/>
      <c r="K603" s="8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M603" s="17"/>
      <c r="AN603" s="17"/>
      <c r="AO603" s="17"/>
      <c r="AP603" s="17"/>
      <c r="AQ603" s="17"/>
    </row>
    <row r="604" spans="1:43" s="84" customFormat="1" ht="15" x14ac:dyDescent="0.35">
      <c r="A604" s="80"/>
      <c r="B604" s="81"/>
      <c r="C604" s="82"/>
      <c r="D604" s="82"/>
      <c r="E604" s="82"/>
      <c r="F604" s="82"/>
      <c r="G604" s="83"/>
      <c r="H604" s="82"/>
      <c r="I604" s="82"/>
      <c r="J604" s="82"/>
      <c r="K604" s="82"/>
      <c r="L604" s="76"/>
      <c r="M604" s="82"/>
      <c r="N604" s="82"/>
      <c r="O604" s="82"/>
      <c r="P604" s="82"/>
      <c r="Q604" s="82"/>
      <c r="R604" s="82"/>
      <c r="S604" s="82"/>
      <c r="T604" s="82"/>
      <c r="U604" s="82"/>
      <c r="V604" s="82"/>
      <c r="W604" s="82"/>
      <c r="X604" s="82"/>
      <c r="Y604" s="76"/>
      <c r="Z604" s="82"/>
      <c r="AA604" s="82"/>
      <c r="AB604" s="82"/>
      <c r="AC604" s="82"/>
      <c r="AD604" s="82"/>
      <c r="AE604" s="82"/>
      <c r="AF604" s="82"/>
      <c r="AG604" s="82"/>
      <c r="AH604" s="82"/>
      <c r="AI604" s="82"/>
      <c r="AJ604" s="82"/>
      <c r="AK604" s="82"/>
      <c r="AL604" s="76"/>
      <c r="AM604" s="82"/>
      <c r="AN604" s="82"/>
      <c r="AO604" s="82"/>
      <c r="AP604" s="82"/>
      <c r="AQ604" s="82"/>
    </row>
    <row r="605" spans="1:43" ht="15" x14ac:dyDescent="0.35">
      <c r="A605" s="85"/>
      <c r="B605" s="86"/>
      <c r="C605" s="87"/>
      <c r="D605" s="87"/>
      <c r="E605" s="87"/>
      <c r="F605" s="87"/>
      <c r="G605" s="88"/>
      <c r="H605" s="87"/>
      <c r="I605" s="87"/>
      <c r="J605" s="87"/>
      <c r="K605" s="8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M605" s="17"/>
      <c r="AN605" s="17"/>
      <c r="AO605" s="17"/>
      <c r="AP605" s="17"/>
      <c r="AQ605" s="17"/>
    </row>
    <row r="606" spans="1:43" s="84" customFormat="1" ht="15" x14ac:dyDescent="0.35">
      <c r="A606" s="80"/>
      <c r="B606" s="81"/>
      <c r="C606" s="82"/>
      <c r="D606" s="82"/>
      <c r="E606" s="82"/>
      <c r="F606" s="82"/>
      <c r="G606" s="83"/>
      <c r="H606" s="82"/>
      <c r="I606" s="82"/>
      <c r="J606" s="82"/>
      <c r="K606" s="82"/>
      <c r="L606" s="76"/>
      <c r="M606" s="82"/>
      <c r="N606" s="82"/>
      <c r="O606" s="82"/>
      <c r="P606" s="82"/>
      <c r="Q606" s="82"/>
      <c r="R606" s="82"/>
      <c r="S606" s="82"/>
      <c r="T606" s="82"/>
      <c r="U606" s="82"/>
      <c r="V606" s="82"/>
      <c r="W606" s="82"/>
      <c r="X606" s="82"/>
      <c r="Y606" s="76"/>
      <c r="Z606" s="82"/>
      <c r="AA606" s="82"/>
      <c r="AB606" s="82"/>
      <c r="AC606" s="82"/>
      <c r="AD606" s="82"/>
      <c r="AE606" s="82"/>
      <c r="AF606" s="82"/>
      <c r="AG606" s="82"/>
      <c r="AH606" s="82"/>
      <c r="AI606" s="82"/>
      <c r="AJ606" s="82"/>
      <c r="AK606" s="82"/>
      <c r="AL606" s="76"/>
      <c r="AM606" s="82"/>
      <c r="AN606" s="82"/>
      <c r="AO606" s="82"/>
      <c r="AP606" s="82"/>
      <c r="AQ606" s="82"/>
    </row>
    <row r="607" spans="1:43" ht="15" x14ac:dyDescent="0.35">
      <c r="A607" s="85"/>
      <c r="B607" s="86"/>
      <c r="C607" s="87"/>
      <c r="D607" s="87"/>
      <c r="E607" s="87"/>
      <c r="F607" s="87"/>
      <c r="G607" s="88"/>
      <c r="H607" s="87"/>
      <c r="I607" s="87"/>
      <c r="J607" s="87"/>
      <c r="K607" s="8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M607" s="17"/>
      <c r="AN607" s="17"/>
      <c r="AO607" s="17"/>
      <c r="AP607" s="17"/>
      <c r="AQ607" s="17"/>
    </row>
    <row r="608" spans="1:43" s="84" customFormat="1" ht="15" x14ac:dyDescent="0.35">
      <c r="A608" s="80"/>
      <c r="B608" s="81"/>
      <c r="C608" s="82"/>
      <c r="D608" s="82"/>
      <c r="E608" s="82"/>
      <c r="F608" s="82"/>
      <c r="G608" s="83"/>
      <c r="H608" s="82"/>
      <c r="I608" s="82"/>
      <c r="J608" s="82"/>
      <c r="K608" s="82"/>
      <c r="L608" s="76"/>
      <c r="M608" s="82"/>
      <c r="N608" s="82"/>
      <c r="O608" s="82"/>
      <c r="P608" s="82"/>
      <c r="Q608" s="82"/>
      <c r="R608" s="82"/>
      <c r="S608" s="82"/>
      <c r="T608" s="82"/>
      <c r="U608" s="82"/>
      <c r="V608" s="82"/>
      <c r="W608" s="82"/>
      <c r="X608" s="82"/>
      <c r="Y608" s="76"/>
      <c r="Z608" s="82"/>
      <c r="AA608" s="82"/>
      <c r="AB608" s="82"/>
      <c r="AC608" s="82"/>
      <c r="AD608" s="82"/>
      <c r="AE608" s="82"/>
      <c r="AF608" s="82"/>
      <c r="AG608" s="82"/>
      <c r="AH608" s="82"/>
      <c r="AI608" s="82"/>
      <c r="AJ608" s="82"/>
      <c r="AK608" s="82"/>
      <c r="AL608" s="76"/>
      <c r="AM608" s="82"/>
      <c r="AN608" s="82"/>
      <c r="AO608" s="82"/>
      <c r="AP608" s="82"/>
      <c r="AQ608" s="82"/>
    </row>
    <row r="609" spans="1:43" ht="15" x14ac:dyDescent="0.35">
      <c r="A609" s="85"/>
      <c r="B609" s="86"/>
      <c r="C609" s="87"/>
      <c r="D609" s="87"/>
      <c r="E609" s="87"/>
      <c r="F609" s="87"/>
      <c r="G609" s="88"/>
      <c r="H609" s="87"/>
      <c r="I609" s="87"/>
      <c r="J609" s="87"/>
      <c r="K609" s="8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M609" s="17"/>
      <c r="AN609" s="17"/>
      <c r="AO609" s="17"/>
      <c r="AP609" s="17"/>
      <c r="AQ609" s="17"/>
    </row>
    <row r="610" spans="1:43" s="84" customFormat="1" ht="15" x14ac:dyDescent="0.35">
      <c r="A610" s="80"/>
      <c r="B610" s="81"/>
      <c r="C610" s="82"/>
      <c r="D610" s="82"/>
      <c r="E610" s="82"/>
      <c r="F610" s="82"/>
      <c r="G610" s="83"/>
      <c r="H610" s="82"/>
      <c r="I610" s="82"/>
      <c r="J610" s="82"/>
      <c r="K610" s="82"/>
      <c r="L610" s="76"/>
      <c r="M610" s="82"/>
      <c r="N610" s="82"/>
      <c r="O610" s="82"/>
      <c r="P610" s="82"/>
      <c r="Q610" s="82"/>
      <c r="R610" s="82"/>
      <c r="S610" s="82"/>
      <c r="T610" s="82"/>
      <c r="U610" s="82"/>
      <c r="V610" s="82"/>
      <c r="W610" s="82"/>
      <c r="X610" s="82"/>
      <c r="Y610" s="76"/>
      <c r="Z610" s="82"/>
      <c r="AA610" s="82"/>
      <c r="AB610" s="82"/>
      <c r="AC610" s="82"/>
      <c r="AD610" s="82"/>
      <c r="AE610" s="82"/>
      <c r="AF610" s="82"/>
      <c r="AG610" s="82"/>
      <c r="AH610" s="82"/>
      <c r="AI610" s="82"/>
      <c r="AJ610" s="82"/>
      <c r="AK610" s="82"/>
      <c r="AL610" s="76"/>
      <c r="AM610" s="82"/>
      <c r="AN610" s="82"/>
      <c r="AO610" s="82"/>
      <c r="AP610" s="82"/>
      <c r="AQ610" s="82"/>
    </row>
    <row r="611" spans="1:43" ht="15" x14ac:dyDescent="0.35">
      <c r="A611" s="85"/>
      <c r="B611" s="86"/>
      <c r="C611" s="87"/>
      <c r="D611" s="87"/>
      <c r="E611" s="87"/>
      <c r="F611" s="87"/>
      <c r="G611" s="88"/>
      <c r="H611" s="87"/>
      <c r="I611" s="87"/>
      <c r="J611" s="87"/>
      <c r="K611" s="8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M611" s="17"/>
      <c r="AN611" s="17"/>
      <c r="AO611" s="17"/>
      <c r="AP611" s="17"/>
      <c r="AQ611" s="17"/>
    </row>
    <row r="612" spans="1:43" s="84" customFormat="1" ht="15" x14ac:dyDescent="0.35">
      <c r="A612" s="80"/>
      <c r="B612" s="81"/>
      <c r="C612" s="82"/>
      <c r="D612" s="82"/>
      <c r="E612" s="82"/>
      <c r="F612" s="82"/>
      <c r="G612" s="83"/>
      <c r="H612" s="82"/>
      <c r="I612" s="82"/>
      <c r="J612" s="82"/>
      <c r="K612" s="82"/>
      <c r="L612" s="76"/>
      <c r="M612" s="82"/>
      <c r="N612" s="82"/>
      <c r="O612" s="82"/>
      <c r="P612" s="82"/>
      <c r="Q612" s="82"/>
      <c r="R612" s="82"/>
      <c r="S612" s="82"/>
      <c r="T612" s="82"/>
      <c r="U612" s="82"/>
      <c r="V612" s="82"/>
      <c r="W612" s="82"/>
      <c r="X612" s="82"/>
      <c r="Y612" s="76"/>
      <c r="Z612" s="82"/>
      <c r="AA612" s="82"/>
      <c r="AB612" s="82"/>
      <c r="AC612" s="82"/>
      <c r="AD612" s="82"/>
      <c r="AE612" s="82"/>
      <c r="AF612" s="82"/>
      <c r="AG612" s="82"/>
      <c r="AH612" s="82"/>
      <c r="AI612" s="82"/>
      <c r="AJ612" s="82"/>
      <c r="AK612" s="82"/>
      <c r="AL612" s="76"/>
      <c r="AM612" s="82"/>
      <c r="AN612" s="82"/>
      <c r="AO612" s="82"/>
      <c r="AP612" s="82"/>
      <c r="AQ612" s="82"/>
    </row>
    <row r="613" spans="1:43" ht="15" x14ac:dyDescent="0.35">
      <c r="A613" s="85"/>
      <c r="B613" s="86"/>
      <c r="C613" s="87"/>
      <c r="D613" s="87"/>
      <c r="E613" s="87"/>
      <c r="F613" s="87"/>
      <c r="G613" s="88"/>
      <c r="H613" s="87"/>
      <c r="I613" s="87"/>
      <c r="J613" s="87"/>
      <c r="K613" s="8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M613" s="17"/>
      <c r="AN613" s="17"/>
      <c r="AO613" s="17"/>
      <c r="AP613" s="17"/>
      <c r="AQ613" s="17"/>
    </row>
    <row r="614" spans="1:43" s="84" customFormat="1" ht="15" x14ac:dyDescent="0.35">
      <c r="A614" s="80"/>
      <c r="B614" s="81"/>
      <c r="C614" s="82"/>
      <c r="D614" s="82"/>
      <c r="E614" s="82"/>
      <c r="F614" s="82"/>
      <c r="G614" s="83"/>
      <c r="H614" s="82"/>
      <c r="I614" s="82"/>
      <c r="J614" s="82"/>
      <c r="K614" s="82"/>
      <c r="L614" s="76"/>
      <c r="M614" s="82"/>
      <c r="N614" s="82"/>
      <c r="O614" s="82"/>
      <c r="P614" s="82"/>
      <c r="Q614" s="82"/>
      <c r="R614" s="82"/>
      <c r="S614" s="82"/>
      <c r="T614" s="82"/>
      <c r="U614" s="82"/>
      <c r="V614" s="82"/>
      <c r="W614" s="82"/>
      <c r="X614" s="82"/>
      <c r="Y614" s="76"/>
      <c r="Z614" s="82"/>
      <c r="AA614" s="82"/>
      <c r="AB614" s="82"/>
      <c r="AC614" s="82"/>
      <c r="AD614" s="82"/>
      <c r="AE614" s="82"/>
      <c r="AF614" s="82"/>
      <c r="AG614" s="82"/>
      <c r="AH614" s="82"/>
      <c r="AI614" s="82"/>
      <c r="AJ614" s="82"/>
      <c r="AK614" s="82"/>
      <c r="AL614" s="76"/>
      <c r="AM614" s="82"/>
      <c r="AN614" s="82"/>
      <c r="AO614" s="82"/>
      <c r="AP614" s="82"/>
      <c r="AQ614" s="82"/>
    </row>
    <row r="615" spans="1:43" ht="15" x14ac:dyDescent="0.35">
      <c r="A615" s="85"/>
      <c r="B615" s="86"/>
      <c r="C615" s="87"/>
      <c r="D615" s="87"/>
      <c r="E615" s="87"/>
      <c r="F615" s="87"/>
      <c r="G615" s="88"/>
      <c r="H615" s="87"/>
      <c r="I615" s="87"/>
      <c r="J615" s="87"/>
      <c r="K615" s="8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M615" s="17"/>
      <c r="AN615" s="17"/>
      <c r="AO615" s="17"/>
      <c r="AP615" s="17"/>
      <c r="AQ615" s="17"/>
    </row>
    <row r="616" spans="1:43" s="84" customFormat="1" ht="15" x14ac:dyDescent="0.35">
      <c r="A616" s="80"/>
      <c r="B616" s="81"/>
      <c r="C616" s="82"/>
      <c r="D616" s="82"/>
      <c r="E616" s="82"/>
      <c r="F616" s="82"/>
      <c r="G616" s="83"/>
      <c r="H616" s="82"/>
      <c r="I616" s="82"/>
      <c r="J616" s="82"/>
      <c r="K616" s="82"/>
      <c r="L616" s="76"/>
      <c r="M616" s="82"/>
      <c r="N616" s="82"/>
      <c r="O616" s="82"/>
      <c r="P616" s="82"/>
      <c r="Q616" s="82"/>
      <c r="R616" s="82"/>
      <c r="S616" s="82"/>
      <c r="T616" s="82"/>
      <c r="U616" s="82"/>
      <c r="V616" s="82"/>
      <c r="W616" s="82"/>
      <c r="X616" s="82"/>
      <c r="Y616" s="76"/>
      <c r="Z616" s="82"/>
      <c r="AA616" s="82"/>
      <c r="AB616" s="82"/>
      <c r="AC616" s="82"/>
      <c r="AD616" s="82"/>
      <c r="AE616" s="82"/>
      <c r="AF616" s="82"/>
      <c r="AG616" s="82"/>
      <c r="AH616" s="82"/>
      <c r="AI616" s="82"/>
      <c r="AJ616" s="82"/>
      <c r="AK616" s="82"/>
      <c r="AL616" s="76"/>
      <c r="AM616" s="82"/>
      <c r="AN616" s="82"/>
      <c r="AO616" s="82"/>
      <c r="AP616" s="82"/>
      <c r="AQ616" s="82"/>
    </row>
    <row r="617" spans="1:43" ht="15" x14ac:dyDescent="0.35">
      <c r="A617" s="85"/>
      <c r="B617" s="86"/>
      <c r="C617" s="87"/>
      <c r="D617" s="87"/>
      <c r="E617" s="87"/>
      <c r="F617" s="87"/>
      <c r="G617" s="88"/>
      <c r="H617" s="87"/>
      <c r="I617" s="87"/>
      <c r="J617" s="87"/>
      <c r="K617" s="8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M617" s="17"/>
      <c r="AN617" s="17"/>
      <c r="AO617" s="17"/>
      <c r="AP617" s="17"/>
      <c r="AQ617" s="17"/>
    </row>
    <row r="618" spans="1:43" s="84" customFormat="1" ht="15" x14ac:dyDescent="0.35">
      <c r="A618" s="80"/>
      <c r="B618" s="81"/>
      <c r="C618" s="82"/>
      <c r="D618" s="82"/>
      <c r="E618" s="82"/>
      <c r="F618" s="82"/>
      <c r="G618" s="83"/>
      <c r="H618" s="82"/>
      <c r="I618" s="82"/>
      <c r="J618" s="82"/>
      <c r="K618" s="82"/>
      <c r="L618" s="76"/>
      <c r="M618" s="82"/>
      <c r="N618" s="82"/>
      <c r="O618" s="82"/>
      <c r="P618" s="82"/>
      <c r="Q618" s="82"/>
      <c r="R618" s="82"/>
      <c r="S618" s="82"/>
      <c r="T618" s="82"/>
      <c r="U618" s="82"/>
      <c r="V618" s="82"/>
      <c r="W618" s="82"/>
      <c r="X618" s="82"/>
      <c r="Y618" s="76"/>
      <c r="Z618" s="82"/>
      <c r="AA618" s="82"/>
      <c r="AB618" s="82"/>
      <c r="AC618" s="82"/>
      <c r="AD618" s="82"/>
      <c r="AE618" s="82"/>
      <c r="AF618" s="82"/>
      <c r="AG618" s="82"/>
      <c r="AH618" s="82"/>
      <c r="AI618" s="82"/>
      <c r="AJ618" s="82"/>
      <c r="AK618" s="82"/>
      <c r="AL618" s="76"/>
      <c r="AM618" s="82"/>
      <c r="AN618" s="82"/>
      <c r="AO618" s="82"/>
      <c r="AP618" s="82"/>
      <c r="AQ618" s="82"/>
    </row>
    <row r="619" spans="1:43" ht="15" x14ac:dyDescent="0.35">
      <c r="A619" s="85"/>
      <c r="B619" s="86"/>
      <c r="C619" s="87"/>
      <c r="D619" s="87"/>
      <c r="E619" s="87"/>
      <c r="F619" s="87"/>
      <c r="G619" s="88"/>
      <c r="H619" s="87"/>
      <c r="I619" s="87"/>
      <c r="J619" s="87"/>
      <c r="K619" s="8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M619" s="17"/>
      <c r="AN619" s="17"/>
      <c r="AO619" s="17"/>
      <c r="AP619" s="17"/>
      <c r="AQ619" s="17"/>
    </row>
    <row r="620" spans="1:43" s="84" customFormat="1" ht="15" x14ac:dyDescent="0.35">
      <c r="A620" s="80"/>
      <c r="B620" s="81"/>
      <c r="C620" s="82"/>
      <c r="D620" s="82"/>
      <c r="E620" s="82"/>
      <c r="F620" s="82"/>
      <c r="G620" s="83"/>
      <c r="H620" s="82"/>
      <c r="I620" s="82"/>
      <c r="J620" s="82"/>
      <c r="K620" s="82"/>
      <c r="L620" s="76"/>
      <c r="M620" s="82"/>
      <c r="N620" s="82"/>
      <c r="O620" s="82"/>
      <c r="P620" s="82"/>
      <c r="Q620" s="82"/>
      <c r="R620" s="82"/>
      <c r="S620" s="82"/>
      <c r="T620" s="82"/>
      <c r="U620" s="82"/>
      <c r="V620" s="82"/>
      <c r="W620" s="82"/>
      <c r="X620" s="82"/>
      <c r="Y620" s="76"/>
      <c r="Z620" s="82"/>
      <c r="AA620" s="82"/>
      <c r="AB620" s="82"/>
      <c r="AC620" s="82"/>
      <c r="AD620" s="82"/>
      <c r="AE620" s="82"/>
      <c r="AF620" s="82"/>
      <c r="AG620" s="82"/>
      <c r="AH620" s="82"/>
      <c r="AI620" s="82"/>
      <c r="AJ620" s="82"/>
      <c r="AK620" s="82"/>
      <c r="AL620" s="76"/>
      <c r="AM620" s="82"/>
      <c r="AN620" s="82"/>
      <c r="AO620" s="82"/>
      <c r="AP620" s="82"/>
      <c r="AQ620" s="82"/>
    </row>
    <row r="621" spans="1:43" ht="15" x14ac:dyDescent="0.35">
      <c r="A621" s="85"/>
      <c r="B621" s="86"/>
      <c r="C621" s="87"/>
      <c r="D621" s="87"/>
      <c r="E621" s="87"/>
      <c r="F621" s="87"/>
      <c r="G621" s="88"/>
      <c r="H621" s="87"/>
      <c r="I621" s="87"/>
      <c r="J621" s="87"/>
      <c r="K621" s="8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M621" s="17"/>
      <c r="AN621" s="17"/>
      <c r="AO621" s="17"/>
      <c r="AP621" s="17"/>
      <c r="AQ621" s="17"/>
    </row>
    <row r="622" spans="1:43" s="84" customFormat="1" ht="15" x14ac:dyDescent="0.35">
      <c r="A622" s="80"/>
      <c r="B622" s="81"/>
      <c r="C622" s="82"/>
      <c r="D622" s="82"/>
      <c r="E622" s="82"/>
      <c r="F622" s="82"/>
      <c r="G622" s="83"/>
      <c r="H622" s="82"/>
      <c r="I622" s="82"/>
      <c r="J622" s="82"/>
      <c r="K622" s="82"/>
      <c r="L622" s="76"/>
      <c r="M622" s="82"/>
      <c r="N622" s="82"/>
      <c r="O622" s="82"/>
      <c r="P622" s="82"/>
      <c r="Q622" s="82"/>
      <c r="R622" s="82"/>
      <c r="S622" s="82"/>
      <c r="T622" s="82"/>
      <c r="U622" s="82"/>
      <c r="V622" s="82"/>
      <c r="W622" s="82"/>
      <c r="X622" s="82"/>
      <c r="Y622" s="76"/>
      <c r="Z622" s="82"/>
      <c r="AA622" s="82"/>
      <c r="AB622" s="82"/>
      <c r="AC622" s="82"/>
      <c r="AD622" s="82"/>
      <c r="AE622" s="82"/>
      <c r="AF622" s="82"/>
      <c r="AG622" s="82"/>
      <c r="AH622" s="82"/>
      <c r="AI622" s="82"/>
      <c r="AJ622" s="82"/>
      <c r="AK622" s="82"/>
      <c r="AL622" s="76"/>
      <c r="AM622" s="82"/>
      <c r="AN622" s="82"/>
      <c r="AO622" s="82"/>
      <c r="AP622" s="82"/>
      <c r="AQ622" s="82"/>
    </row>
    <row r="623" spans="1:43" ht="15" x14ac:dyDescent="0.35">
      <c r="A623" s="85"/>
      <c r="B623" s="86"/>
      <c r="C623" s="87"/>
      <c r="D623" s="87"/>
      <c r="E623" s="87"/>
      <c r="F623" s="87"/>
      <c r="G623" s="88"/>
      <c r="H623" s="87"/>
      <c r="I623" s="87"/>
      <c r="J623" s="87"/>
      <c r="K623" s="8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M623" s="17"/>
      <c r="AN623" s="17"/>
      <c r="AO623" s="17"/>
      <c r="AP623" s="17"/>
      <c r="AQ623" s="17"/>
    </row>
    <row r="624" spans="1:43" s="84" customFormat="1" ht="15" x14ac:dyDescent="0.35">
      <c r="A624" s="80"/>
      <c r="B624" s="81"/>
      <c r="C624" s="82"/>
      <c r="D624" s="82"/>
      <c r="E624" s="82"/>
      <c r="F624" s="82"/>
      <c r="G624" s="83"/>
      <c r="H624" s="82"/>
      <c r="I624" s="82"/>
      <c r="J624" s="82"/>
      <c r="K624" s="82"/>
      <c r="L624" s="76"/>
      <c r="M624" s="82"/>
      <c r="N624" s="82"/>
      <c r="O624" s="82"/>
      <c r="P624" s="82"/>
      <c r="Q624" s="82"/>
      <c r="R624" s="82"/>
      <c r="S624" s="82"/>
      <c r="T624" s="82"/>
      <c r="U624" s="82"/>
      <c r="V624" s="82"/>
      <c r="W624" s="82"/>
      <c r="X624" s="82"/>
      <c r="Y624" s="76"/>
      <c r="Z624" s="82"/>
      <c r="AA624" s="82"/>
      <c r="AB624" s="82"/>
      <c r="AC624" s="82"/>
      <c r="AD624" s="82"/>
      <c r="AE624" s="82"/>
      <c r="AF624" s="82"/>
      <c r="AG624" s="82"/>
      <c r="AH624" s="82"/>
      <c r="AI624" s="82"/>
      <c r="AJ624" s="82"/>
      <c r="AK624" s="82"/>
      <c r="AL624" s="76"/>
      <c r="AM624" s="82"/>
      <c r="AN624" s="82"/>
      <c r="AO624" s="82"/>
      <c r="AP624" s="82"/>
      <c r="AQ624" s="82"/>
    </row>
    <row r="625" spans="1:43" ht="15" x14ac:dyDescent="0.35">
      <c r="A625" s="85"/>
      <c r="B625" s="86"/>
      <c r="C625" s="87"/>
      <c r="D625" s="87"/>
      <c r="E625" s="87"/>
      <c r="F625" s="87"/>
      <c r="G625" s="88"/>
      <c r="H625" s="87"/>
      <c r="I625" s="87"/>
      <c r="J625" s="87"/>
      <c r="K625" s="8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M625" s="17"/>
      <c r="AN625" s="17"/>
      <c r="AO625" s="17"/>
      <c r="AP625" s="17"/>
      <c r="AQ625" s="17"/>
    </row>
    <row r="626" spans="1:43" s="84" customFormat="1" ht="15" x14ac:dyDescent="0.35">
      <c r="A626" s="80"/>
      <c r="B626" s="81"/>
      <c r="C626" s="82"/>
      <c r="D626" s="82"/>
      <c r="E626" s="82"/>
      <c r="F626" s="82"/>
      <c r="G626" s="83"/>
      <c r="H626" s="82"/>
      <c r="I626" s="82"/>
      <c r="J626" s="82"/>
      <c r="K626" s="82"/>
      <c r="L626" s="76"/>
      <c r="M626" s="82"/>
      <c r="N626" s="82"/>
      <c r="O626" s="82"/>
      <c r="P626" s="82"/>
      <c r="Q626" s="82"/>
      <c r="R626" s="82"/>
      <c r="S626" s="82"/>
      <c r="T626" s="82"/>
      <c r="U626" s="82"/>
      <c r="V626" s="82"/>
      <c r="W626" s="82"/>
      <c r="X626" s="82"/>
      <c r="Y626" s="76"/>
      <c r="Z626" s="82"/>
      <c r="AA626" s="82"/>
      <c r="AB626" s="82"/>
      <c r="AC626" s="82"/>
      <c r="AD626" s="82"/>
      <c r="AE626" s="82"/>
      <c r="AF626" s="82"/>
      <c r="AG626" s="82"/>
      <c r="AH626" s="82"/>
      <c r="AI626" s="82"/>
      <c r="AJ626" s="82"/>
      <c r="AK626" s="82"/>
      <c r="AL626" s="76"/>
      <c r="AM626" s="82"/>
      <c r="AN626" s="82"/>
      <c r="AO626" s="82"/>
      <c r="AP626" s="82"/>
      <c r="AQ626" s="82"/>
    </row>
    <row r="627" spans="1:43" ht="15" x14ac:dyDescent="0.35">
      <c r="A627" s="85"/>
      <c r="B627" s="86"/>
      <c r="C627" s="87"/>
      <c r="D627" s="87"/>
      <c r="E627" s="87"/>
      <c r="F627" s="87"/>
      <c r="G627" s="88"/>
      <c r="H627" s="87"/>
      <c r="I627" s="87"/>
      <c r="J627" s="87"/>
      <c r="K627" s="8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M627" s="17"/>
      <c r="AN627" s="17"/>
      <c r="AO627" s="17"/>
      <c r="AP627" s="17"/>
      <c r="AQ627" s="17"/>
    </row>
    <row r="628" spans="1:43" s="84" customFormat="1" ht="15" x14ac:dyDescent="0.35">
      <c r="A628" s="80"/>
      <c r="B628" s="81"/>
      <c r="C628" s="82"/>
      <c r="D628" s="82"/>
      <c r="E628" s="82"/>
      <c r="F628" s="82"/>
      <c r="G628" s="83"/>
      <c r="H628" s="82"/>
      <c r="I628" s="82"/>
      <c r="J628" s="82"/>
      <c r="K628" s="82"/>
      <c r="L628" s="76"/>
      <c r="M628" s="82"/>
      <c r="N628" s="82"/>
      <c r="O628" s="82"/>
      <c r="P628" s="82"/>
      <c r="Q628" s="82"/>
      <c r="R628" s="82"/>
      <c r="S628" s="82"/>
      <c r="T628" s="82"/>
      <c r="U628" s="82"/>
      <c r="V628" s="82"/>
      <c r="W628" s="82"/>
      <c r="X628" s="82"/>
      <c r="Y628" s="76"/>
      <c r="Z628" s="82"/>
      <c r="AA628" s="82"/>
      <c r="AB628" s="82"/>
      <c r="AC628" s="82"/>
      <c r="AD628" s="82"/>
      <c r="AE628" s="82"/>
      <c r="AF628" s="82"/>
      <c r="AG628" s="82"/>
      <c r="AH628" s="82"/>
      <c r="AI628" s="82"/>
      <c r="AJ628" s="82"/>
      <c r="AK628" s="82"/>
      <c r="AL628" s="76"/>
      <c r="AM628" s="82"/>
      <c r="AN628" s="82"/>
      <c r="AO628" s="82"/>
      <c r="AP628" s="82"/>
      <c r="AQ628" s="82"/>
    </row>
    <row r="629" spans="1:43" ht="15" x14ac:dyDescent="0.35">
      <c r="A629" s="85"/>
      <c r="B629" s="86"/>
      <c r="C629" s="87"/>
      <c r="D629" s="87"/>
      <c r="E629" s="87"/>
      <c r="F629" s="87"/>
      <c r="G629" s="88"/>
      <c r="H629" s="87"/>
      <c r="I629" s="87"/>
      <c r="J629" s="87"/>
      <c r="K629" s="8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M629" s="17"/>
      <c r="AN629" s="17"/>
      <c r="AO629" s="17"/>
      <c r="AP629" s="17"/>
      <c r="AQ629" s="17"/>
    </row>
    <row r="630" spans="1:43" s="84" customFormat="1" ht="15" x14ac:dyDescent="0.35">
      <c r="A630" s="80"/>
      <c r="B630" s="81"/>
      <c r="C630" s="82"/>
      <c r="D630" s="82"/>
      <c r="E630" s="82"/>
      <c r="F630" s="82"/>
      <c r="G630" s="83"/>
      <c r="H630" s="82"/>
      <c r="I630" s="82"/>
      <c r="J630" s="82"/>
      <c r="K630" s="82"/>
      <c r="L630" s="76"/>
      <c r="M630" s="82"/>
      <c r="N630" s="82"/>
      <c r="O630" s="82"/>
      <c r="P630" s="82"/>
      <c r="Q630" s="82"/>
      <c r="R630" s="82"/>
      <c r="S630" s="82"/>
      <c r="T630" s="82"/>
      <c r="U630" s="82"/>
      <c r="V630" s="82"/>
      <c r="W630" s="82"/>
      <c r="X630" s="82"/>
      <c r="Y630" s="76"/>
      <c r="Z630" s="82"/>
      <c r="AA630" s="82"/>
      <c r="AB630" s="82"/>
      <c r="AC630" s="82"/>
      <c r="AD630" s="82"/>
      <c r="AE630" s="82"/>
      <c r="AF630" s="82"/>
      <c r="AG630" s="82"/>
      <c r="AH630" s="82"/>
      <c r="AI630" s="82"/>
      <c r="AJ630" s="82"/>
      <c r="AK630" s="82"/>
      <c r="AL630" s="76"/>
      <c r="AM630" s="82"/>
      <c r="AN630" s="82"/>
      <c r="AO630" s="82"/>
      <c r="AP630" s="82"/>
      <c r="AQ630" s="82"/>
    </row>
    <row r="631" spans="1:43" ht="15" x14ac:dyDescent="0.35">
      <c r="A631" s="85"/>
      <c r="B631" s="86"/>
      <c r="C631" s="87"/>
      <c r="D631" s="87"/>
      <c r="E631" s="87"/>
      <c r="F631" s="87"/>
      <c r="G631" s="88"/>
      <c r="H631" s="87"/>
      <c r="I631" s="87"/>
      <c r="J631" s="87"/>
      <c r="K631" s="8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M631" s="17"/>
      <c r="AN631" s="17"/>
      <c r="AO631" s="17"/>
      <c r="AP631" s="17"/>
      <c r="AQ631" s="17"/>
    </row>
    <row r="632" spans="1:43" s="84" customFormat="1" ht="15" x14ac:dyDescent="0.35">
      <c r="A632" s="80"/>
      <c r="B632" s="81"/>
      <c r="C632" s="82"/>
      <c r="D632" s="82"/>
      <c r="E632" s="82"/>
      <c r="F632" s="82"/>
      <c r="G632" s="83"/>
      <c r="H632" s="82"/>
      <c r="I632" s="82"/>
      <c r="J632" s="82"/>
      <c r="K632" s="82"/>
      <c r="L632" s="76"/>
      <c r="M632" s="82"/>
      <c r="N632" s="82"/>
      <c r="O632" s="82"/>
      <c r="P632" s="82"/>
      <c r="Q632" s="82"/>
      <c r="R632" s="82"/>
      <c r="S632" s="82"/>
      <c r="T632" s="82"/>
      <c r="U632" s="82"/>
      <c r="V632" s="82"/>
      <c r="W632" s="82"/>
      <c r="X632" s="82"/>
      <c r="Y632" s="76"/>
      <c r="Z632" s="82"/>
      <c r="AA632" s="82"/>
      <c r="AB632" s="82"/>
      <c r="AC632" s="82"/>
      <c r="AD632" s="82"/>
      <c r="AE632" s="82"/>
      <c r="AF632" s="82"/>
      <c r="AG632" s="82"/>
      <c r="AH632" s="82"/>
      <c r="AI632" s="82"/>
      <c r="AJ632" s="82"/>
      <c r="AK632" s="82"/>
      <c r="AL632" s="76"/>
      <c r="AM632" s="82"/>
      <c r="AN632" s="82"/>
      <c r="AO632" s="82"/>
      <c r="AP632" s="82"/>
      <c r="AQ632" s="82"/>
    </row>
    <row r="633" spans="1:43" ht="15" x14ac:dyDescent="0.35">
      <c r="A633" s="85"/>
      <c r="B633" s="86"/>
      <c r="C633" s="87"/>
      <c r="D633" s="87"/>
      <c r="E633" s="87"/>
      <c r="F633" s="87"/>
      <c r="G633" s="88"/>
      <c r="H633" s="87"/>
      <c r="I633" s="87"/>
      <c r="J633" s="87"/>
      <c r="K633" s="8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M633" s="17"/>
      <c r="AN633" s="17"/>
      <c r="AO633" s="17"/>
      <c r="AP633" s="17"/>
      <c r="AQ633" s="17"/>
    </row>
    <row r="634" spans="1:43" s="84" customFormat="1" ht="15" x14ac:dyDescent="0.35">
      <c r="A634" s="80"/>
      <c r="B634" s="81"/>
      <c r="C634" s="82"/>
      <c r="D634" s="82"/>
      <c r="E634" s="82"/>
      <c r="F634" s="82"/>
      <c r="G634" s="83"/>
      <c r="H634" s="82"/>
      <c r="I634" s="82"/>
      <c r="J634" s="82"/>
      <c r="K634" s="82"/>
      <c r="L634" s="76"/>
      <c r="M634" s="82"/>
      <c r="N634" s="82"/>
      <c r="O634" s="82"/>
      <c r="P634" s="82"/>
      <c r="Q634" s="82"/>
      <c r="R634" s="82"/>
      <c r="S634" s="82"/>
      <c r="T634" s="82"/>
      <c r="U634" s="82"/>
      <c r="V634" s="82"/>
      <c r="W634" s="82"/>
      <c r="X634" s="82"/>
      <c r="Y634" s="76"/>
      <c r="Z634" s="82"/>
      <c r="AA634" s="82"/>
      <c r="AB634" s="82"/>
      <c r="AC634" s="82"/>
      <c r="AD634" s="82"/>
      <c r="AE634" s="82"/>
      <c r="AF634" s="82"/>
      <c r="AG634" s="82"/>
      <c r="AH634" s="82"/>
      <c r="AI634" s="82"/>
      <c r="AJ634" s="82"/>
      <c r="AK634" s="82"/>
      <c r="AL634" s="76"/>
      <c r="AM634" s="82"/>
      <c r="AN634" s="82"/>
      <c r="AO634" s="82"/>
      <c r="AP634" s="82"/>
      <c r="AQ634" s="82"/>
    </row>
    <row r="635" spans="1:43" ht="15" x14ac:dyDescent="0.35">
      <c r="A635" s="85"/>
      <c r="B635" s="86"/>
      <c r="C635" s="87"/>
      <c r="D635" s="87"/>
      <c r="E635" s="87"/>
      <c r="F635" s="87"/>
      <c r="G635" s="88"/>
      <c r="H635" s="87"/>
      <c r="I635" s="87"/>
      <c r="J635" s="87"/>
      <c r="K635" s="8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M635" s="17"/>
      <c r="AN635" s="17"/>
      <c r="AO635" s="17"/>
      <c r="AP635" s="17"/>
      <c r="AQ635" s="17"/>
    </row>
    <row r="636" spans="1:43" s="84" customFormat="1" ht="15" x14ac:dyDescent="0.35">
      <c r="A636" s="80"/>
      <c r="B636" s="81"/>
      <c r="C636" s="82"/>
      <c r="D636" s="82"/>
      <c r="E636" s="82"/>
      <c r="F636" s="82"/>
      <c r="G636" s="83"/>
      <c r="H636" s="82"/>
      <c r="I636" s="82"/>
      <c r="J636" s="82"/>
      <c r="K636" s="82"/>
      <c r="L636" s="76"/>
      <c r="M636" s="82"/>
      <c r="N636" s="82"/>
      <c r="O636" s="82"/>
      <c r="P636" s="82"/>
      <c r="Q636" s="82"/>
      <c r="R636" s="82"/>
      <c r="S636" s="82"/>
      <c r="T636" s="82"/>
      <c r="U636" s="82"/>
      <c r="V636" s="82"/>
      <c r="W636" s="82"/>
      <c r="X636" s="82"/>
      <c r="Y636" s="76"/>
      <c r="Z636" s="82"/>
      <c r="AA636" s="82"/>
      <c r="AB636" s="82"/>
      <c r="AC636" s="82"/>
      <c r="AD636" s="82"/>
      <c r="AE636" s="82"/>
      <c r="AF636" s="82"/>
      <c r="AG636" s="82"/>
      <c r="AH636" s="82"/>
      <c r="AI636" s="82"/>
      <c r="AJ636" s="82"/>
      <c r="AK636" s="82"/>
      <c r="AL636" s="76"/>
      <c r="AM636" s="82"/>
      <c r="AN636" s="82"/>
      <c r="AO636" s="82"/>
      <c r="AP636" s="82"/>
      <c r="AQ636" s="82"/>
    </row>
    <row r="637" spans="1:43" ht="15" x14ac:dyDescent="0.35">
      <c r="A637" s="85"/>
      <c r="B637" s="86"/>
      <c r="C637" s="87"/>
      <c r="D637" s="87"/>
      <c r="E637" s="87"/>
      <c r="F637" s="87"/>
      <c r="G637" s="88"/>
      <c r="H637" s="87"/>
      <c r="I637" s="87"/>
      <c r="J637" s="87"/>
      <c r="K637" s="8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M637" s="17"/>
      <c r="AN637" s="17"/>
      <c r="AO637" s="17"/>
      <c r="AP637" s="17"/>
      <c r="AQ637" s="17"/>
    </row>
    <row r="638" spans="1:43" s="84" customFormat="1" ht="15" x14ac:dyDescent="0.35">
      <c r="A638" s="80"/>
      <c r="B638" s="81"/>
      <c r="C638" s="82"/>
      <c r="D638" s="82"/>
      <c r="E638" s="82"/>
      <c r="F638" s="82"/>
      <c r="G638" s="83"/>
      <c r="H638" s="82"/>
      <c r="I638" s="82"/>
      <c r="J638" s="82"/>
      <c r="K638" s="82"/>
      <c r="L638" s="76"/>
      <c r="M638" s="82"/>
      <c r="N638" s="82"/>
      <c r="O638" s="82"/>
      <c r="P638" s="82"/>
      <c r="Q638" s="82"/>
      <c r="R638" s="82"/>
      <c r="S638" s="82"/>
      <c r="T638" s="82"/>
      <c r="U638" s="82"/>
      <c r="V638" s="82"/>
      <c r="W638" s="82"/>
      <c r="X638" s="82"/>
      <c r="Y638" s="76"/>
      <c r="Z638" s="82"/>
      <c r="AA638" s="82"/>
      <c r="AB638" s="82"/>
      <c r="AC638" s="82"/>
      <c r="AD638" s="82"/>
      <c r="AE638" s="82"/>
      <c r="AF638" s="82"/>
      <c r="AG638" s="82"/>
      <c r="AH638" s="82"/>
      <c r="AI638" s="82"/>
      <c r="AJ638" s="82"/>
      <c r="AK638" s="82"/>
      <c r="AL638" s="76"/>
      <c r="AM638" s="82"/>
      <c r="AN638" s="82"/>
      <c r="AO638" s="82"/>
      <c r="AP638" s="82"/>
      <c r="AQ638" s="82"/>
    </row>
    <row r="639" spans="1:43" ht="15" x14ac:dyDescent="0.35">
      <c r="A639" s="85"/>
      <c r="B639" s="86"/>
      <c r="C639" s="87"/>
      <c r="D639" s="87"/>
      <c r="E639" s="87"/>
      <c r="F639" s="87"/>
      <c r="G639" s="88"/>
      <c r="H639" s="87"/>
      <c r="I639" s="87"/>
      <c r="J639" s="87"/>
      <c r="K639" s="8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M639" s="17"/>
      <c r="AN639" s="17"/>
      <c r="AO639" s="17"/>
      <c r="AP639" s="17"/>
      <c r="AQ639" s="17"/>
    </row>
    <row r="640" spans="1:43" s="84" customFormat="1" ht="15" x14ac:dyDescent="0.35">
      <c r="A640" s="80"/>
      <c r="B640" s="81"/>
      <c r="C640" s="82"/>
      <c r="D640" s="82"/>
      <c r="E640" s="82"/>
      <c r="F640" s="82"/>
      <c r="G640" s="83"/>
      <c r="H640" s="82"/>
      <c r="I640" s="82"/>
      <c r="J640" s="82"/>
      <c r="K640" s="82"/>
      <c r="L640" s="76"/>
      <c r="M640" s="82"/>
      <c r="N640" s="82"/>
      <c r="O640" s="82"/>
      <c r="P640" s="82"/>
      <c r="Q640" s="82"/>
      <c r="R640" s="82"/>
      <c r="S640" s="82"/>
      <c r="T640" s="82"/>
      <c r="U640" s="82"/>
      <c r="V640" s="82"/>
      <c r="W640" s="82"/>
      <c r="X640" s="82"/>
      <c r="Y640" s="76"/>
      <c r="Z640" s="82"/>
      <c r="AA640" s="82"/>
      <c r="AB640" s="82"/>
      <c r="AC640" s="82"/>
      <c r="AD640" s="82"/>
      <c r="AE640" s="82"/>
      <c r="AF640" s="82"/>
      <c r="AG640" s="82"/>
      <c r="AH640" s="82"/>
      <c r="AI640" s="82"/>
      <c r="AJ640" s="82"/>
      <c r="AK640" s="82"/>
      <c r="AL640" s="76"/>
      <c r="AM640" s="82"/>
      <c r="AN640" s="82"/>
      <c r="AO640" s="82"/>
      <c r="AP640" s="82"/>
      <c r="AQ640" s="82"/>
    </row>
    <row r="641" spans="1:43" ht="15" x14ac:dyDescent="0.35">
      <c r="A641" s="85"/>
      <c r="B641" s="86"/>
      <c r="C641" s="87"/>
      <c r="D641" s="87"/>
      <c r="E641" s="87"/>
      <c r="F641" s="87"/>
      <c r="G641" s="88"/>
      <c r="H641" s="87"/>
      <c r="I641" s="87"/>
      <c r="J641" s="87"/>
      <c r="K641" s="8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M641" s="17"/>
      <c r="AN641" s="17"/>
      <c r="AO641" s="17"/>
      <c r="AP641" s="17"/>
      <c r="AQ641" s="17"/>
    </row>
    <row r="642" spans="1:43" s="84" customFormat="1" ht="15" x14ac:dyDescent="0.35">
      <c r="A642" s="80"/>
      <c r="B642" s="81"/>
      <c r="C642" s="82"/>
      <c r="D642" s="82"/>
      <c r="E642" s="82"/>
      <c r="F642" s="82"/>
      <c r="G642" s="83"/>
      <c r="H642" s="82"/>
      <c r="I642" s="82"/>
      <c r="J642" s="82"/>
      <c r="K642" s="82"/>
      <c r="L642" s="76"/>
      <c r="M642" s="82"/>
      <c r="N642" s="82"/>
      <c r="O642" s="82"/>
      <c r="P642" s="82"/>
      <c r="Q642" s="82"/>
      <c r="R642" s="82"/>
      <c r="S642" s="82"/>
      <c r="T642" s="82"/>
      <c r="U642" s="82"/>
      <c r="V642" s="82"/>
      <c r="W642" s="82"/>
      <c r="X642" s="82"/>
      <c r="Y642" s="76"/>
      <c r="Z642" s="82"/>
      <c r="AA642" s="82"/>
      <c r="AB642" s="82"/>
      <c r="AC642" s="82"/>
      <c r="AD642" s="82"/>
      <c r="AE642" s="82"/>
      <c r="AF642" s="82"/>
      <c r="AG642" s="82"/>
      <c r="AH642" s="82"/>
      <c r="AI642" s="82"/>
      <c r="AJ642" s="82"/>
      <c r="AK642" s="82"/>
      <c r="AL642" s="76"/>
      <c r="AM642" s="82"/>
      <c r="AN642" s="82"/>
      <c r="AO642" s="82"/>
      <c r="AP642" s="82"/>
      <c r="AQ642" s="82"/>
    </row>
    <row r="643" spans="1:43" ht="15" x14ac:dyDescent="0.35">
      <c r="A643" s="85"/>
      <c r="B643" s="86"/>
      <c r="C643" s="87"/>
      <c r="D643" s="87"/>
      <c r="E643" s="87"/>
      <c r="F643" s="87"/>
      <c r="G643" s="88"/>
      <c r="H643" s="87"/>
      <c r="I643" s="87"/>
      <c r="J643" s="87"/>
      <c r="K643" s="8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M643" s="17"/>
      <c r="AN643" s="17"/>
      <c r="AO643" s="17"/>
      <c r="AP643" s="17"/>
      <c r="AQ643" s="17"/>
    </row>
    <row r="644" spans="1:43" s="84" customFormat="1" ht="15" x14ac:dyDescent="0.35">
      <c r="A644" s="80"/>
      <c r="B644" s="81"/>
      <c r="C644" s="82"/>
      <c r="D644" s="82"/>
      <c r="E644" s="82"/>
      <c r="F644" s="82"/>
      <c r="G644" s="83"/>
      <c r="H644" s="82"/>
      <c r="I644" s="82"/>
      <c r="J644" s="82"/>
      <c r="K644" s="82"/>
      <c r="L644" s="76"/>
      <c r="M644" s="82"/>
      <c r="N644" s="82"/>
      <c r="O644" s="82"/>
      <c r="P644" s="82"/>
      <c r="Q644" s="82"/>
      <c r="R644" s="82"/>
      <c r="S644" s="82"/>
      <c r="T644" s="82"/>
      <c r="U644" s="82"/>
      <c r="V644" s="82"/>
      <c r="W644" s="82"/>
      <c r="X644" s="82"/>
      <c r="Y644" s="76"/>
      <c r="Z644" s="82"/>
      <c r="AA644" s="82"/>
      <c r="AB644" s="82"/>
      <c r="AC644" s="82"/>
      <c r="AD644" s="82"/>
      <c r="AE644" s="82"/>
      <c r="AF644" s="82"/>
      <c r="AG644" s="82"/>
      <c r="AH644" s="82"/>
      <c r="AI644" s="82"/>
      <c r="AJ644" s="82"/>
      <c r="AK644" s="82"/>
      <c r="AL644" s="76"/>
      <c r="AM644" s="82"/>
      <c r="AN644" s="82"/>
      <c r="AO644" s="82"/>
      <c r="AP644" s="82"/>
      <c r="AQ644" s="82"/>
    </row>
    <row r="645" spans="1:43" ht="15" x14ac:dyDescent="0.35">
      <c r="A645" s="85"/>
      <c r="B645" s="86"/>
      <c r="C645" s="87"/>
      <c r="D645" s="87"/>
      <c r="E645" s="87"/>
      <c r="F645" s="87"/>
      <c r="G645" s="88"/>
      <c r="H645" s="87"/>
      <c r="I645" s="87"/>
      <c r="J645" s="87"/>
      <c r="K645" s="8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M645" s="17"/>
      <c r="AN645" s="17"/>
      <c r="AO645" s="17"/>
      <c r="AP645" s="17"/>
      <c r="AQ645" s="17"/>
    </row>
    <row r="646" spans="1:43" s="84" customFormat="1" ht="15" x14ac:dyDescent="0.35">
      <c r="A646" s="80"/>
      <c r="B646" s="81"/>
      <c r="C646" s="82"/>
      <c r="D646" s="82"/>
      <c r="E646" s="82"/>
      <c r="F646" s="82"/>
      <c r="G646" s="83"/>
      <c r="H646" s="82"/>
      <c r="I646" s="82"/>
      <c r="J646" s="82"/>
      <c r="K646" s="82"/>
      <c r="L646" s="76"/>
      <c r="M646" s="82"/>
      <c r="N646" s="82"/>
      <c r="O646" s="82"/>
      <c r="P646" s="82"/>
      <c r="Q646" s="82"/>
      <c r="R646" s="82"/>
      <c r="S646" s="82"/>
      <c r="T646" s="82"/>
      <c r="U646" s="82"/>
      <c r="V646" s="82"/>
      <c r="W646" s="82"/>
      <c r="X646" s="82"/>
      <c r="Y646" s="76"/>
      <c r="Z646" s="82"/>
      <c r="AA646" s="82"/>
      <c r="AB646" s="82"/>
      <c r="AC646" s="82"/>
      <c r="AD646" s="82"/>
      <c r="AE646" s="82"/>
      <c r="AF646" s="82"/>
      <c r="AG646" s="82"/>
      <c r="AH646" s="82"/>
      <c r="AI646" s="82"/>
      <c r="AJ646" s="82"/>
      <c r="AK646" s="82"/>
      <c r="AL646" s="76"/>
      <c r="AM646" s="82"/>
      <c r="AN646" s="82"/>
      <c r="AO646" s="82"/>
      <c r="AP646" s="82"/>
      <c r="AQ646" s="82"/>
    </row>
    <row r="647" spans="1:43" ht="15" x14ac:dyDescent="0.35">
      <c r="A647" s="85"/>
      <c r="B647" s="86"/>
      <c r="C647" s="87"/>
      <c r="D647" s="87"/>
      <c r="E647" s="87"/>
      <c r="F647" s="87"/>
      <c r="G647" s="88"/>
      <c r="H647" s="87"/>
      <c r="I647" s="87"/>
      <c r="J647" s="87"/>
      <c r="K647" s="8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M647" s="17"/>
      <c r="AN647" s="17"/>
      <c r="AO647" s="17"/>
      <c r="AP647" s="17"/>
      <c r="AQ647" s="17"/>
    </row>
    <row r="648" spans="1:43" s="84" customFormat="1" ht="15" x14ac:dyDescent="0.35">
      <c r="A648" s="80"/>
      <c r="B648" s="81"/>
      <c r="C648" s="82"/>
      <c r="D648" s="82"/>
      <c r="E648" s="82"/>
      <c r="F648" s="82"/>
      <c r="G648" s="83"/>
      <c r="H648" s="82"/>
      <c r="I648" s="82"/>
      <c r="J648" s="82"/>
      <c r="K648" s="82"/>
      <c r="L648" s="76"/>
      <c r="M648" s="82"/>
      <c r="N648" s="82"/>
      <c r="O648" s="82"/>
      <c r="P648" s="82"/>
      <c r="Q648" s="82"/>
      <c r="R648" s="82"/>
      <c r="S648" s="82"/>
      <c r="T648" s="82"/>
      <c r="U648" s="82"/>
      <c r="V648" s="82"/>
      <c r="W648" s="82"/>
      <c r="X648" s="82"/>
      <c r="Y648" s="76"/>
      <c r="Z648" s="82"/>
      <c r="AA648" s="82"/>
      <c r="AB648" s="82"/>
      <c r="AC648" s="82"/>
      <c r="AD648" s="82"/>
      <c r="AE648" s="82"/>
      <c r="AF648" s="82"/>
      <c r="AG648" s="82"/>
      <c r="AH648" s="82"/>
      <c r="AI648" s="82"/>
      <c r="AJ648" s="82"/>
      <c r="AK648" s="82"/>
      <c r="AL648" s="76"/>
      <c r="AM648" s="82"/>
      <c r="AN648" s="82"/>
      <c r="AO648" s="82"/>
      <c r="AP648" s="82"/>
      <c r="AQ648" s="82"/>
    </row>
    <row r="649" spans="1:43" ht="15" x14ac:dyDescent="0.35">
      <c r="A649" s="85"/>
      <c r="B649" s="86"/>
      <c r="C649" s="87"/>
      <c r="D649" s="87"/>
      <c r="E649" s="87"/>
      <c r="F649" s="87"/>
      <c r="G649" s="88"/>
      <c r="H649" s="87"/>
      <c r="I649" s="87"/>
      <c r="J649" s="87"/>
      <c r="K649" s="8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M649" s="17"/>
      <c r="AN649" s="17"/>
      <c r="AO649" s="17"/>
      <c r="AP649" s="17"/>
      <c r="AQ649" s="17"/>
    </row>
    <row r="650" spans="1:43" s="84" customFormat="1" ht="15" x14ac:dyDescent="0.35">
      <c r="A650" s="80"/>
      <c r="B650" s="81"/>
      <c r="C650" s="82"/>
      <c r="D650" s="82"/>
      <c r="E650" s="82"/>
      <c r="F650" s="82"/>
      <c r="G650" s="83"/>
      <c r="H650" s="82"/>
      <c r="I650" s="82"/>
      <c r="J650" s="82"/>
      <c r="K650" s="82"/>
      <c r="L650" s="76"/>
      <c r="M650" s="82"/>
      <c r="N650" s="82"/>
      <c r="O650" s="82"/>
      <c r="P650" s="82"/>
      <c r="Q650" s="82"/>
      <c r="R650" s="82"/>
      <c r="S650" s="82"/>
      <c r="T650" s="82"/>
      <c r="U650" s="82"/>
      <c r="V650" s="82"/>
      <c r="W650" s="82"/>
      <c r="X650" s="82"/>
      <c r="Y650" s="76"/>
      <c r="Z650" s="82"/>
      <c r="AA650" s="82"/>
      <c r="AB650" s="82"/>
      <c r="AC650" s="82"/>
      <c r="AD650" s="82"/>
      <c r="AE650" s="82"/>
      <c r="AF650" s="82"/>
      <c r="AG650" s="82"/>
      <c r="AH650" s="82"/>
      <c r="AI650" s="82"/>
      <c r="AJ650" s="82"/>
      <c r="AK650" s="82"/>
      <c r="AL650" s="76"/>
      <c r="AM650" s="82"/>
      <c r="AN650" s="82"/>
      <c r="AO650" s="82"/>
      <c r="AP650" s="82"/>
      <c r="AQ650" s="82"/>
    </row>
    <row r="651" spans="1:43" ht="15" x14ac:dyDescent="0.35">
      <c r="A651" s="85"/>
      <c r="B651" s="86"/>
      <c r="C651" s="87"/>
      <c r="D651" s="87"/>
      <c r="E651" s="87"/>
      <c r="F651" s="87"/>
      <c r="G651" s="88"/>
      <c r="H651" s="87"/>
      <c r="I651" s="87"/>
      <c r="J651" s="87"/>
      <c r="K651" s="8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M651" s="17"/>
      <c r="AN651" s="17"/>
      <c r="AO651" s="17"/>
      <c r="AP651" s="17"/>
      <c r="AQ651" s="17"/>
    </row>
    <row r="652" spans="1:43" s="84" customFormat="1" ht="15" x14ac:dyDescent="0.35">
      <c r="A652" s="80"/>
      <c r="B652" s="81"/>
      <c r="C652" s="82"/>
      <c r="D652" s="82"/>
      <c r="E652" s="82"/>
      <c r="F652" s="82"/>
      <c r="G652" s="83"/>
      <c r="H652" s="82"/>
      <c r="I652" s="82"/>
      <c r="J652" s="82"/>
      <c r="K652" s="82"/>
      <c r="L652" s="76"/>
      <c r="M652" s="82"/>
      <c r="N652" s="82"/>
      <c r="O652" s="82"/>
      <c r="P652" s="82"/>
      <c r="Q652" s="82"/>
      <c r="R652" s="82"/>
      <c r="S652" s="82"/>
      <c r="T652" s="82"/>
      <c r="U652" s="82"/>
      <c r="V652" s="82"/>
      <c r="W652" s="82"/>
      <c r="X652" s="82"/>
      <c r="Y652" s="76"/>
      <c r="Z652" s="82"/>
      <c r="AA652" s="82"/>
      <c r="AB652" s="82"/>
      <c r="AC652" s="82"/>
      <c r="AD652" s="82"/>
      <c r="AE652" s="82"/>
      <c r="AF652" s="82"/>
      <c r="AG652" s="82"/>
      <c r="AH652" s="82"/>
      <c r="AI652" s="82"/>
      <c r="AJ652" s="82"/>
      <c r="AK652" s="82"/>
      <c r="AL652" s="76"/>
      <c r="AM652" s="82"/>
      <c r="AN652" s="82"/>
      <c r="AO652" s="82"/>
      <c r="AP652" s="82"/>
      <c r="AQ652" s="82"/>
    </row>
    <row r="653" spans="1:43" ht="15" x14ac:dyDescent="0.35">
      <c r="A653" s="85"/>
      <c r="B653" s="86"/>
      <c r="C653" s="87"/>
      <c r="D653" s="87"/>
      <c r="E653" s="87"/>
      <c r="F653" s="87"/>
      <c r="G653" s="88"/>
      <c r="H653" s="87"/>
      <c r="I653" s="87"/>
      <c r="J653" s="87"/>
      <c r="K653" s="8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M653" s="17"/>
      <c r="AN653" s="17"/>
      <c r="AO653" s="17"/>
      <c r="AP653" s="17"/>
      <c r="AQ653" s="17"/>
    </row>
    <row r="654" spans="1:43" s="84" customFormat="1" ht="15" x14ac:dyDescent="0.35">
      <c r="A654" s="80"/>
      <c r="B654" s="81"/>
      <c r="C654" s="82"/>
      <c r="D654" s="82"/>
      <c r="E654" s="82"/>
      <c r="F654" s="82"/>
      <c r="G654" s="83"/>
      <c r="H654" s="82"/>
      <c r="I654" s="82"/>
      <c r="J654" s="82"/>
      <c r="K654" s="82"/>
      <c r="L654" s="76"/>
      <c r="M654" s="82"/>
      <c r="N654" s="82"/>
      <c r="O654" s="82"/>
      <c r="P654" s="82"/>
      <c r="Q654" s="82"/>
      <c r="R654" s="82"/>
      <c r="S654" s="82"/>
      <c r="T654" s="82"/>
      <c r="U654" s="82"/>
      <c r="V654" s="82"/>
      <c r="W654" s="82"/>
      <c r="X654" s="82"/>
      <c r="Y654" s="76"/>
      <c r="Z654" s="82"/>
      <c r="AA654" s="82"/>
      <c r="AB654" s="82"/>
      <c r="AC654" s="82"/>
      <c r="AD654" s="82"/>
      <c r="AE654" s="82"/>
      <c r="AF654" s="82"/>
      <c r="AG654" s="82"/>
      <c r="AH654" s="82"/>
      <c r="AI654" s="82"/>
      <c r="AJ654" s="82"/>
      <c r="AK654" s="82"/>
      <c r="AL654" s="76"/>
      <c r="AM654" s="82"/>
      <c r="AN654" s="82"/>
      <c r="AO654" s="82"/>
      <c r="AP654" s="82"/>
      <c r="AQ654" s="82"/>
    </row>
    <row r="655" spans="1:43" ht="15" x14ac:dyDescent="0.35">
      <c r="A655" s="85"/>
      <c r="B655" s="86"/>
      <c r="C655" s="87"/>
      <c r="D655" s="87"/>
      <c r="E655" s="87"/>
      <c r="F655" s="87"/>
      <c r="G655" s="88"/>
      <c r="H655" s="87"/>
      <c r="I655" s="87"/>
      <c r="J655" s="87"/>
      <c r="K655" s="8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M655" s="17"/>
      <c r="AN655" s="17"/>
      <c r="AO655" s="17"/>
      <c r="AP655" s="17"/>
      <c r="AQ655" s="17"/>
    </row>
    <row r="656" spans="1:43" s="84" customFormat="1" ht="15" x14ac:dyDescent="0.35">
      <c r="A656" s="80"/>
      <c r="B656" s="81"/>
      <c r="C656" s="82"/>
      <c r="D656" s="82"/>
      <c r="E656" s="82"/>
      <c r="F656" s="82"/>
      <c r="G656" s="83"/>
      <c r="H656" s="82"/>
      <c r="I656" s="82"/>
      <c r="J656" s="82"/>
      <c r="K656" s="82"/>
      <c r="L656" s="76"/>
      <c r="M656" s="82"/>
      <c r="N656" s="82"/>
      <c r="O656" s="82"/>
      <c r="P656" s="82"/>
      <c r="Q656" s="82"/>
      <c r="R656" s="82"/>
      <c r="S656" s="82"/>
      <c r="T656" s="82"/>
      <c r="U656" s="82"/>
      <c r="V656" s="82"/>
      <c r="W656" s="82"/>
      <c r="X656" s="82"/>
      <c r="Y656" s="76"/>
      <c r="Z656" s="82"/>
      <c r="AA656" s="82"/>
      <c r="AB656" s="82"/>
      <c r="AC656" s="82"/>
      <c r="AD656" s="82"/>
      <c r="AE656" s="82"/>
      <c r="AF656" s="82"/>
      <c r="AG656" s="82"/>
      <c r="AH656" s="82"/>
      <c r="AI656" s="82"/>
      <c r="AJ656" s="82"/>
      <c r="AK656" s="82"/>
      <c r="AL656" s="76"/>
      <c r="AM656" s="82"/>
      <c r="AN656" s="82"/>
      <c r="AO656" s="82"/>
      <c r="AP656" s="82"/>
      <c r="AQ656" s="82"/>
    </row>
    <row r="657" spans="1:43" ht="15" x14ac:dyDescent="0.35">
      <c r="A657" s="85"/>
      <c r="B657" s="86"/>
      <c r="C657" s="87"/>
      <c r="D657" s="87"/>
      <c r="E657" s="87"/>
      <c r="F657" s="87"/>
      <c r="G657" s="88"/>
      <c r="H657" s="87"/>
      <c r="I657" s="87"/>
      <c r="J657" s="87"/>
      <c r="K657" s="8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M657" s="17"/>
      <c r="AN657" s="17"/>
      <c r="AO657" s="17"/>
      <c r="AP657" s="17"/>
      <c r="AQ657" s="17"/>
    </row>
    <row r="658" spans="1:43" s="84" customFormat="1" ht="15" x14ac:dyDescent="0.35">
      <c r="A658" s="80"/>
      <c r="B658" s="81"/>
      <c r="C658" s="82"/>
      <c r="D658" s="82"/>
      <c r="E658" s="82"/>
      <c r="F658" s="82"/>
      <c r="G658" s="83"/>
      <c r="H658" s="82"/>
      <c r="I658" s="82"/>
      <c r="J658" s="82"/>
      <c r="K658" s="82"/>
      <c r="L658" s="76"/>
      <c r="M658" s="82"/>
      <c r="N658" s="82"/>
      <c r="O658" s="82"/>
      <c r="P658" s="82"/>
      <c r="Q658" s="82"/>
      <c r="R658" s="82"/>
      <c r="S658" s="82"/>
      <c r="T658" s="82"/>
      <c r="U658" s="82"/>
      <c r="V658" s="82"/>
      <c r="W658" s="82"/>
      <c r="X658" s="82"/>
      <c r="Y658" s="76"/>
      <c r="Z658" s="82"/>
      <c r="AA658" s="82"/>
      <c r="AB658" s="82"/>
      <c r="AC658" s="82"/>
      <c r="AD658" s="82"/>
      <c r="AE658" s="82"/>
      <c r="AF658" s="82"/>
      <c r="AG658" s="82"/>
      <c r="AH658" s="82"/>
      <c r="AI658" s="82"/>
      <c r="AJ658" s="82"/>
      <c r="AK658" s="82"/>
      <c r="AL658" s="76"/>
      <c r="AM658" s="82"/>
      <c r="AN658" s="82"/>
      <c r="AO658" s="82"/>
      <c r="AP658" s="82"/>
      <c r="AQ658" s="82"/>
    </row>
    <row r="659" spans="1:43" ht="15" x14ac:dyDescent="0.35">
      <c r="A659" s="85"/>
      <c r="B659" s="86"/>
      <c r="C659" s="87"/>
      <c r="D659" s="87"/>
      <c r="E659" s="87"/>
      <c r="F659" s="87"/>
      <c r="G659" s="88"/>
      <c r="H659" s="87"/>
      <c r="I659" s="87"/>
      <c r="J659" s="87"/>
      <c r="K659" s="8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M659" s="17"/>
      <c r="AN659" s="17"/>
      <c r="AO659" s="17"/>
      <c r="AP659" s="17"/>
      <c r="AQ659" s="17"/>
    </row>
    <row r="660" spans="1:43" s="84" customFormat="1" ht="15" x14ac:dyDescent="0.35">
      <c r="A660" s="80"/>
      <c r="B660" s="81"/>
      <c r="C660" s="82"/>
      <c r="D660" s="82"/>
      <c r="E660" s="82"/>
      <c r="F660" s="82"/>
      <c r="G660" s="83"/>
      <c r="H660" s="82"/>
      <c r="I660" s="82"/>
      <c r="J660" s="82"/>
      <c r="K660" s="82"/>
      <c r="L660" s="76"/>
      <c r="M660" s="82"/>
      <c r="N660" s="82"/>
      <c r="O660" s="82"/>
      <c r="P660" s="82"/>
      <c r="Q660" s="82"/>
      <c r="R660" s="82"/>
      <c r="S660" s="82"/>
      <c r="T660" s="82"/>
      <c r="U660" s="82"/>
      <c r="V660" s="82"/>
      <c r="W660" s="82"/>
      <c r="X660" s="82"/>
      <c r="Y660" s="76"/>
      <c r="Z660" s="82"/>
      <c r="AA660" s="82"/>
      <c r="AB660" s="82"/>
      <c r="AC660" s="82"/>
      <c r="AD660" s="82"/>
      <c r="AE660" s="82"/>
      <c r="AF660" s="82"/>
      <c r="AG660" s="82"/>
      <c r="AH660" s="82"/>
      <c r="AI660" s="82"/>
      <c r="AJ660" s="82"/>
      <c r="AK660" s="82"/>
      <c r="AL660" s="76"/>
      <c r="AM660" s="82"/>
      <c r="AN660" s="82"/>
      <c r="AO660" s="82"/>
      <c r="AP660" s="82"/>
      <c r="AQ660" s="82"/>
    </row>
    <row r="661" spans="1:43" ht="15" x14ac:dyDescent="0.35">
      <c r="A661" s="85"/>
      <c r="B661" s="86"/>
      <c r="C661" s="87"/>
      <c r="D661" s="87"/>
      <c r="E661" s="87"/>
      <c r="F661" s="87"/>
      <c r="G661" s="88"/>
      <c r="H661" s="87"/>
      <c r="I661" s="87"/>
      <c r="J661" s="87"/>
      <c r="K661" s="8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M661" s="17"/>
      <c r="AN661" s="17"/>
      <c r="AO661" s="17"/>
      <c r="AP661" s="17"/>
      <c r="AQ661" s="17"/>
    </row>
    <row r="662" spans="1:43" s="84" customFormat="1" ht="15" x14ac:dyDescent="0.35">
      <c r="A662" s="80"/>
      <c r="B662" s="81"/>
      <c r="C662" s="82"/>
      <c r="D662" s="82"/>
      <c r="E662" s="82"/>
      <c r="F662" s="82"/>
      <c r="G662" s="83"/>
      <c r="H662" s="82"/>
      <c r="I662" s="82"/>
      <c r="J662" s="82"/>
      <c r="K662" s="82"/>
      <c r="L662" s="76"/>
      <c r="M662" s="82"/>
      <c r="N662" s="82"/>
      <c r="O662" s="82"/>
      <c r="P662" s="82"/>
      <c r="Q662" s="82"/>
      <c r="R662" s="82"/>
      <c r="S662" s="82"/>
      <c r="T662" s="82"/>
      <c r="U662" s="82"/>
      <c r="V662" s="82"/>
      <c r="W662" s="82"/>
      <c r="X662" s="82"/>
      <c r="Y662" s="76"/>
      <c r="Z662" s="82"/>
      <c r="AA662" s="82"/>
      <c r="AB662" s="82"/>
      <c r="AC662" s="82"/>
      <c r="AD662" s="82"/>
      <c r="AE662" s="82"/>
      <c r="AF662" s="82"/>
      <c r="AG662" s="82"/>
      <c r="AH662" s="82"/>
      <c r="AI662" s="82"/>
      <c r="AJ662" s="82"/>
      <c r="AK662" s="82"/>
      <c r="AL662" s="76"/>
      <c r="AM662" s="82"/>
      <c r="AN662" s="82"/>
      <c r="AO662" s="82"/>
      <c r="AP662" s="82"/>
      <c r="AQ662" s="82"/>
    </row>
    <row r="663" spans="1:43" ht="15" x14ac:dyDescent="0.35">
      <c r="A663" s="85"/>
      <c r="B663" s="86"/>
      <c r="C663" s="87"/>
      <c r="D663" s="87"/>
      <c r="E663" s="87"/>
      <c r="F663" s="87"/>
      <c r="G663" s="88"/>
      <c r="H663" s="87"/>
      <c r="I663" s="87"/>
      <c r="J663" s="87"/>
      <c r="K663" s="8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M663" s="17"/>
      <c r="AN663" s="17"/>
      <c r="AO663" s="17"/>
      <c r="AP663" s="17"/>
      <c r="AQ663" s="17"/>
    </row>
    <row r="664" spans="1:43" s="84" customFormat="1" ht="15" x14ac:dyDescent="0.35">
      <c r="A664" s="80"/>
      <c r="B664" s="81"/>
      <c r="C664" s="82"/>
      <c r="D664" s="82"/>
      <c r="E664" s="82"/>
      <c r="F664" s="82"/>
      <c r="G664" s="83"/>
      <c r="H664" s="82"/>
      <c r="I664" s="82"/>
      <c r="J664" s="82"/>
      <c r="K664" s="82"/>
      <c r="L664" s="76"/>
      <c r="M664" s="82"/>
      <c r="N664" s="82"/>
      <c r="O664" s="82"/>
      <c r="P664" s="82"/>
      <c r="Q664" s="82"/>
      <c r="R664" s="82"/>
      <c r="S664" s="82"/>
      <c r="T664" s="82"/>
      <c r="U664" s="82"/>
      <c r="V664" s="82"/>
      <c r="W664" s="82"/>
      <c r="X664" s="82"/>
      <c r="Y664" s="76"/>
      <c r="Z664" s="82"/>
      <c r="AA664" s="82"/>
      <c r="AB664" s="82"/>
      <c r="AC664" s="82"/>
      <c r="AD664" s="82"/>
      <c r="AE664" s="82"/>
      <c r="AF664" s="82"/>
      <c r="AG664" s="82"/>
      <c r="AH664" s="82"/>
      <c r="AI664" s="82"/>
      <c r="AJ664" s="82"/>
      <c r="AK664" s="82"/>
      <c r="AL664" s="76"/>
      <c r="AM664" s="82"/>
      <c r="AN664" s="82"/>
      <c r="AO664" s="82"/>
      <c r="AP664" s="82"/>
      <c r="AQ664" s="82"/>
    </row>
    <row r="665" spans="1:43" ht="15" x14ac:dyDescent="0.35">
      <c r="A665" s="85"/>
      <c r="B665" s="86"/>
      <c r="C665" s="87"/>
      <c r="D665" s="87"/>
      <c r="E665" s="87"/>
      <c r="F665" s="87"/>
      <c r="G665" s="88"/>
      <c r="H665" s="87"/>
      <c r="I665" s="87"/>
      <c r="J665" s="87"/>
      <c r="K665" s="8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M665" s="17"/>
      <c r="AN665" s="17"/>
      <c r="AO665" s="17"/>
      <c r="AP665" s="17"/>
      <c r="AQ665" s="17"/>
    </row>
    <row r="666" spans="1:43" s="84" customFormat="1" ht="15" x14ac:dyDescent="0.35">
      <c r="A666" s="80"/>
      <c r="B666" s="81"/>
      <c r="C666" s="82"/>
      <c r="D666" s="82"/>
      <c r="E666" s="82"/>
      <c r="F666" s="82"/>
      <c r="G666" s="83"/>
      <c r="H666" s="82"/>
      <c r="I666" s="82"/>
      <c r="J666" s="82"/>
      <c r="K666" s="82"/>
      <c r="L666" s="76"/>
      <c r="M666" s="82"/>
      <c r="N666" s="82"/>
      <c r="O666" s="82"/>
      <c r="P666" s="82"/>
      <c r="Q666" s="82"/>
      <c r="R666" s="82"/>
      <c r="S666" s="82"/>
      <c r="T666" s="82"/>
      <c r="U666" s="82"/>
      <c r="V666" s="82"/>
      <c r="W666" s="82"/>
      <c r="X666" s="82"/>
      <c r="Y666" s="76"/>
      <c r="Z666" s="82"/>
      <c r="AA666" s="82"/>
      <c r="AB666" s="82"/>
      <c r="AC666" s="82"/>
      <c r="AD666" s="82"/>
      <c r="AE666" s="82"/>
      <c r="AF666" s="82"/>
      <c r="AG666" s="82"/>
      <c r="AH666" s="82"/>
      <c r="AI666" s="82"/>
      <c r="AJ666" s="82"/>
      <c r="AK666" s="82"/>
      <c r="AL666" s="76"/>
      <c r="AM666" s="82"/>
      <c r="AN666" s="82"/>
      <c r="AO666" s="82"/>
      <c r="AP666" s="82"/>
      <c r="AQ666" s="82"/>
    </row>
    <row r="667" spans="1:43" ht="15" x14ac:dyDescent="0.35">
      <c r="A667" s="85"/>
      <c r="B667" s="86"/>
      <c r="C667" s="87"/>
      <c r="D667" s="87"/>
      <c r="E667" s="87"/>
      <c r="F667" s="87"/>
      <c r="G667" s="88"/>
      <c r="H667" s="87"/>
      <c r="I667" s="87"/>
      <c r="J667" s="87"/>
      <c r="K667" s="8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M667" s="17"/>
      <c r="AN667" s="17"/>
      <c r="AO667" s="17"/>
      <c r="AP667" s="17"/>
      <c r="AQ667" s="17"/>
    </row>
    <row r="668" spans="1:43" s="84" customFormat="1" ht="15" x14ac:dyDescent="0.35">
      <c r="A668" s="80"/>
      <c r="B668" s="81"/>
      <c r="C668" s="82"/>
      <c r="D668" s="82"/>
      <c r="E668" s="82"/>
      <c r="F668" s="82"/>
      <c r="G668" s="83"/>
      <c r="H668" s="82"/>
      <c r="I668" s="82"/>
      <c r="J668" s="82"/>
      <c r="K668" s="82"/>
      <c r="L668" s="76"/>
      <c r="M668" s="82"/>
      <c r="N668" s="82"/>
      <c r="O668" s="82"/>
      <c r="P668" s="82"/>
      <c r="Q668" s="82"/>
      <c r="R668" s="82"/>
      <c r="S668" s="82"/>
      <c r="T668" s="82"/>
      <c r="U668" s="82"/>
      <c r="V668" s="82"/>
      <c r="W668" s="82"/>
      <c r="X668" s="82"/>
      <c r="Y668" s="76"/>
      <c r="Z668" s="82"/>
      <c r="AA668" s="82"/>
      <c r="AB668" s="82"/>
      <c r="AC668" s="82"/>
      <c r="AD668" s="82"/>
      <c r="AE668" s="82"/>
      <c r="AF668" s="82"/>
      <c r="AG668" s="82"/>
      <c r="AH668" s="82"/>
      <c r="AI668" s="82"/>
      <c r="AJ668" s="82"/>
      <c r="AK668" s="82"/>
      <c r="AL668" s="76"/>
      <c r="AM668" s="82"/>
      <c r="AN668" s="82"/>
      <c r="AO668" s="82"/>
      <c r="AP668" s="82"/>
      <c r="AQ668" s="82"/>
    </row>
    <row r="669" spans="1:43" ht="15" x14ac:dyDescent="0.35">
      <c r="A669" s="85"/>
      <c r="B669" s="86"/>
      <c r="C669" s="87"/>
      <c r="D669" s="87"/>
      <c r="E669" s="87"/>
      <c r="F669" s="87"/>
      <c r="G669" s="88"/>
      <c r="H669" s="87"/>
      <c r="I669" s="87"/>
      <c r="J669" s="87"/>
      <c r="K669" s="8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M669" s="17"/>
      <c r="AN669" s="17"/>
      <c r="AO669" s="17"/>
      <c r="AP669" s="17"/>
      <c r="AQ669" s="17"/>
    </row>
    <row r="670" spans="1:43" s="84" customFormat="1" ht="15" x14ac:dyDescent="0.35">
      <c r="A670" s="80"/>
      <c r="B670" s="81"/>
      <c r="C670" s="82"/>
      <c r="D670" s="82"/>
      <c r="E670" s="82"/>
      <c r="F670" s="82"/>
      <c r="G670" s="83"/>
      <c r="H670" s="82"/>
      <c r="I670" s="82"/>
      <c r="J670" s="82"/>
      <c r="K670" s="82"/>
      <c r="L670" s="76"/>
      <c r="M670" s="82"/>
      <c r="N670" s="82"/>
      <c r="O670" s="82"/>
      <c r="P670" s="82"/>
      <c r="Q670" s="82"/>
      <c r="R670" s="82"/>
      <c r="S670" s="82"/>
      <c r="T670" s="82"/>
      <c r="U670" s="82"/>
      <c r="V670" s="82"/>
      <c r="W670" s="82"/>
      <c r="X670" s="82"/>
      <c r="Y670" s="76"/>
      <c r="Z670" s="82"/>
      <c r="AA670" s="82"/>
      <c r="AB670" s="82"/>
      <c r="AC670" s="82"/>
      <c r="AD670" s="82"/>
      <c r="AE670" s="82"/>
      <c r="AF670" s="82"/>
      <c r="AG670" s="82"/>
      <c r="AH670" s="82"/>
      <c r="AI670" s="82"/>
      <c r="AJ670" s="82"/>
      <c r="AK670" s="82"/>
      <c r="AL670" s="76"/>
      <c r="AM670" s="82"/>
      <c r="AN670" s="82"/>
      <c r="AO670" s="82"/>
      <c r="AP670" s="82"/>
      <c r="AQ670" s="82"/>
    </row>
    <row r="671" spans="1:43" ht="15" x14ac:dyDescent="0.35">
      <c r="A671" s="85"/>
      <c r="B671" s="86"/>
      <c r="C671" s="87"/>
      <c r="D671" s="87"/>
      <c r="E671" s="87"/>
      <c r="F671" s="87"/>
      <c r="G671" s="88"/>
      <c r="H671" s="87"/>
      <c r="I671" s="87"/>
      <c r="J671" s="87"/>
      <c r="K671" s="8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M671" s="17"/>
      <c r="AN671" s="17"/>
      <c r="AO671" s="17"/>
      <c r="AP671" s="17"/>
      <c r="AQ671" s="17"/>
    </row>
    <row r="672" spans="1:43" s="84" customFormat="1" ht="15" x14ac:dyDescent="0.35">
      <c r="A672" s="80"/>
      <c r="B672" s="81"/>
      <c r="C672" s="82"/>
      <c r="D672" s="82"/>
      <c r="E672" s="82"/>
      <c r="F672" s="82"/>
      <c r="G672" s="83"/>
      <c r="H672" s="82"/>
      <c r="I672" s="82"/>
      <c r="J672" s="82"/>
      <c r="K672" s="82"/>
      <c r="L672" s="76"/>
      <c r="M672" s="82"/>
      <c r="N672" s="82"/>
      <c r="O672" s="82"/>
      <c r="P672" s="82"/>
      <c r="Q672" s="82"/>
      <c r="R672" s="82"/>
      <c r="S672" s="82"/>
      <c r="T672" s="82"/>
      <c r="U672" s="82"/>
      <c r="V672" s="82"/>
      <c r="W672" s="82"/>
      <c r="X672" s="82"/>
      <c r="Y672" s="76"/>
      <c r="Z672" s="82"/>
      <c r="AA672" s="82"/>
      <c r="AB672" s="82"/>
      <c r="AC672" s="82"/>
      <c r="AD672" s="82"/>
      <c r="AE672" s="82"/>
      <c r="AF672" s="82"/>
      <c r="AG672" s="82"/>
      <c r="AH672" s="82"/>
      <c r="AI672" s="82"/>
      <c r="AJ672" s="82"/>
      <c r="AK672" s="82"/>
      <c r="AL672" s="76"/>
      <c r="AM672" s="82"/>
      <c r="AN672" s="82"/>
      <c r="AO672" s="82"/>
      <c r="AP672" s="82"/>
      <c r="AQ672" s="82"/>
    </row>
    <row r="673" spans="1:43" ht="15" x14ac:dyDescent="0.35">
      <c r="A673" s="85"/>
      <c r="B673" s="86"/>
      <c r="C673" s="87"/>
      <c r="D673" s="87"/>
      <c r="E673" s="87"/>
      <c r="F673" s="87"/>
      <c r="G673" s="88"/>
      <c r="H673" s="87"/>
      <c r="I673" s="87"/>
      <c r="J673" s="87"/>
      <c r="K673" s="8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M673" s="17"/>
      <c r="AN673" s="17"/>
      <c r="AO673" s="17"/>
      <c r="AP673" s="17"/>
      <c r="AQ673" s="17"/>
    </row>
    <row r="674" spans="1:43" s="84" customFormat="1" ht="15" x14ac:dyDescent="0.35">
      <c r="A674" s="80"/>
      <c r="B674" s="81"/>
      <c r="C674" s="82"/>
      <c r="D674" s="82"/>
      <c r="E674" s="82"/>
      <c r="F674" s="82"/>
      <c r="G674" s="83"/>
      <c r="H674" s="82"/>
      <c r="I674" s="82"/>
      <c r="J674" s="82"/>
      <c r="K674" s="82"/>
      <c r="L674" s="76"/>
      <c r="M674" s="82"/>
      <c r="N674" s="82"/>
      <c r="O674" s="82"/>
      <c r="P674" s="82"/>
      <c r="Q674" s="82"/>
      <c r="R674" s="82"/>
      <c r="S674" s="82"/>
      <c r="T674" s="82"/>
      <c r="U674" s="82"/>
      <c r="V674" s="82"/>
      <c r="W674" s="82"/>
      <c r="X674" s="82"/>
      <c r="Y674" s="76"/>
      <c r="Z674" s="82"/>
      <c r="AA674" s="82"/>
      <c r="AB674" s="82"/>
      <c r="AC674" s="82"/>
      <c r="AD674" s="82"/>
      <c r="AE674" s="82"/>
      <c r="AF674" s="82"/>
      <c r="AG674" s="82"/>
      <c r="AH674" s="82"/>
      <c r="AI674" s="82"/>
      <c r="AJ674" s="82"/>
      <c r="AK674" s="82"/>
      <c r="AL674" s="76"/>
      <c r="AM674" s="82"/>
      <c r="AN674" s="82"/>
      <c r="AO674" s="82"/>
      <c r="AP674" s="82"/>
      <c r="AQ674" s="82"/>
    </row>
    <row r="675" spans="1:43" ht="15" x14ac:dyDescent="0.35">
      <c r="A675" s="85"/>
      <c r="B675" s="86"/>
      <c r="C675" s="87"/>
      <c r="D675" s="87"/>
      <c r="E675" s="87"/>
      <c r="F675" s="87"/>
      <c r="G675" s="88"/>
      <c r="H675" s="87"/>
      <c r="I675" s="87"/>
      <c r="J675" s="87"/>
      <c r="K675" s="8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M675" s="17"/>
      <c r="AN675" s="17"/>
      <c r="AO675" s="17"/>
      <c r="AP675" s="17"/>
      <c r="AQ675" s="17"/>
    </row>
    <row r="676" spans="1:43" s="84" customFormat="1" ht="15" x14ac:dyDescent="0.35">
      <c r="A676" s="80"/>
      <c r="B676" s="81"/>
      <c r="C676" s="82"/>
      <c r="D676" s="82"/>
      <c r="E676" s="82"/>
      <c r="F676" s="82"/>
      <c r="G676" s="83"/>
      <c r="H676" s="82"/>
      <c r="I676" s="82"/>
      <c r="J676" s="82"/>
      <c r="K676" s="82"/>
      <c r="L676" s="76"/>
      <c r="M676" s="82"/>
      <c r="N676" s="82"/>
      <c r="O676" s="82"/>
      <c r="P676" s="82"/>
      <c r="Q676" s="82"/>
      <c r="R676" s="82"/>
      <c r="S676" s="82"/>
      <c r="T676" s="82"/>
      <c r="U676" s="82"/>
      <c r="V676" s="82"/>
      <c r="W676" s="82"/>
      <c r="X676" s="82"/>
      <c r="Y676" s="76"/>
      <c r="Z676" s="82"/>
      <c r="AA676" s="82"/>
      <c r="AB676" s="82"/>
      <c r="AC676" s="82"/>
      <c r="AD676" s="82"/>
      <c r="AE676" s="82"/>
      <c r="AF676" s="82"/>
      <c r="AG676" s="82"/>
      <c r="AH676" s="82"/>
      <c r="AI676" s="82"/>
      <c r="AJ676" s="82"/>
      <c r="AK676" s="82"/>
      <c r="AL676" s="76"/>
      <c r="AM676" s="82"/>
      <c r="AN676" s="82"/>
      <c r="AO676" s="82"/>
      <c r="AP676" s="82"/>
      <c r="AQ676" s="82"/>
    </row>
    <row r="677" spans="1:43" ht="15" x14ac:dyDescent="0.35">
      <c r="A677" s="85"/>
      <c r="B677" s="86"/>
      <c r="C677" s="87"/>
      <c r="D677" s="87"/>
      <c r="E677" s="87"/>
      <c r="F677" s="87"/>
      <c r="G677" s="88"/>
      <c r="H677" s="87"/>
      <c r="I677" s="87"/>
      <c r="J677" s="87"/>
      <c r="K677" s="8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M677" s="17"/>
      <c r="AN677" s="17"/>
      <c r="AO677" s="17"/>
      <c r="AP677" s="17"/>
      <c r="AQ677" s="17"/>
    </row>
    <row r="678" spans="1:43" s="84" customFormat="1" ht="15" x14ac:dyDescent="0.35">
      <c r="A678" s="80"/>
      <c r="B678" s="81"/>
      <c r="C678" s="82"/>
      <c r="D678" s="82"/>
      <c r="E678" s="82"/>
      <c r="F678" s="82"/>
      <c r="G678" s="83"/>
      <c r="H678" s="82"/>
      <c r="I678" s="82"/>
      <c r="J678" s="82"/>
      <c r="K678" s="82"/>
      <c r="L678" s="76"/>
      <c r="M678" s="82"/>
      <c r="N678" s="82"/>
      <c r="O678" s="82"/>
      <c r="P678" s="82"/>
      <c r="Q678" s="82"/>
      <c r="R678" s="82"/>
      <c r="S678" s="82"/>
      <c r="T678" s="82"/>
      <c r="U678" s="82"/>
      <c r="V678" s="82"/>
      <c r="W678" s="82"/>
      <c r="X678" s="82"/>
      <c r="Y678" s="76"/>
      <c r="Z678" s="82"/>
      <c r="AA678" s="82"/>
      <c r="AB678" s="82"/>
      <c r="AC678" s="82"/>
      <c r="AD678" s="82"/>
      <c r="AE678" s="82"/>
      <c r="AF678" s="82"/>
      <c r="AG678" s="82"/>
      <c r="AH678" s="82"/>
      <c r="AI678" s="82"/>
      <c r="AJ678" s="82"/>
      <c r="AK678" s="82"/>
      <c r="AL678" s="76"/>
      <c r="AM678" s="82"/>
      <c r="AN678" s="82"/>
      <c r="AO678" s="82"/>
      <c r="AP678" s="82"/>
      <c r="AQ678" s="82"/>
    </row>
    <row r="679" spans="1:43" ht="15" x14ac:dyDescent="0.35">
      <c r="A679" s="85"/>
      <c r="B679" s="86"/>
      <c r="C679" s="87"/>
      <c r="D679" s="87"/>
      <c r="E679" s="87"/>
      <c r="F679" s="87"/>
      <c r="G679" s="88"/>
      <c r="H679" s="87"/>
      <c r="I679" s="87"/>
      <c r="J679" s="87"/>
      <c r="K679" s="8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M679" s="17"/>
      <c r="AN679" s="17"/>
      <c r="AO679" s="17"/>
      <c r="AP679" s="17"/>
      <c r="AQ679" s="17"/>
    </row>
    <row r="680" spans="1:43" s="84" customFormat="1" ht="15" x14ac:dyDescent="0.35">
      <c r="A680" s="80"/>
      <c r="B680" s="81"/>
      <c r="C680" s="82"/>
      <c r="D680" s="82"/>
      <c r="E680" s="82"/>
      <c r="F680" s="82"/>
      <c r="G680" s="83"/>
      <c r="H680" s="82"/>
      <c r="I680" s="82"/>
      <c r="J680" s="82"/>
      <c r="K680" s="82"/>
      <c r="L680" s="76"/>
      <c r="M680" s="82"/>
      <c r="N680" s="82"/>
      <c r="O680" s="82"/>
      <c r="P680" s="82"/>
      <c r="Q680" s="82"/>
      <c r="R680" s="82"/>
      <c r="S680" s="82"/>
      <c r="T680" s="82"/>
      <c r="U680" s="82"/>
      <c r="V680" s="82"/>
      <c r="W680" s="82"/>
      <c r="X680" s="82"/>
      <c r="Y680" s="76"/>
      <c r="Z680" s="82"/>
      <c r="AA680" s="82"/>
      <c r="AB680" s="82"/>
      <c r="AC680" s="82"/>
      <c r="AD680" s="82"/>
      <c r="AE680" s="82"/>
      <c r="AF680" s="82"/>
      <c r="AG680" s="82"/>
      <c r="AH680" s="82"/>
      <c r="AI680" s="82"/>
      <c r="AJ680" s="82"/>
      <c r="AK680" s="82"/>
      <c r="AL680" s="76"/>
      <c r="AM680" s="82"/>
      <c r="AN680" s="82"/>
      <c r="AO680" s="82"/>
      <c r="AP680" s="82"/>
      <c r="AQ680" s="82"/>
    </row>
    <row r="681" spans="1:43" ht="15" x14ac:dyDescent="0.35">
      <c r="A681" s="85"/>
      <c r="B681" s="86"/>
      <c r="C681" s="87"/>
      <c r="D681" s="87"/>
      <c r="E681" s="87"/>
      <c r="F681" s="87"/>
      <c r="G681" s="88"/>
      <c r="H681" s="87"/>
      <c r="I681" s="87"/>
      <c r="J681" s="87"/>
      <c r="K681" s="8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M681" s="17"/>
      <c r="AN681" s="17"/>
      <c r="AO681" s="17"/>
      <c r="AP681" s="17"/>
      <c r="AQ681" s="17"/>
    </row>
    <row r="682" spans="1:43" s="84" customFormat="1" ht="15" x14ac:dyDescent="0.35">
      <c r="A682" s="80"/>
      <c r="B682" s="81"/>
      <c r="C682" s="82"/>
      <c r="D682" s="82"/>
      <c r="E682" s="82"/>
      <c r="F682" s="82"/>
      <c r="G682" s="83"/>
      <c r="H682" s="82"/>
      <c r="I682" s="82"/>
      <c r="J682" s="82"/>
      <c r="K682" s="82"/>
      <c r="L682" s="76"/>
      <c r="M682" s="82"/>
      <c r="N682" s="82"/>
      <c r="O682" s="82"/>
      <c r="P682" s="82"/>
      <c r="Q682" s="82"/>
      <c r="R682" s="82"/>
      <c r="S682" s="82"/>
      <c r="T682" s="82"/>
      <c r="U682" s="82"/>
      <c r="V682" s="82"/>
      <c r="W682" s="82"/>
      <c r="X682" s="82"/>
      <c r="Y682" s="76"/>
      <c r="Z682" s="82"/>
      <c r="AA682" s="82"/>
      <c r="AB682" s="82"/>
      <c r="AC682" s="82"/>
      <c r="AD682" s="82"/>
      <c r="AE682" s="82"/>
      <c r="AF682" s="82"/>
      <c r="AG682" s="82"/>
      <c r="AH682" s="82"/>
      <c r="AI682" s="82"/>
      <c r="AJ682" s="82"/>
      <c r="AK682" s="82"/>
      <c r="AL682" s="76"/>
      <c r="AM682" s="82"/>
      <c r="AN682" s="82"/>
      <c r="AO682" s="82"/>
      <c r="AP682" s="82"/>
      <c r="AQ682" s="82"/>
    </row>
    <row r="683" spans="1:43" ht="15" x14ac:dyDescent="0.35">
      <c r="A683" s="85"/>
      <c r="B683" s="86"/>
      <c r="C683" s="87"/>
      <c r="D683" s="87"/>
      <c r="E683" s="87"/>
      <c r="F683" s="87"/>
      <c r="G683" s="88"/>
      <c r="H683" s="87"/>
      <c r="I683" s="87"/>
      <c r="J683" s="87"/>
      <c r="K683" s="8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M683" s="17"/>
      <c r="AN683" s="17"/>
      <c r="AO683" s="17"/>
      <c r="AP683" s="17"/>
      <c r="AQ683" s="17"/>
    </row>
    <row r="684" spans="1:43" s="84" customFormat="1" ht="15" x14ac:dyDescent="0.35">
      <c r="A684" s="80"/>
      <c r="B684" s="81"/>
      <c r="C684" s="82"/>
      <c r="D684" s="82"/>
      <c r="E684" s="82"/>
      <c r="F684" s="82"/>
      <c r="G684" s="83"/>
      <c r="H684" s="82"/>
      <c r="I684" s="82"/>
      <c r="J684" s="82"/>
      <c r="K684" s="82"/>
      <c r="L684" s="76"/>
      <c r="M684" s="82"/>
      <c r="N684" s="82"/>
      <c r="O684" s="82"/>
      <c r="P684" s="82"/>
      <c r="Q684" s="82"/>
      <c r="R684" s="82"/>
      <c r="S684" s="82"/>
      <c r="T684" s="82"/>
      <c r="U684" s="82"/>
      <c r="V684" s="82"/>
      <c r="W684" s="82"/>
      <c r="X684" s="82"/>
      <c r="Y684" s="76"/>
      <c r="Z684" s="82"/>
      <c r="AA684" s="82"/>
      <c r="AB684" s="82"/>
      <c r="AC684" s="82"/>
      <c r="AD684" s="82"/>
      <c r="AE684" s="82"/>
      <c r="AF684" s="82"/>
      <c r="AG684" s="82"/>
      <c r="AH684" s="82"/>
      <c r="AI684" s="82"/>
      <c r="AJ684" s="82"/>
      <c r="AK684" s="82"/>
      <c r="AL684" s="76"/>
      <c r="AM684" s="82"/>
      <c r="AN684" s="82"/>
      <c r="AO684" s="82"/>
      <c r="AP684" s="82"/>
      <c r="AQ684" s="82"/>
    </row>
    <row r="685" spans="1:43" ht="15" x14ac:dyDescent="0.35">
      <c r="A685" s="85"/>
      <c r="B685" s="86"/>
      <c r="C685" s="87"/>
      <c r="D685" s="87"/>
      <c r="E685" s="87"/>
      <c r="F685" s="87"/>
      <c r="G685" s="88"/>
      <c r="H685" s="87"/>
      <c r="I685" s="87"/>
      <c r="J685" s="87"/>
      <c r="K685" s="8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M685" s="17"/>
      <c r="AN685" s="17"/>
      <c r="AO685" s="17"/>
      <c r="AP685" s="17"/>
      <c r="AQ685" s="17"/>
    </row>
    <row r="686" spans="1:43" s="84" customFormat="1" ht="15" x14ac:dyDescent="0.35">
      <c r="A686" s="80"/>
      <c r="B686" s="81"/>
      <c r="C686" s="82"/>
      <c r="D686" s="82"/>
      <c r="E686" s="82"/>
      <c r="F686" s="82"/>
      <c r="G686" s="83"/>
      <c r="H686" s="82"/>
      <c r="I686" s="82"/>
      <c r="J686" s="82"/>
      <c r="K686" s="82"/>
      <c r="L686" s="76"/>
      <c r="M686" s="82"/>
      <c r="N686" s="82"/>
      <c r="O686" s="82"/>
      <c r="P686" s="82"/>
      <c r="Q686" s="82"/>
      <c r="R686" s="82"/>
      <c r="S686" s="82"/>
      <c r="T686" s="82"/>
      <c r="U686" s="82"/>
      <c r="V686" s="82"/>
      <c r="W686" s="82"/>
      <c r="X686" s="82"/>
      <c r="Y686" s="76"/>
      <c r="Z686" s="82"/>
      <c r="AA686" s="82"/>
      <c r="AB686" s="82"/>
      <c r="AC686" s="82"/>
      <c r="AD686" s="82"/>
      <c r="AE686" s="82"/>
      <c r="AF686" s="82"/>
      <c r="AG686" s="82"/>
      <c r="AH686" s="82"/>
      <c r="AI686" s="82"/>
      <c r="AJ686" s="82"/>
      <c r="AK686" s="82"/>
      <c r="AL686" s="76"/>
      <c r="AM686" s="82"/>
      <c r="AN686" s="82"/>
      <c r="AO686" s="82"/>
      <c r="AP686" s="82"/>
      <c r="AQ686" s="82"/>
    </row>
    <row r="687" spans="1:43" ht="15" x14ac:dyDescent="0.35">
      <c r="A687" s="85"/>
      <c r="B687" s="86"/>
      <c r="C687" s="87"/>
      <c r="D687" s="87"/>
      <c r="E687" s="87"/>
      <c r="F687" s="87"/>
      <c r="G687" s="88"/>
      <c r="H687" s="87"/>
      <c r="I687" s="87"/>
      <c r="J687" s="87"/>
      <c r="K687" s="8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M687" s="17"/>
      <c r="AN687" s="17"/>
      <c r="AO687" s="17"/>
      <c r="AP687" s="17"/>
      <c r="AQ687" s="17"/>
    </row>
    <row r="688" spans="1:43" s="84" customFormat="1" ht="15" x14ac:dyDescent="0.35">
      <c r="A688" s="80"/>
      <c r="B688" s="81"/>
      <c r="C688" s="82"/>
      <c r="D688" s="82"/>
      <c r="E688" s="82"/>
      <c r="F688" s="82"/>
      <c r="G688" s="83"/>
      <c r="H688" s="82"/>
      <c r="I688" s="82"/>
      <c r="J688" s="82"/>
      <c r="K688" s="82"/>
      <c r="L688" s="76"/>
      <c r="M688" s="82"/>
      <c r="N688" s="82"/>
      <c r="O688" s="82"/>
      <c r="P688" s="82"/>
      <c r="Q688" s="82"/>
      <c r="R688" s="82"/>
      <c r="S688" s="82"/>
      <c r="T688" s="82"/>
      <c r="U688" s="82"/>
      <c r="V688" s="82"/>
      <c r="W688" s="82"/>
      <c r="X688" s="82"/>
      <c r="Y688" s="76"/>
      <c r="Z688" s="82"/>
      <c r="AA688" s="82"/>
      <c r="AB688" s="82"/>
      <c r="AC688" s="82"/>
      <c r="AD688" s="82"/>
      <c r="AE688" s="82"/>
      <c r="AF688" s="82"/>
      <c r="AG688" s="82"/>
      <c r="AH688" s="82"/>
      <c r="AI688" s="82"/>
      <c r="AJ688" s="82"/>
      <c r="AK688" s="82"/>
      <c r="AL688" s="76"/>
      <c r="AM688" s="82"/>
      <c r="AN688" s="82"/>
      <c r="AO688" s="82"/>
      <c r="AP688" s="82"/>
      <c r="AQ688" s="82"/>
    </row>
    <row r="689" spans="1:43" ht="15" x14ac:dyDescent="0.35">
      <c r="A689" s="85"/>
      <c r="B689" s="86"/>
      <c r="C689" s="87"/>
      <c r="D689" s="87"/>
      <c r="E689" s="87"/>
      <c r="F689" s="87"/>
      <c r="G689" s="88"/>
      <c r="H689" s="87"/>
      <c r="I689" s="87"/>
      <c r="J689" s="87"/>
      <c r="K689" s="8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M689" s="17"/>
      <c r="AN689" s="17"/>
      <c r="AO689" s="17"/>
      <c r="AP689" s="17"/>
      <c r="AQ689" s="17"/>
    </row>
    <row r="690" spans="1:43" s="84" customFormat="1" ht="15" x14ac:dyDescent="0.35">
      <c r="A690" s="80"/>
      <c r="B690" s="81"/>
      <c r="C690" s="82"/>
      <c r="D690" s="82"/>
      <c r="E690" s="82"/>
      <c r="F690" s="82"/>
      <c r="G690" s="83"/>
      <c r="H690" s="82"/>
      <c r="I690" s="82"/>
      <c r="J690" s="82"/>
      <c r="K690" s="82"/>
      <c r="L690" s="76"/>
      <c r="M690" s="82"/>
      <c r="N690" s="82"/>
      <c r="O690" s="82"/>
      <c r="P690" s="82"/>
      <c r="Q690" s="82"/>
      <c r="R690" s="82"/>
      <c r="S690" s="82"/>
      <c r="T690" s="82"/>
      <c r="U690" s="82"/>
      <c r="V690" s="82"/>
      <c r="W690" s="82"/>
      <c r="X690" s="82"/>
      <c r="Y690" s="76"/>
      <c r="Z690" s="82"/>
      <c r="AA690" s="82"/>
      <c r="AB690" s="82"/>
      <c r="AC690" s="82"/>
      <c r="AD690" s="82"/>
      <c r="AE690" s="82"/>
      <c r="AF690" s="82"/>
      <c r="AG690" s="82"/>
      <c r="AH690" s="82"/>
      <c r="AI690" s="82"/>
      <c r="AJ690" s="82"/>
      <c r="AK690" s="82"/>
      <c r="AL690" s="76"/>
      <c r="AM690" s="82"/>
      <c r="AN690" s="82"/>
      <c r="AO690" s="82"/>
      <c r="AP690" s="82"/>
      <c r="AQ690" s="82"/>
    </row>
    <row r="691" spans="1:43" ht="15" x14ac:dyDescent="0.35">
      <c r="A691" s="85"/>
      <c r="B691" s="86"/>
      <c r="C691" s="87"/>
      <c r="D691" s="87"/>
      <c r="E691" s="87"/>
      <c r="F691" s="87"/>
      <c r="G691" s="88"/>
      <c r="H691" s="87"/>
      <c r="I691" s="87"/>
      <c r="J691" s="87"/>
      <c r="K691" s="8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M691" s="17"/>
      <c r="AN691" s="17"/>
      <c r="AO691" s="17"/>
      <c r="AP691" s="17"/>
      <c r="AQ691" s="17"/>
    </row>
    <row r="692" spans="1:43" s="84" customFormat="1" ht="15" x14ac:dyDescent="0.35">
      <c r="A692" s="80"/>
      <c r="B692" s="81"/>
      <c r="C692" s="82"/>
      <c r="D692" s="82"/>
      <c r="E692" s="82"/>
      <c r="F692" s="82"/>
      <c r="G692" s="83"/>
      <c r="H692" s="82"/>
      <c r="I692" s="82"/>
      <c r="J692" s="82"/>
      <c r="K692" s="82"/>
      <c r="L692" s="76"/>
      <c r="M692" s="82"/>
      <c r="N692" s="82"/>
      <c r="O692" s="82"/>
      <c r="P692" s="82"/>
      <c r="Q692" s="82"/>
      <c r="R692" s="82"/>
      <c r="S692" s="82"/>
      <c r="T692" s="82"/>
      <c r="U692" s="82"/>
      <c r="V692" s="82"/>
      <c r="W692" s="82"/>
      <c r="X692" s="82"/>
      <c r="Y692" s="76"/>
      <c r="Z692" s="82"/>
      <c r="AA692" s="82"/>
      <c r="AB692" s="82"/>
      <c r="AC692" s="82"/>
      <c r="AD692" s="82"/>
      <c r="AE692" s="82"/>
      <c r="AF692" s="82"/>
      <c r="AG692" s="82"/>
      <c r="AH692" s="82"/>
      <c r="AI692" s="82"/>
      <c r="AJ692" s="82"/>
      <c r="AK692" s="82"/>
      <c r="AL692" s="76"/>
      <c r="AM692" s="82"/>
      <c r="AN692" s="82"/>
      <c r="AO692" s="82"/>
      <c r="AP692" s="82"/>
      <c r="AQ692" s="82"/>
    </row>
    <row r="693" spans="1:43" ht="15" x14ac:dyDescent="0.35">
      <c r="A693" s="85"/>
      <c r="B693" s="86"/>
      <c r="C693" s="87"/>
      <c r="D693" s="87"/>
      <c r="E693" s="87"/>
      <c r="F693" s="87"/>
      <c r="G693" s="88"/>
      <c r="H693" s="87"/>
      <c r="I693" s="87"/>
      <c r="J693" s="87"/>
      <c r="K693" s="8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M693" s="17"/>
      <c r="AN693" s="17"/>
      <c r="AO693" s="17"/>
      <c r="AP693" s="17"/>
      <c r="AQ693" s="17"/>
    </row>
    <row r="694" spans="1:43" s="84" customFormat="1" ht="15" x14ac:dyDescent="0.35">
      <c r="A694" s="80"/>
      <c r="B694" s="81"/>
      <c r="C694" s="82"/>
      <c r="D694" s="82"/>
      <c r="E694" s="82"/>
      <c r="F694" s="82"/>
      <c r="G694" s="83"/>
      <c r="H694" s="82"/>
      <c r="I694" s="82"/>
      <c r="J694" s="82"/>
      <c r="K694" s="82"/>
      <c r="L694" s="76"/>
      <c r="M694" s="82"/>
      <c r="N694" s="82"/>
      <c r="O694" s="82"/>
      <c r="P694" s="82"/>
      <c r="Q694" s="82"/>
      <c r="R694" s="82"/>
      <c r="S694" s="82"/>
      <c r="T694" s="82"/>
      <c r="U694" s="82"/>
      <c r="V694" s="82"/>
      <c r="W694" s="82"/>
      <c r="X694" s="82"/>
      <c r="Y694" s="76"/>
      <c r="Z694" s="82"/>
      <c r="AA694" s="82"/>
      <c r="AB694" s="82"/>
      <c r="AC694" s="82"/>
      <c r="AD694" s="82"/>
      <c r="AE694" s="82"/>
      <c r="AF694" s="82"/>
      <c r="AG694" s="82"/>
      <c r="AH694" s="82"/>
      <c r="AI694" s="82"/>
      <c r="AJ694" s="82"/>
      <c r="AK694" s="82"/>
      <c r="AL694" s="76"/>
      <c r="AM694" s="82"/>
      <c r="AN694" s="82"/>
      <c r="AO694" s="82"/>
      <c r="AP694" s="82"/>
      <c r="AQ694" s="82"/>
    </row>
    <row r="695" spans="1:43" ht="15" x14ac:dyDescent="0.35">
      <c r="A695" s="85"/>
      <c r="B695" s="86"/>
      <c r="C695" s="87"/>
      <c r="D695" s="87"/>
      <c r="E695" s="87"/>
      <c r="F695" s="87"/>
      <c r="G695" s="88"/>
      <c r="H695" s="87"/>
      <c r="I695" s="87"/>
      <c r="J695" s="87"/>
      <c r="K695" s="8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M695" s="17"/>
      <c r="AN695" s="17"/>
      <c r="AO695" s="17"/>
      <c r="AP695" s="17"/>
      <c r="AQ695" s="17"/>
    </row>
    <row r="696" spans="1:43" s="84" customFormat="1" ht="15" x14ac:dyDescent="0.35">
      <c r="A696" s="80"/>
      <c r="B696" s="81"/>
      <c r="C696" s="82"/>
      <c r="D696" s="82"/>
      <c r="E696" s="82"/>
      <c r="F696" s="82"/>
      <c r="G696" s="83"/>
      <c r="H696" s="82"/>
      <c r="I696" s="82"/>
      <c r="J696" s="82"/>
      <c r="K696" s="82"/>
      <c r="L696" s="76"/>
      <c r="M696" s="82"/>
      <c r="N696" s="82"/>
      <c r="O696" s="82"/>
      <c r="P696" s="82"/>
      <c r="Q696" s="82"/>
      <c r="R696" s="82"/>
      <c r="S696" s="82"/>
      <c r="T696" s="82"/>
      <c r="U696" s="82"/>
      <c r="V696" s="82"/>
      <c r="W696" s="82"/>
      <c r="X696" s="82"/>
      <c r="Y696" s="76"/>
      <c r="Z696" s="82"/>
      <c r="AA696" s="82"/>
      <c r="AB696" s="82"/>
      <c r="AC696" s="82"/>
      <c r="AD696" s="82"/>
      <c r="AE696" s="82"/>
      <c r="AF696" s="82"/>
      <c r="AG696" s="82"/>
      <c r="AH696" s="82"/>
      <c r="AI696" s="82"/>
      <c r="AJ696" s="82"/>
      <c r="AK696" s="82"/>
      <c r="AL696" s="76"/>
      <c r="AM696" s="82"/>
      <c r="AN696" s="82"/>
      <c r="AO696" s="82"/>
      <c r="AP696" s="82"/>
      <c r="AQ696" s="82"/>
    </row>
    <row r="697" spans="1:43" ht="15" x14ac:dyDescent="0.35">
      <c r="A697" s="85"/>
      <c r="B697" s="86"/>
      <c r="C697" s="87"/>
      <c r="D697" s="87"/>
      <c r="E697" s="87"/>
      <c r="F697" s="87"/>
      <c r="G697" s="88"/>
      <c r="H697" s="87"/>
      <c r="I697" s="87"/>
      <c r="J697" s="87"/>
      <c r="K697" s="8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M697" s="17"/>
      <c r="AN697" s="17"/>
      <c r="AO697" s="17"/>
      <c r="AP697" s="17"/>
      <c r="AQ697" s="17"/>
    </row>
    <row r="698" spans="1:43" s="84" customFormat="1" ht="15" x14ac:dyDescent="0.35">
      <c r="A698" s="80"/>
      <c r="B698" s="81"/>
      <c r="C698" s="82"/>
      <c r="D698" s="82"/>
      <c r="E698" s="82"/>
      <c r="F698" s="82"/>
      <c r="G698" s="83"/>
      <c r="H698" s="82"/>
      <c r="I698" s="82"/>
      <c r="J698" s="82"/>
      <c r="K698" s="82"/>
      <c r="L698" s="76"/>
      <c r="M698" s="82"/>
      <c r="N698" s="82"/>
      <c r="O698" s="82"/>
      <c r="P698" s="82"/>
      <c r="Q698" s="82"/>
      <c r="R698" s="82"/>
      <c r="S698" s="82"/>
      <c r="T698" s="82"/>
      <c r="U698" s="82"/>
      <c r="V698" s="82"/>
      <c r="W698" s="82"/>
      <c r="X698" s="82"/>
      <c r="Y698" s="76"/>
      <c r="Z698" s="82"/>
      <c r="AA698" s="82"/>
      <c r="AB698" s="82"/>
      <c r="AC698" s="82"/>
      <c r="AD698" s="82"/>
      <c r="AE698" s="82"/>
      <c r="AF698" s="82"/>
      <c r="AG698" s="82"/>
      <c r="AH698" s="82"/>
      <c r="AI698" s="82"/>
      <c r="AJ698" s="82"/>
      <c r="AK698" s="82"/>
      <c r="AL698" s="76"/>
      <c r="AM698" s="82"/>
      <c r="AN698" s="82"/>
      <c r="AO698" s="82"/>
      <c r="AP698" s="82"/>
      <c r="AQ698" s="82"/>
    </row>
    <row r="699" spans="1:43" ht="15" x14ac:dyDescent="0.35">
      <c r="A699" s="85"/>
      <c r="B699" s="86"/>
      <c r="C699" s="87"/>
      <c r="D699" s="87"/>
      <c r="E699" s="87"/>
      <c r="F699" s="87"/>
      <c r="G699" s="88"/>
      <c r="H699" s="87"/>
      <c r="I699" s="87"/>
      <c r="J699" s="87"/>
      <c r="K699" s="8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M699" s="17"/>
      <c r="AN699" s="17"/>
      <c r="AO699" s="17"/>
      <c r="AP699" s="17"/>
      <c r="AQ699" s="17"/>
    </row>
    <row r="700" spans="1:43" s="84" customFormat="1" ht="15" x14ac:dyDescent="0.35">
      <c r="A700" s="80"/>
      <c r="B700" s="81"/>
      <c r="C700" s="82"/>
      <c r="D700" s="82"/>
      <c r="E700" s="82"/>
      <c r="F700" s="82"/>
      <c r="G700" s="83"/>
      <c r="H700" s="82"/>
      <c r="I700" s="82"/>
      <c r="J700" s="82"/>
      <c r="K700" s="82"/>
      <c r="L700" s="76"/>
      <c r="M700" s="82"/>
      <c r="N700" s="82"/>
      <c r="O700" s="82"/>
      <c r="P700" s="82"/>
      <c r="Q700" s="82"/>
      <c r="R700" s="82"/>
      <c r="S700" s="82"/>
      <c r="T700" s="82"/>
      <c r="U700" s="82"/>
      <c r="V700" s="82"/>
      <c r="W700" s="82"/>
      <c r="X700" s="82"/>
      <c r="Y700" s="76"/>
      <c r="Z700" s="82"/>
      <c r="AA700" s="82"/>
      <c r="AB700" s="82"/>
      <c r="AC700" s="82"/>
      <c r="AD700" s="82"/>
      <c r="AE700" s="82"/>
      <c r="AF700" s="82"/>
      <c r="AG700" s="82"/>
      <c r="AH700" s="82"/>
      <c r="AI700" s="82"/>
      <c r="AJ700" s="82"/>
      <c r="AK700" s="82"/>
      <c r="AL700" s="76"/>
      <c r="AM700" s="82"/>
      <c r="AN700" s="82"/>
      <c r="AO700" s="82"/>
      <c r="AP700" s="82"/>
      <c r="AQ700" s="82"/>
    </row>
    <row r="701" spans="1:43" ht="15" x14ac:dyDescent="0.35">
      <c r="A701" s="85"/>
      <c r="B701" s="86"/>
      <c r="C701" s="87"/>
      <c r="D701" s="87"/>
      <c r="E701" s="87"/>
      <c r="F701" s="87"/>
      <c r="G701" s="88"/>
      <c r="H701" s="87"/>
      <c r="I701" s="87"/>
      <c r="J701" s="87"/>
      <c r="K701" s="8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M701" s="17"/>
      <c r="AN701" s="17"/>
      <c r="AO701" s="17"/>
      <c r="AP701" s="17"/>
      <c r="AQ701" s="17"/>
    </row>
    <row r="702" spans="1:43" s="84" customFormat="1" ht="15" x14ac:dyDescent="0.35">
      <c r="A702" s="80"/>
      <c r="B702" s="81"/>
      <c r="C702" s="82"/>
      <c r="D702" s="82"/>
      <c r="E702" s="82"/>
      <c r="F702" s="82"/>
      <c r="G702" s="83"/>
      <c r="H702" s="82"/>
      <c r="I702" s="82"/>
      <c r="J702" s="82"/>
      <c r="K702" s="82"/>
      <c r="L702" s="76"/>
      <c r="M702" s="82"/>
      <c r="N702" s="82"/>
      <c r="O702" s="82"/>
      <c r="P702" s="82"/>
      <c r="Q702" s="82"/>
      <c r="R702" s="82"/>
      <c r="S702" s="82"/>
      <c r="T702" s="82"/>
      <c r="U702" s="82"/>
      <c r="V702" s="82"/>
      <c r="W702" s="82"/>
      <c r="X702" s="82"/>
      <c r="Y702" s="76"/>
      <c r="Z702" s="82"/>
      <c r="AA702" s="82"/>
      <c r="AB702" s="82"/>
      <c r="AC702" s="82"/>
      <c r="AD702" s="82"/>
      <c r="AE702" s="82"/>
      <c r="AF702" s="82"/>
      <c r="AG702" s="82"/>
      <c r="AH702" s="82"/>
      <c r="AI702" s="82"/>
      <c r="AJ702" s="82"/>
      <c r="AK702" s="82"/>
      <c r="AL702" s="76"/>
      <c r="AM702" s="82"/>
      <c r="AN702" s="82"/>
      <c r="AO702" s="82"/>
      <c r="AP702" s="82"/>
      <c r="AQ702" s="82"/>
    </row>
    <row r="703" spans="1:43" ht="15" x14ac:dyDescent="0.35">
      <c r="A703" s="85"/>
      <c r="B703" s="86"/>
      <c r="C703" s="87"/>
      <c r="D703" s="87"/>
      <c r="E703" s="87"/>
      <c r="F703" s="87"/>
      <c r="G703" s="88"/>
      <c r="H703" s="87"/>
      <c r="I703" s="87"/>
      <c r="J703" s="87"/>
      <c r="K703" s="8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M703" s="17"/>
      <c r="AN703" s="17"/>
      <c r="AO703" s="17"/>
      <c r="AP703" s="17"/>
      <c r="AQ703" s="17"/>
    </row>
    <row r="704" spans="1:43" s="84" customFormat="1" ht="15" x14ac:dyDescent="0.35">
      <c r="A704" s="80"/>
      <c r="B704" s="81"/>
      <c r="C704" s="82"/>
      <c r="D704" s="82"/>
      <c r="E704" s="82"/>
      <c r="F704" s="82"/>
      <c r="G704" s="83"/>
      <c r="H704" s="82"/>
      <c r="I704" s="82"/>
      <c r="J704" s="82"/>
      <c r="K704" s="82"/>
      <c r="L704" s="76"/>
      <c r="M704" s="82"/>
      <c r="N704" s="82"/>
      <c r="O704" s="82"/>
      <c r="P704" s="82"/>
      <c r="Q704" s="82"/>
      <c r="R704" s="82"/>
      <c r="S704" s="82"/>
      <c r="T704" s="82"/>
      <c r="U704" s="82"/>
      <c r="V704" s="82"/>
      <c r="W704" s="82"/>
      <c r="X704" s="82"/>
      <c r="Y704" s="76"/>
      <c r="Z704" s="82"/>
      <c r="AA704" s="82"/>
      <c r="AB704" s="82"/>
      <c r="AC704" s="82"/>
      <c r="AD704" s="82"/>
      <c r="AE704" s="82"/>
      <c r="AF704" s="82"/>
      <c r="AG704" s="82"/>
      <c r="AH704" s="82"/>
      <c r="AI704" s="82"/>
      <c r="AJ704" s="82"/>
      <c r="AK704" s="82"/>
      <c r="AL704" s="76"/>
      <c r="AM704" s="82"/>
      <c r="AN704" s="82"/>
      <c r="AO704" s="82"/>
      <c r="AP704" s="82"/>
      <c r="AQ704" s="82"/>
    </row>
    <row r="705" spans="1:43" ht="15" x14ac:dyDescent="0.35">
      <c r="A705" s="85"/>
      <c r="B705" s="86"/>
      <c r="C705" s="87"/>
      <c r="D705" s="87"/>
      <c r="E705" s="87"/>
      <c r="F705" s="87"/>
      <c r="G705" s="88"/>
      <c r="H705" s="87"/>
      <c r="I705" s="87"/>
      <c r="J705" s="87"/>
      <c r="K705" s="8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M705" s="17"/>
      <c r="AN705" s="17"/>
      <c r="AO705" s="17"/>
      <c r="AP705" s="17"/>
      <c r="AQ705" s="17"/>
    </row>
    <row r="706" spans="1:43" s="84" customFormat="1" ht="15" x14ac:dyDescent="0.35">
      <c r="A706" s="80"/>
      <c r="B706" s="81"/>
      <c r="C706" s="82"/>
      <c r="D706" s="82"/>
      <c r="E706" s="82"/>
      <c r="F706" s="82"/>
      <c r="G706" s="83"/>
      <c r="H706" s="82"/>
      <c r="I706" s="82"/>
      <c r="J706" s="82"/>
      <c r="K706" s="82"/>
      <c r="L706" s="76"/>
      <c r="M706" s="82"/>
      <c r="N706" s="82"/>
      <c r="O706" s="82"/>
      <c r="P706" s="82"/>
      <c r="Q706" s="82"/>
      <c r="R706" s="82"/>
      <c r="S706" s="82"/>
      <c r="T706" s="82"/>
      <c r="U706" s="82"/>
      <c r="V706" s="82"/>
      <c r="W706" s="82"/>
      <c r="X706" s="82"/>
      <c r="Y706" s="76"/>
      <c r="Z706" s="82"/>
      <c r="AA706" s="82"/>
      <c r="AB706" s="82"/>
      <c r="AC706" s="82"/>
      <c r="AD706" s="82"/>
      <c r="AE706" s="82"/>
      <c r="AF706" s="82"/>
      <c r="AG706" s="82"/>
      <c r="AH706" s="82"/>
      <c r="AI706" s="82"/>
      <c r="AJ706" s="82"/>
      <c r="AK706" s="82"/>
      <c r="AL706" s="76"/>
      <c r="AM706" s="82"/>
      <c r="AN706" s="82"/>
      <c r="AO706" s="82"/>
      <c r="AP706" s="82"/>
      <c r="AQ706" s="82"/>
    </row>
    <row r="707" spans="1:43" ht="15" x14ac:dyDescent="0.35">
      <c r="A707" s="85"/>
      <c r="B707" s="86"/>
      <c r="C707" s="87"/>
      <c r="D707" s="87"/>
      <c r="E707" s="87"/>
      <c r="F707" s="87"/>
      <c r="G707" s="88"/>
      <c r="H707" s="87"/>
      <c r="I707" s="87"/>
      <c r="J707" s="87"/>
      <c r="K707" s="8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M707" s="17"/>
      <c r="AN707" s="17"/>
      <c r="AO707" s="17"/>
      <c r="AP707" s="17"/>
      <c r="AQ707" s="17"/>
    </row>
    <row r="708" spans="1:43" s="84" customFormat="1" ht="15" x14ac:dyDescent="0.35">
      <c r="A708" s="80"/>
      <c r="B708" s="81"/>
      <c r="C708" s="82"/>
      <c r="D708" s="82"/>
      <c r="E708" s="82"/>
      <c r="F708" s="82"/>
      <c r="G708" s="83"/>
      <c r="H708" s="82"/>
      <c r="I708" s="82"/>
      <c r="J708" s="82"/>
      <c r="K708" s="82"/>
      <c r="L708" s="76"/>
      <c r="M708" s="82"/>
      <c r="N708" s="82"/>
      <c r="O708" s="82"/>
      <c r="P708" s="82"/>
      <c r="Q708" s="82"/>
      <c r="R708" s="82"/>
      <c r="S708" s="82"/>
      <c r="T708" s="82"/>
      <c r="U708" s="82"/>
      <c r="V708" s="82"/>
      <c r="W708" s="82"/>
      <c r="X708" s="82"/>
      <c r="Y708" s="76"/>
      <c r="Z708" s="82"/>
      <c r="AA708" s="82"/>
      <c r="AB708" s="82"/>
      <c r="AC708" s="82"/>
      <c r="AD708" s="82"/>
      <c r="AE708" s="82"/>
      <c r="AF708" s="82"/>
      <c r="AG708" s="82"/>
      <c r="AH708" s="82"/>
      <c r="AI708" s="82"/>
      <c r="AJ708" s="82"/>
      <c r="AK708" s="82"/>
      <c r="AL708" s="76"/>
      <c r="AM708" s="82"/>
      <c r="AN708" s="82"/>
      <c r="AO708" s="82"/>
      <c r="AP708" s="82"/>
      <c r="AQ708" s="82"/>
    </row>
    <row r="709" spans="1:43" ht="15" x14ac:dyDescent="0.35">
      <c r="A709" s="85"/>
      <c r="B709" s="86"/>
      <c r="C709" s="87"/>
      <c r="D709" s="87"/>
      <c r="E709" s="87"/>
      <c r="F709" s="87"/>
      <c r="G709" s="88"/>
      <c r="H709" s="87"/>
      <c r="I709" s="87"/>
      <c r="J709" s="87"/>
      <c r="K709" s="8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M709" s="17"/>
      <c r="AN709" s="17"/>
      <c r="AO709" s="17"/>
      <c r="AP709" s="17"/>
      <c r="AQ709" s="17"/>
    </row>
    <row r="710" spans="1:43" s="84" customFormat="1" ht="15" x14ac:dyDescent="0.35">
      <c r="A710" s="80"/>
      <c r="B710" s="81"/>
      <c r="C710" s="82"/>
      <c r="D710" s="82"/>
      <c r="E710" s="82"/>
      <c r="F710" s="82"/>
      <c r="G710" s="83"/>
      <c r="H710" s="82"/>
      <c r="I710" s="82"/>
      <c r="J710" s="82"/>
      <c r="K710" s="82"/>
      <c r="L710" s="76"/>
      <c r="M710" s="82"/>
      <c r="N710" s="82"/>
      <c r="O710" s="82"/>
      <c r="P710" s="82"/>
      <c r="Q710" s="82"/>
      <c r="R710" s="82"/>
      <c r="S710" s="82"/>
      <c r="T710" s="82"/>
      <c r="U710" s="82"/>
      <c r="V710" s="82"/>
      <c r="W710" s="82"/>
      <c r="X710" s="82"/>
      <c r="Y710" s="76"/>
      <c r="Z710" s="82"/>
      <c r="AA710" s="82"/>
      <c r="AB710" s="82"/>
      <c r="AC710" s="82"/>
      <c r="AD710" s="82"/>
      <c r="AE710" s="82"/>
      <c r="AF710" s="82"/>
      <c r="AG710" s="82"/>
      <c r="AH710" s="82"/>
      <c r="AI710" s="82"/>
      <c r="AJ710" s="82"/>
      <c r="AK710" s="82"/>
      <c r="AL710" s="76"/>
      <c r="AM710" s="82"/>
      <c r="AN710" s="82"/>
      <c r="AO710" s="82"/>
      <c r="AP710" s="82"/>
      <c r="AQ710" s="82"/>
    </row>
    <row r="711" spans="1:43" ht="15" x14ac:dyDescent="0.35">
      <c r="A711" s="85"/>
      <c r="B711" s="86"/>
      <c r="C711" s="87"/>
      <c r="D711" s="87"/>
      <c r="E711" s="87"/>
      <c r="F711" s="87"/>
      <c r="G711" s="88"/>
      <c r="H711" s="87"/>
      <c r="I711" s="87"/>
      <c r="J711" s="87"/>
      <c r="K711" s="8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M711" s="17"/>
      <c r="AN711" s="17"/>
      <c r="AO711" s="17"/>
      <c r="AP711" s="17"/>
      <c r="AQ711" s="17"/>
    </row>
    <row r="712" spans="1:43" s="84" customFormat="1" ht="15" x14ac:dyDescent="0.35">
      <c r="A712" s="80"/>
      <c r="B712" s="81"/>
      <c r="C712" s="82"/>
      <c r="D712" s="82"/>
      <c r="E712" s="82"/>
      <c r="F712" s="82"/>
      <c r="G712" s="83"/>
      <c r="H712" s="82"/>
      <c r="I712" s="82"/>
      <c r="J712" s="82"/>
      <c r="K712" s="82"/>
      <c r="L712" s="76"/>
      <c r="M712" s="82"/>
      <c r="N712" s="82"/>
      <c r="O712" s="82"/>
      <c r="P712" s="82"/>
      <c r="Q712" s="82"/>
      <c r="R712" s="82"/>
      <c r="S712" s="82"/>
      <c r="T712" s="82"/>
      <c r="U712" s="82"/>
      <c r="V712" s="82"/>
      <c r="W712" s="82"/>
      <c r="X712" s="82"/>
      <c r="Y712" s="76"/>
      <c r="Z712" s="82"/>
      <c r="AA712" s="82"/>
      <c r="AB712" s="82"/>
      <c r="AC712" s="82"/>
      <c r="AD712" s="82"/>
      <c r="AE712" s="82"/>
      <c r="AF712" s="82"/>
      <c r="AG712" s="82"/>
      <c r="AH712" s="82"/>
      <c r="AI712" s="82"/>
      <c r="AJ712" s="82"/>
      <c r="AK712" s="82"/>
      <c r="AL712" s="76"/>
      <c r="AM712" s="82"/>
      <c r="AN712" s="82"/>
      <c r="AO712" s="82"/>
      <c r="AP712" s="82"/>
      <c r="AQ712" s="82"/>
    </row>
    <row r="713" spans="1:43" ht="15" x14ac:dyDescent="0.35">
      <c r="A713" s="85"/>
      <c r="B713" s="86"/>
      <c r="C713" s="87"/>
      <c r="D713" s="87"/>
      <c r="E713" s="87"/>
      <c r="F713" s="87"/>
      <c r="G713" s="88"/>
      <c r="H713" s="87"/>
      <c r="I713" s="87"/>
      <c r="J713" s="87"/>
      <c r="K713" s="8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M713" s="17"/>
      <c r="AN713" s="17"/>
      <c r="AO713" s="17"/>
      <c r="AP713" s="17"/>
      <c r="AQ713" s="17"/>
    </row>
    <row r="714" spans="1:43" s="84" customFormat="1" ht="15" x14ac:dyDescent="0.35">
      <c r="A714" s="80"/>
      <c r="B714" s="81"/>
      <c r="C714" s="82"/>
      <c r="D714" s="82"/>
      <c r="E714" s="82"/>
      <c r="F714" s="82"/>
      <c r="G714" s="83"/>
      <c r="H714" s="82"/>
      <c r="I714" s="82"/>
      <c r="J714" s="82"/>
      <c r="K714" s="82"/>
      <c r="L714" s="76"/>
      <c r="M714" s="82"/>
      <c r="N714" s="82"/>
      <c r="O714" s="82"/>
      <c r="P714" s="82"/>
      <c r="Q714" s="82"/>
      <c r="R714" s="82"/>
      <c r="S714" s="82"/>
      <c r="T714" s="82"/>
      <c r="U714" s="82"/>
      <c r="V714" s="82"/>
      <c r="W714" s="82"/>
      <c r="X714" s="82"/>
      <c r="Y714" s="76"/>
      <c r="Z714" s="82"/>
      <c r="AA714" s="82"/>
      <c r="AB714" s="82"/>
      <c r="AC714" s="82"/>
      <c r="AD714" s="82"/>
      <c r="AE714" s="82"/>
      <c r="AF714" s="82"/>
      <c r="AG714" s="82"/>
      <c r="AH714" s="82"/>
      <c r="AI714" s="82"/>
      <c r="AJ714" s="82"/>
      <c r="AK714" s="82"/>
      <c r="AL714" s="76"/>
      <c r="AM714" s="82"/>
      <c r="AN714" s="82"/>
      <c r="AO714" s="82"/>
      <c r="AP714" s="82"/>
      <c r="AQ714" s="82"/>
    </row>
    <row r="715" spans="1:43" ht="15" x14ac:dyDescent="0.35">
      <c r="A715" s="85"/>
      <c r="B715" s="86"/>
      <c r="C715" s="87"/>
      <c r="D715" s="87"/>
      <c r="E715" s="87"/>
      <c r="F715" s="87"/>
      <c r="G715" s="88"/>
      <c r="H715" s="87"/>
      <c r="I715" s="87"/>
      <c r="J715" s="87"/>
      <c r="K715" s="8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M715" s="17"/>
      <c r="AN715" s="17"/>
      <c r="AO715" s="17"/>
      <c r="AP715" s="17"/>
      <c r="AQ715" s="17"/>
    </row>
    <row r="716" spans="1:43" s="84" customFormat="1" ht="15" x14ac:dyDescent="0.35">
      <c r="A716" s="80"/>
      <c r="B716" s="81"/>
      <c r="C716" s="82"/>
      <c r="D716" s="82"/>
      <c r="E716" s="82"/>
      <c r="F716" s="82"/>
      <c r="G716" s="83"/>
      <c r="H716" s="82"/>
      <c r="I716" s="82"/>
      <c r="J716" s="82"/>
      <c r="K716" s="82"/>
      <c r="L716" s="76"/>
      <c r="M716" s="82"/>
      <c r="N716" s="82"/>
      <c r="O716" s="82"/>
      <c r="P716" s="82"/>
      <c r="Q716" s="82"/>
      <c r="R716" s="82"/>
      <c r="S716" s="82"/>
      <c r="T716" s="82"/>
      <c r="U716" s="82"/>
      <c r="V716" s="82"/>
      <c r="W716" s="82"/>
      <c r="X716" s="82"/>
      <c r="Y716" s="76"/>
      <c r="Z716" s="82"/>
      <c r="AA716" s="82"/>
      <c r="AB716" s="82"/>
      <c r="AC716" s="82"/>
      <c r="AD716" s="82"/>
      <c r="AE716" s="82"/>
      <c r="AF716" s="82"/>
      <c r="AG716" s="82"/>
      <c r="AH716" s="82"/>
      <c r="AI716" s="82"/>
      <c r="AJ716" s="82"/>
      <c r="AK716" s="82"/>
      <c r="AL716" s="76"/>
      <c r="AM716" s="82"/>
      <c r="AN716" s="82"/>
      <c r="AO716" s="82"/>
      <c r="AP716" s="82"/>
      <c r="AQ716" s="82"/>
    </row>
    <row r="717" spans="1:43" ht="15" x14ac:dyDescent="0.35">
      <c r="A717" s="85"/>
      <c r="B717" s="86"/>
      <c r="C717" s="87"/>
      <c r="D717" s="87"/>
      <c r="E717" s="87"/>
      <c r="F717" s="87"/>
      <c r="G717" s="88"/>
      <c r="H717" s="87"/>
      <c r="I717" s="87"/>
      <c r="J717" s="87"/>
      <c r="K717" s="8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M717" s="17"/>
      <c r="AN717" s="17"/>
      <c r="AO717" s="17"/>
      <c r="AP717" s="17"/>
      <c r="AQ717" s="17"/>
    </row>
    <row r="718" spans="1:43" s="84" customFormat="1" ht="15" x14ac:dyDescent="0.35">
      <c r="A718" s="80"/>
      <c r="B718" s="81"/>
      <c r="C718" s="82"/>
      <c r="D718" s="82"/>
      <c r="E718" s="82"/>
      <c r="F718" s="82"/>
      <c r="G718" s="83"/>
      <c r="H718" s="82"/>
      <c r="I718" s="82"/>
      <c r="J718" s="82"/>
      <c r="K718" s="82"/>
      <c r="L718" s="76"/>
      <c r="M718" s="82"/>
      <c r="N718" s="82"/>
      <c r="O718" s="82"/>
      <c r="P718" s="82"/>
      <c r="Q718" s="82"/>
      <c r="R718" s="82"/>
      <c r="S718" s="82"/>
      <c r="T718" s="82"/>
      <c r="U718" s="82"/>
      <c r="V718" s="82"/>
      <c r="W718" s="82"/>
      <c r="X718" s="82"/>
      <c r="Y718" s="76"/>
      <c r="Z718" s="82"/>
      <c r="AA718" s="82"/>
      <c r="AB718" s="82"/>
      <c r="AC718" s="82"/>
      <c r="AD718" s="82"/>
      <c r="AE718" s="82"/>
      <c r="AF718" s="82"/>
      <c r="AG718" s="82"/>
      <c r="AH718" s="82"/>
      <c r="AI718" s="82"/>
      <c r="AJ718" s="82"/>
      <c r="AK718" s="82"/>
      <c r="AL718" s="76"/>
      <c r="AM718" s="82"/>
      <c r="AN718" s="82"/>
      <c r="AO718" s="82"/>
      <c r="AP718" s="82"/>
      <c r="AQ718" s="82"/>
    </row>
    <row r="719" spans="1:43" ht="15" x14ac:dyDescent="0.35">
      <c r="A719" s="85"/>
      <c r="B719" s="86"/>
      <c r="C719" s="87"/>
      <c r="D719" s="87"/>
      <c r="E719" s="87"/>
      <c r="F719" s="87"/>
      <c r="G719" s="88"/>
      <c r="H719" s="87"/>
      <c r="I719" s="87"/>
      <c r="J719" s="87"/>
      <c r="K719" s="8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M719" s="17"/>
      <c r="AN719" s="17"/>
      <c r="AO719" s="17"/>
      <c r="AP719" s="17"/>
      <c r="AQ719" s="17"/>
    </row>
    <row r="720" spans="1:43" s="84" customFormat="1" ht="15" x14ac:dyDescent="0.35">
      <c r="A720" s="80"/>
      <c r="B720" s="81"/>
      <c r="C720" s="82"/>
      <c r="D720" s="82"/>
      <c r="E720" s="82"/>
      <c r="F720" s="82"/>
      <c r="G720" s="83"/>
      <c r="H720" s="82"/>
      <c r="I720" s="82"/>
      <c r="J720" s="82"/>
      <c r="K720" s="82"/>
      <c r="L720" s="76"/>
      <c r="M720" s="82"/>
      <c r="N720" s="82"/>
      <c r="O720" s="82"/>
      <c r="P720" s="82"/>
      <c r="Q720" s="82"/>
      <c r="R720" s="82"/>
      <c r="S720" s="82"/>
      <c r="T720" s="82"/>
      <c r="U720" s="82"/>
      <c r="V720" s="82"/>
      <c r="W720" s="82"/>
      <c r="X720" s="82"/>
      <c r="Y720" s="76"/>
      <c r="Z720" s="82"/>
      <c r="AA720" s="82"/>
      <c r="AB720" s="82"/>
      <c r="AC720" s="82"/>
      <c r="AD720" s="82"/>
      <c r="AE720" s="82"/>
      <c r="AF720" s="82"/>
      <c r="AG720" s="82"/>
      <c r="AH720" s="82"/>
      <c r="AI720" s="82"/>
      <c r="AJ720" s="82"/>
      <c r="AK720" s="82"/>
      <c r="AL720" s="76"/>
      <c r="AM720" s="82"/>
      <c r="AN720" s="82"/>
      <c r="AO720" s="82"/>
      <c r="AP720" s="82"/>
      <c r="AQ720" s="82"/>
    </row>
    <row r="721" spans="1:43" ht="15" x14ac:dyDescent="0.35">
      <c r="A721" s="85"/>
      <c r="B721" s="86"/>
      <c r="C721" s="87"/>
      <c r="D721" s="87"/>
      <c r="E721" s="87"/>
      <c r="F721" s="87"/>
      <c r="G721" s="88"/>
      <c r="H721" s="87"/>
      <c r="I721" s="87"/>
      <c r="J721" s="87"/>
      <c r="K721" s="8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M721" s="17"/>
      <c r="AN721" s="17"/>
      <c r="AO721" s="17"/>
      <c r="AP721" s="17"/>
      <c r="AQ721" s="17"/>
    </row>
    <row r="722" spans="1:43" s="84" customFormat="1" ht="15" x14ac:dyDescent="0.35">
      <c r="A722" s="80"/>
      <c r="B722" s="81"/>
      <c r="C722" s="82"/>
      <c r="D722" s="82"/>
      <c r="E722" s="82"/>
      <c r="F722" s="82"/>
      <c r="G722" s="83"/>
      <c r="H722" s="82"/>
      <c r="I722" s="82"/>
      <c r="J722" s="82"/>
      <c r="K722" s="82"/>
      <c r="L722" s="76"/>
      <c r="M722" s="82"/>
      <c r="N722" s="82"/>
      <c r="O722" s="82"/>
      <c r="P722" s="82"/>
      <c r="Q722" s="82"/>
      <c r="R722" s="82"/>
      <c r="S722" s="82"/>
      <c r="T722" s="82"/>
      <c r="U722" s="82"/>
      <c r="V722" s="82"/>
      <c r="W722" s="82"/>
      <c r="X722" s="82"/>
      <c r="Y722" s="76"/>
      <c r="Z722" s="82"/>
      <c r="AA722" s="82"/>
      <c r="AB722" s="82"/>
      <c r="AC722" s="82"/>
      <c r="AD722" s="82"/>
      <c r="AE722" s="82"/>
      <c r="AF722" s="82"/>
      <c r="AG722" s="82"/>
      <c r="AH722" s="82"/>
      <c r="AI722" s="82"/>
      <c r="AJ722" s="82"/>
      <c r="AK722" s="82"/>
      <c r="AL722" s="76"/>
      <c r="AM722" s="82"/>
      <c r="AN722" s="82"/>
      <c r="AO722" s="82"/>
      <c r="AP722" s="82"/>
      <c r="AQ722" s="82"/>
    </row>
    <row r="723" spans="1:43" ht="15" x14ac:dyDescent="0.35">
      <c r="A723" s="85"/>
      <c r="B723" s="86"/>
      <c r="C723" s="87"/>
      <c r="D723" s="87"/>
      <c r="E723" s="87"/>
      <c r="F723" s="87"/>
      <c r="G723" s="88"/>
      <c r="H723" s="87"/>
      <c r="I723" s="87"/>
      <c r="J723" s="87"/>
      <c r="K723" s="8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M723" s="17"/>
      <c r="AN723" s="17"/>
      <c r="AO723" s="17"/>
      <c r="AP723" s="17"/>
      <c r="AQ723" s="17"/>
    </row>
    <row r="724" spans="1:43" s="84" customFormat="1" ht="15" x14ac:dyDescent="0.35">
      <c r="A724" s="80"/>
      <c r="B724" s="81"/>
      <c r="C724" s="82"/>
      <c r="D724" s="82"/>
      <c r="E724" s="82"/>
      <c r="F724" s="82"/>
      <c r="G724" s="83"/>
      <c r="H724" s="82"/>
      <c r="I724" s="82"/>
      <c r="J724" s="82"/>
      <c r="K724" s="82"/>
      <c r="L724" s="76"/>
      <c r="M724" s="82"/>
      <c r="N724" s="82"/>
      <c r="O724" s="82"/>
      <c r="P724" s="82"/>
      <c r="Q724" s="82"/>
      <c r="R724" s="82"/>
      <c r="S724" s="82"/>
      <c r="T724" s="82"/>
      <c r="U724" s="82"/>
      <c r="V724" s="82"/>
      <c r="W724" s="82"/>
      <c r="X724" s="82"/>
      <c r="Y724" s="76"/>
      <c r="Z724" s="82"/>
      <c r="AA724" s="82"/>
      <c r="AB724" s="82"/>
      <c r="AC724" s="82"/>
      <c r="AD724" s="82"/>
      <c r="AE724" s="82"/>
      <c r="AF724" s="82"/>
      <c r="AG724" s="82"/>
      <c r="AH724" s="82"/>
      <c r="AI724" s="82"/>
      <c r="AJ724" s="82"/>
      <c r="AK724" s="82"/>
      <c r="AL724" s="76"/>
      <c r="AM724" s="82"/>
      <c r="AN724" s="82"/>
      <c r="AO724" s="82"/>
      <c r="AP724" s="82"/>
      <c r="AQ724" s="82"/>
    </row>
    <row r="725" spans="1:43" ht="15" x14ac:dyDescent="0.35">
      <c r="A725" s="85"/>
      <c r="B725" s="86"/>
      <c r="C725" s="87"/>
      <c r="D725" s="87"/>
      <c r="E725" s="87"/>
      <c r="F725" s="87"/>
      <c r="G725" s="88"/>
      <c r="H725" s="87"/>
      <c r="I725" s="87"/>
      <c r="J725" s="87"/>
      <c r="K725" s="8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M725" s="17"/>
      <c r="AN725" s="17"/>
      <c r="AO725" s="17"/>
      <c r="AP725" s="17"/>
      <c r="AQ725" s="17"/>
    </row>
    <row r="726" spans="1:43" s="84" customFormat="1" ht="15" x14ac:dyDescent="0.35">
      <c r="A726" s="80"/>
      <c r="B726" s="81"/>
      <c r="C726" s="82"/>
      <c r="D726" s="82"/>
      <c r="E726" s="82"/>
      <c r="F726" s="82"/>
      <c r="G726" s="83"/>
      <c r="H726" s="82"/>
      <c r="I726" s="82"/>
      <c r="J726" s="82"/>
      <c r="K726" s="82"/>
      <c r="L726" s="76"/>
      <c r="M726" s="82"/>
      <c r="N726" s="82"/>
      <c r="O726" s="82"/>
      <c r="P726" s="82"/>
      <c r="Q726" s="82"/>
      <c r="R726" s="82"/>
      <c r="S726" s="82"/>
      <c r="T726" s="82"/>
      <c r="U726" s="82"/>
      <c r="V726" s="82"/>
      <c r="W726" s="82"/>
      <c r="X726" s="82"/>
      <c r="Y726" s="76"/>
      <c r="Z726" s="82"/>
      <c r="AA726" s="82"/>
      <c r="AB726" s="82"/>
      <c r="AC726" s="82"/>
      <c r="AD726" s="82"/>
      <c r="AE726" s="82"/>
      <c r="AF726" s="82"/>
      <c r="AG726" s="82"/>
      <c r="AH726" s="82"/>
      <c r="AI726" s="82"/>
      <c r="AJ726" s="82"/>
      <c r="AK726" s="82"/>
      <c r="AL726" s="76"/>
      <c r="AM726" s="82"/>
      <c r="AN726" s="82"/>
      <c r="AO726" s="82"/>
      <c r="AP726" s="82"/>
      <c r="AQ726" s="82"/>
    </row>
    <row r="727" spans="1:43" ht="15" x14ac:dyDescent="0.35">
      <c r="A727" s="85"/>
      <c r="B727" s="86"/>
      <c r="C727" s="87"/>
      <c r="D727" s="87"/>
      <c r="E727" s="87"/>
      <c r="F727" s="87"/>
      <c r="G727" s="88"/>
      <c r="H727" s="87"/>
      <c r="I727" s="87"/>
      <c r="J727" s="87"/>
      <c r="K727" s="8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M727" s="17"/>
      <c r="AN727" s="17"/>
      <c r="AO727" s="17"/>
      <c r="AP727" s="17"/>
      <c r="AQ727" s="17"/>
    </row>
    <row r="728" spans="1:43" s="84" customFormat="1" ht="15" x14ac:dyDescent="0.35">
      <c r="A728" s="80"/>
      <c r="B728" s="81"/>
      <c r="C728" s="82"/>
      <c r="D728" s="82"/>
      <c r="E728" s="82"/>
      <c r="F728" s="82"/>
      <c r="G728" s="83"/>
      <c r="H728" s="82"/>
      <c r="I728" s="82"/>
      <c r="J728" s="82"/>
      <c r="K728" s="82"/>
      <c r="L728" s="76"/>
      <c r="M728" s="82"/>
      <c r="N728" s="82"/>
      <c r="O728" s="82"/>
      <c r="P728" s="82"/>
      <c r="Q728" s="82"/>
      <c r="R728" s="82"/>
      <c r="S728" s="82"/>
      <c r="T728" s="82"/>
      <c r="U728" s="82"/>
      <c r="V728" s="82"/>
      <c r="W728" s="82"/>
      <c r="X728" s="82"/>
      <c r="Y728" s="76"/>
      <c r="Z728" s="82"/>
      <c r="AA728" s="82"/>
      <c r="AB728" s="82"/>
      <c r="AC728" s="82"/>
      <c r="AD728" s="82"/>
      <c r="AE728" s="82"/>
      <c r="AF728" s="82"/>
      <c r="AG728" s="82"/>
      <c r="AH728" s="82"/>
      <c r="AI728" s="82"/>
      <c r="AJ728" s="82"/>
      <c r="AK728" s="82"/>
      <c r="AL728" s="76"/>
      <c r="AM728" s="82"/>
      <c r="AN728" s="82"/>
      <c r="AO728" s="82"/>
      <c r="AP728" s="82"/>
      <c r="AQ728" s="82"/>
    </row>
    <row r="729" spans="1:43" ht="15" x14ac:dyDescent="0.35">
      <c r="A729" s="85"/>
      <c r="B729" s="86"/>
      <c r="C729" s="87"/>
      <c r="D729" s="87"/>
      <c r="E729" s="87"/>
      <c r="F729" s="87"/>
      <c r="G729" s="88"/>
      <c r="H729" s="87"/>
      <c r="I729" s="87"/>
      <c r="J729" s="87"/>
      <c r="K729" s="8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M729" s="17"/>
      <c r="AN729" s="17"/>
      <c r="AO729" s="17"/>
      <c r="AP729" s="17"/>
      <c r="AQ729" s="17"/>
    </row>
    <row r="730" spans="1:43" s="84" customFormat="1" ht="15" x14ac:dyDescent="0.35">
      <c r="A730" s="80"/>
      <c r="B730" s="81"/>
      <c r="C730" s="82"/>
      <c r="D730" s="82"/>
      <c r="E730" s="82"/>
      <c r="F730" s="82"/>
      <c r="G730" s="83"/>
      <c r="H730" s="82"/>
      <c r="I730" s="82"/>
      <c r="J730" s="82"/>
      <c r="K730" s="82"/>
      <c r="L730" s="76"/>
      <c r="M730" s="82"/>
      <c r="N730" s="82"/>
      <c r="O730" s="82"/>
      <c r="P730" s="82"/>
      <c r="Q730" s="82"/>
      <c r="R730" s="82"/>
      <c r="S730" s="82"/>
      <c r="T730" s="82"/>
      <c r="U730" s="82"/>
      <c r="V730" s="82"/>
      <c r="W730" s="82"/>
      <c r="X730" s="82"/>
      <c r="Y730" s="76"/>
      <c r="Z730" s="82"/>
      <c r="AA730" s="82"/>
      <c r="AB730" s="82"/>
      <c r="AC730" s="82"/>
      <c r="AD730" s="82"/>
      <c r="AE730" s="82"/>
      <c r="AF730" s="82"/>
      <c r="AG730" s="82"/>
      <c r="AH730" s="82"/>
      <c r="AI730" s="82"/>
      <c r="AJ730" s="82"/>
      <c r="AK730" s="82"/>
      <c r="AL730" s="76"/>
      <c r="AM730" s="82"/>
      <c r="AN730" s="82"/>
      <c r="AO730" s="82"/>
      <c r="AP730" s="82"/>
      <c r="AQ730" s="82"/>
    </row>
    <row r="731" spans="1:43" ht="15" x14ac:dyDescent="0.35">
      <c r="A731" s="85"/>
      <c r="B731" s="86"/>
      <c r="C731" s="87"/>
      <c r="D731" s="87"/>
      <c r="E731" s="87"/>
      <c r="F731" s="87"/>
      <c r="G731" s="88"/>
      <c r="H731" s="87"/>
      <c r="I731" s="87"/>
      <c r="J731" s="87"/>
      <c r="K731" s="8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M731" s="17"/>
      <c r="AN731" s="17"/>
      <c r="AO731" s="17"/>
      <c r="AP731" s="17"/>
      <c r="AQ731" s="17"/>
    </row>
    <row r="732" spans="1:43" s="84" customFormat="1" ht="15" x14ac:dyDescent="0.35">
      <c r="A732" s="80"/>
      <c r="B732" s="81"/>
      <c r="C732" s="82"/>
      <c r="D732" s="82"/>
      <c r="E732" s="82"/>
      <c r="F732" s="82"/>
      <c r="G732" s="83"/>
      <c r="H732" s="82"/>
      <c r="I732" s="82"/>
      <c r="J732" s="82"/>
      <c r="K732" s="82"/>
      <c r="L732" s="76"/>
      <c r="M732" s="82"/>
      <c r="N732" s="82"/>
      <c r="O732" s="82"/>
      <c r="P732" s="82"/>
      <c r="Q732" s="82"/>
      <c r="R732" s="82"/>
      <c r="S732" s="82"/>
      <c r="T732" s="82"/>
      <c r="U732" s="82"/>
      <c r="V732" s="82"/>
      <c r="W732" s="82"/>
      <c r="X732" s="82"/>
      <c r="Y732" s="76"/>
      <c r="Z732" s="82"/>
      <c r="AA732" s="82"/>
      <c r="AB732" s="82"/>
      <c r="AC732" s="82"/>
      <c r="AD732" s="82"/>
      <c r="AE732" s="82"/>
      <c r="AF732" s="82"/>
      <c r="AG732" s="82"/>
      <c r="AH732" s="82"/>
      <c r="AI732" s="82"/>
      <c r="AJ732" s="82"/>
      <c r="AK732" s="82"/>
      <c r="AL732" s="76"/>
      <c r="AM732" s="82"/>
      <c r="AN732" s="82"/>
      <c r="AO732" s="82"/>
      <c r="AP732" s="82"/>
      <c r="AQ732" s="82"/>
    </row>
    <row r="733" spans="1:43" ht="15" x14ac:dyDescent="0.35">
      <c r="A733" s="85"/>
      <c r="B733" s="86"/>
      <c r="C733" s="87"/>
      <c r="D733" s="87"/>
      <c r="E733" s="87"/>
      <c r="F733" s="87"/>
      <c r="G733" s="88"/>
      <c r="H733" s="87"/>
      <c r="I733" s="87"/>
      <c r="J733" s="87"/>
      <c r="K733" s="8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M733" s="17"/>
      <c r="AN733" s="17"/>
      <c r="AO733" s="17"/>
      <c r="AP733" s="17"/>
      <c r="AQ733" s="17"/>
    </row>
    <row r="734" spans="1:43" s="84" customFormat="1" ht="15" x14ac:dyDescent="0.35">
      <c r="A734" s="80"/>
      <c r="B734" s="81"/>
      <c r="C734" s="82"/>
      <c r="D734" s="82"/>
      <c r="E734" s="82"/>
      <c r="F734" s="82"/>
      <c r="G734" s="83"/>
      <c r="H734" s="82"/>
      <c r="I734" s="82"/>
      <c r="J734" s="82"/>
      <c r="K734" s="82"/>
      <c r="L734" s="76"/>
      <c r="M734" s="82"/>
      <c r="N734" s="82"/>
      <c r="O734" s="82"/>
      <c r="P734" s="82"/>
      <c r="Q734" s="82"/>
      <c r="R734" s="82"/>
      <c r="S734" s="82"/>
      <c r="T734" s="82"/>
      <c r="U734" s="82"/>
      <c r="V734" s="82"/>
      <c r="W734" s="82"/>
      <c r="X734" s="82"/>
      <c r="Y734" s="76"/>
      <c r="Z734" s="82"/>
      <c r="AA734" s="82"/>
      <c r="AB734" s="82"/>
      <c r="AC734" s="82"/>
      <c r="AD734" s="82"/>
      <c r="AE734" s="82"/>
      <c r="AF734" s="82"/>
      <c r="AG734" s="82"/>
      <c r="AH734" s="82"/>
      <c r="AI734" s="82"/>
      <c r="AJ734" s="82"/>
      <c r="AK734" s="82"/>
      <c r="AL734" s="76"/>
      <c r="AM734" s="82"/>
      <c r="AN734" s="82"/>
      <c r="AO734" s="82"/>
      <c r="AP734" s="82"/>
      <c r="AQ734" s="82"/>
    </row>
    <row r="735" spans="1:43" ht="15" x14ac:dyDescent="0.35">
      <c r="A735" s="85"/>
      <c r="B735" s="86"/>
      <c r="C735" s="87"/>
      <c r="D735" s="87"/>
      <c r="E735" s="87"/>
      <c r="F735" s="87"/>
      <c r="G735" s="88"/>
      <c r="H735" s="87"/>
      <c r="I735" s="87"/>
      <c r="J735" s="87"/>
      <c r="K735" s="8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M735" s="17"/>
      <c r="AN735" s="17"/>
      <c r="AO735" s="17"/>
      <c r="AP735" s="17"/>
      <c r="AQ735" s="17"/>
    </row>
    <row r="736" spans="1:43" s="84" customFormat="1" ht="15" x14ac:dyDescent="0.35">
      <c r="A736" s="80"/>
      <c r="B736" s="81"/>
      <c r="C736" s="82"/>
      <c r="D736" s="82"/>
      <c r="E736" s="82"/>
      <c r="F736" s="82"/>
      <c r="G736" s="83"/>
      <c r="H736" s="82"/>
      <c r="I736" s="82"/>
      <c r="J736" s="82"/>
      <c r="K736" s="82"/>
      <c r="L736" s="76"/>
      <c r="M736" s="82"/>
      <c r="N736" s="82"/>
      <c r="O736" s="82"/>
      <c r="P736" s="82"/>
      <c r="Q736" s="82"/>
      <c r="R736" s="82"/>
      <c r="S736" s="82"/>
      <c r="T736" s="82"/>
      <c r="U736" s="82"/>
      <c r="V736" s="82"/>
      <c r="W736" s="82"/>
      <c r="X736" s="82"/>
      <c r="Y736" s="76"/>
      <c r="Z736" s="82"/>
      <c r="AA736" s="82"/>
      <c r="AB736" s="82"/>
      <c r="AC736" s="82"/>
      <c r="AD736" s="82"/>
      <c r="AE736" s="82"/>
      <c r="AF736" s="82"/>
      <c r="AG736" s="82"/>
      <c r="AH736" s="82"/>
      <c r="AI736" s="82"/>
      <c r="AJ736" s="82"/>
      <c r="AK736" s="82"/>
      <c r="AL736" s="76"/>
      <c r="AM736" s="82"/>
      <c r="AN736" s="82"/>
      <c r="AO736" s="82"/>
      <c r="AP736" s="82"/>
      <c r="AQ736" s="82"/>
    </row>
    <row r="737" spans="1:43" ht="15" x14ac:dyDescent="0.35">
      <c r="A737" s="85"/>
      <c r="B737" s="86"/>
      <c r="C737" s="87"/>
      <c r="D737" s="87"/>
      <c r="E737" s="87"/>
      <c r="F737" s="87"/>
      <c r="G737" s="88"/>
      <c r="H737" s="87"/>
      <c r="I737" s="87"/>
      <c r="J737" s="87"/>
      <c r="K737" s="8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M737" s="17"/>
      <c r="AN737" s="17"/>
      <c r="AO737" s="17"/>
      <c r="AP737" s="17"/>
      <c r="AQ737" s="17"/>
    </row>
    <row r="738" spans="1:43" s="84" customFormat="1" ht="15" x14ac:dyDescent="0.35">
      <c r="A738" s="80"/>
      <c r="B738" s="81"/>
      <c r="C738" s="82"/>
      <c r="D738" s="82"/>
      <c r="E738" s="82"/>
      <c r="F738" s="82"/>
      <c r="G738" s="83"/>
      <c r="H738" s="82"/>
      <c r="I738" s="82"/>
      <c r="J738" s="82"/>
      <c r="K738" s="82"/>
      <c r="L738" s="76"/>
      <c r="M738" s="82"/>
      <c r="N738" s="82"/>
      <c r="O738" s="82"/>
      <c r="P738" s="82"/>
      <c r="Q738" s="82"/>
      <c r="R738" s="82"/>
      <c r="S738" s="82"/>
      <c r="T738" s="82"/>
      <c r="U738" s="82"/>
      <c r="V738" s="82"/>
      <c r="W738" s="82"/>
      <c r="X738" s="82"/>
      <c r="Y738" s="76"/>
      <c r="Z738" s="82"/>
      <c r="AA738" s="82"/>
      <c r="AB738" s="82"/>
      <c r="AC738" s="82"/>
      <c r="AD738" s="82"/>
      <c r="AE738" s="82"/>
      <c r="AF738" s="82"/>
      <c r="AG738" s="82"/>
      <c r="AH738" s="82"/>
      <c r="AI738" s="82"/>
      <c r="AJ738" s="82"/>
      <c r="AK738" s="82"/>
      <c r="AL738" s="76"/>
      <c r="AM738" s="82"/>
      <c r="AN738" s="82"/>
      <c r="AO738" s="82"/>
      <c r="AP738" s="82"/>
      <c r="AQ738" s="82"/>
    </row>
    <row r="739" spans="1:43" ht="15" x14ac:dyDescent="0.35">
      <c r="A739" s="85"/>
      <c r="B739" s="86"/>
      <c r="C739" s="87"/>
      <c r="D739" s="87"/>
      <c r="E739" s="87"/>
      <c r="F739" s="87"/>
      <c r="G739" s="88"/>
      <c r="H739" s="87"/>
      <c r="I739" s="87"/>
      <c r="J739" s="87"/>
      <c r="K739" s="8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M739" s="17"/>
      <c r="AN739" s="17"/>
      <c r="AO739" s="17"/>
      <c r="AP739" s="17"/>
      <c r="AQ739" s="17"/>
    </row>
    <row r="740" spans="1:43" s="84" customFormat="1" ht="15" x14ac:dyDescent="0.35">
      <c r="A740" s="80"/>
      <c r="B740" s="81"/>
      <c r="C740" s="82"/>
      <c r="D740" s="82"/>
      <c r="E740" s="82"/>
      <c r="F740" s="82"/>
      <c r="G740" s="83"/>
      <c r="H740" s="82"/>
      <c r="I740" s="82"/>
      <c r="J740" s="82"/>
      <c r="K740" s="82"/>
      <c r="L740" s="76"/>
      <c r="M740" s="82"/>
      <c r="N740" s="82"/>
      <c r="O740" s="82"/>
      <c r="P740" s="82"/>
      <c r="Q740" s="82"/>
      <c r="R740" s="82"/>
      <c r="S740" s="82"/>
      <c r="T740" s="82"/>
      <c r="U740" s="82"/>
      <c r="V740" s="82"/>
      <c r="W740" s="82"/>
      <c r="X740" s="82"/>
      <c r="Y740" s="76"/>
      <c r="Z740" s="82"/>
      <c r="AA740" s="82"/>
      <c r="AB740" s="82"/>
      <c r="AC740" s="82"/>
      <c r="AD740" s="82"/>
      <c r="AE740" s="82"/>
      <c r="AF740" s="82"/>
      <c r="AG740" s="82"/>
      <c r="AH740" s="82"/>
      <c r="AI740" s="82"/>
      <c r="AJ740" s="82"/>
      <c r="AK740" s="82"/>
      <c r="AL740" s="76"/>
      <c r="AM740" s="82"/>
      <c r="AN740" s="82"/>
      <c r="AO740" s="82"/>
      <c r="AP740" s="82"/>
      <c r="AQ740" s="82"/>
    </row>
    <row r="741" spans="1:43" ht="15" x14ac:dyDescent="0.35">
      <c r="A741" s="85"/>
      <c r="B741" s="86"/>
      <c r="C741" s="87"/>
      <c r="D741" s="87"/>
      <c r="E741" s="87"/>
      <c r="F741" s="87"/>
      <c r="G741" s="88"/>
      <c r="H741" s="87"/>
      <c r="I741" s="87"/>
      <c r="J741" s="87"/>
      <c r="K741" s="8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M741" s="17"/>
      <c r="AN741" s="17"/>
      <c r="AO741" s="17"/>
      <c r="AP741" s="17"/>
      <c r="AQ741" s="17"/>
    </row>
    <row r="742" spans="1:43" s="84" customFormat="1" ht="15" x14ac:dyDescent="0.35">
      <c r="A742" s="80"/>
      <c r="B742" s="81"/>
      <c r="C742" s="82"/>
      <c r="D742" s="82"/>
      <c r="E742" s="82"/>
      <c r="F742" s="82"/>
      <c r="G742" s="83"/>
      <c r="H742" s="82"/>
      <c r="I742" s="82"/>
      <c r="J742" s="82"/>
      <c r="K742" s="82"/>
      <c r="L742" s="76"/>
      <c r="M742" s="82"/>
      <c r="N742" s="82"/>
      <c r="O742" s="82"/>
      <c r="P742" s="82"/>
      <c r="Q742" s="82"/>
      <c r="R742" s="82"/>
      <c r="S742" s="82"/>
      <c r="T742" s="82"/>
      <c r="U742" s="82"/>
      <c r="V742" s="82"/>
      <c r="W742" s="82"/>
      <c r="X742" s="82"/>
      <c r="Y742" s="76"/>
      <c r="Z742" s="82"/>
      <c r="AA742" s="82"/>
      <c r="AB742" s="82"/>
      <c r="AC742" s="82"/>
      <c r="AD742" s="82"/>
      <c r="AE742" s="82"/>
      <c r="AF742" s="82"/>
      <c r="AG742" s="82"/>
      <c r="AH742" s="82"/>
      <c r="AI742" s="82"/>
      <c r="AJ742" s="82"/>
      <c r="AK742" s="82"/>
      <c r="AL742" s="76"/>
      <c r="AM742" s="82"/>
      <c r="AN742" s="82"/>
      <c r="AO742" s="82"/>
      <c r="AP742" s="82"/>
      <c r="AQ742" s="82"/>
    </row>
    <row r="743" spans="1:43" ht="15" x14ac:dyDescent="0.35">
      <c r="A743" s="85"/>
      <c r="B743" s="86"/>
      <c r="C743" s="87"/>
      <c r="D743" s="87"/>
      <c r="E743" s="87"/>
      <c r="F743" s="87"/>
      <c r="G743" s="88"/>
      <c r="H743" s="87"/>
      <c r="I743" s="87"/>
      <c r="J743" s="87"/>
      <c r="K743" s="8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M743" s="17"/>
      <c r="AN743" s="17"/>
      <c r="AO743" s="17"/>
      <c r="AP743" s="17"/>
      <c r="AQ743" s="17"/>
    </row>
    <row r="744" spans="1:43" s="84" customFormat="1" ht="15" x14ac:dyDescent="0.35">
      <c r="A744" s="80"/>
      <c r="B744" s="81"/>
      <c r="C744" s="82"/>
      <c r="D744" s="82"/>
      <c r="E744" s="82"/>
      <c r="F744" s="82"/>
      <c r="G744" s="83"/>
      <c r="H744" s="82"/>
      <c r="I744" s="82"/>
      <c r="J744" s="82"/>
      <c r="K744" s="82"/>
      <c r="L744" s="76"/>
      <c r="M744" s="82"/>
      <c r="N744" s="82"/>
      <c r="O744" s="82"/>
      <c r="P744" s="82"/>
      <c r="Q744" s="82"/>
      <c r="R744" s="82"/>
      <c r="S744" s="82"/>
      <c r="T744" s="82"/>
      <c r="U744" s="82"/>
      <c r="V744" s="82"/>
      <c r="W744" s="82"/>
      <c r="X744" s="82"/>
      <c r="Y744" s="76"/>
      <c r="Z744" s="82"/>
      <c r="AA744" s="82"/>
      <c r="AB744" s="82"/>
      <c r="AC744" s="82"/>
      <c r="AD744" s="82"/>
      <c r="AE744" s="82"/>
      <c r="AF744" s="82"/>
      <c r="AG744" s="82"/>
      <c r="AH744" s="82"/>
      <c r="AI744" s="82"/>
      <c r="AJ744" s="82"/>
      <c r="AK744" s="82"/>
      <c r="AL744" s="76"/>
      <c r="AM744" s="82"/>
      <c r="AN744" s="82"/>
      <c r="AO744" s="82"/>
      <c r="AP744" s="82"/>
      <c r="AQ744" s="82"/>
    </row>
    <row r="745" spans="1:43" ht="15" x14ac:dyDescent="0.35">
      <c r="A745" s="85"/>
      <c r="B745" s="86"/>
      <c r="C745" s="87"/>
      <c r="D745" s="87"/>
      <c r="E745" s="87"/>
      <c r="F745" s="87"/>
      <c r="G745" s="88"/>
      <c r="H745" s="87"/>
      <c r="I745" s="87"/>
      <c r="J745" s="87"/>
      <c r="K745" s="8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M745" s="17"/>
      <c r="AN745" s="17"/>
      <c r="AO745" s="17"/>
      <c r="AP745" s="17"/>
      <c r="AQ745" s="17"/>
    </row>
    <row r="746" spans="1:43" s="84" customFormat="1" ht="15" x14ac:dyDescent="0.35">
      <c r="A746" s="80"/>
      <c r="B746" s="81"/>
      <c r="C746" s="82"/>
      <c r="D746" s="82"/>
      <c r="E746" s="82"/>
      <c r="F746" s="82"/>
      <c r="G746" s="83"/>
      <c r="H746" s="82"/>
      <c r="I746" s="82"/>
      <c r="J746" s="82"/>
      <c r="K746" s="82"/>
      <c r="L746" s="76"/>
      <c r="M746" s="82"/>
      <c r="N746" s="82"/>
      <c r="O746" s="82"/>
      <c r="P746" s="82"/>
      <c r="Q746" s="82"/>
      <c r="R746" s="82"/>
      <c r="S746" s="82"/>
      <c r="T746" s="82"/>
      <c r="U746" s="82"/>
      <c r="V746" s="82"/>
      <c r="W746" s="82"/>
      <c r="X746" s="82"/>
      <c r="Y746" s="76"/>
      <c r="Z746" s="82"/>
      <c r="AA746" s="82"/>
      <c r="AB746" s="82"/>
      <c r="AC746" s="82"/>
      <c r="AD746" s="82"/>
      <c r="AE746" s="82"/>
      <c r="AF746" s="82"/>
      <c r="AG746" s="82"/>
      <c r="AH746" s="82"/>
      <c r="AI746" s="82"/>
      <c r="AJ746" s="82"/>
      <c r="AK746" s="82"/>
      <c r="AL746" s="76"/>
      <c r="AM746" s="82"/>
      <c r="AN746" s="82"/>
      <c r="AO746" s="82"/>
      <c r="AP746" s="82"/>
      <c r="AQ746" s="82"/>
    </row>
    <row r="747" spans="1:43" ht="15" x14ac:dyDescent="0.35">
      <c r="A747" s="85"/>
      <c r="B747" s="86"/>
      <c r="C747" s="87"/>
      <c r="D747" s="87"/>
      <c r="E747" s="87"/>
      <c r="F747" s="87"/>
      <c r="G747" s="88"/>
      <c r="H747" s="87"/>
      <c r="I747" s="87"/>
      <c r="J747" s="87"/>
      <c r="K747" s="8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M747" s="17"/>
      <c r="AN747" s="17"/>
      <c r="AO747" s="17"/>
      <c r="AP747" s="17"/>
      <c r="AQ747" s="17"/>
    </row>
    <row r="748" spans="1:43" s="84" customFormat="1" ht="15" x14ac:dyDescent="0.35">
      <c r="A748" s="80"/>
      <c r="B748" s="81"/>
      <c r="C748" s="82"/>
      <c r="D748" s="82"/>
      <c r="E748" s="82"/>
      <c r="F748" s="82"/>
      <c r="G748" s="83"/>
      <c r="H748" s="82"/>
      <c r="I748" s="82"/>
      <c r="J748" s="82"/>
      <c r="K748" s="82"/>
      <c r="L748" s="76"/>
      <c r="M748" s="82"/>
      <c r="N748" s="82"/>
      <c r="O748" s="82"/>
      <c r="P748" s="82"/>
      <c r="Q748" s="82"/>
      <c r="R748" s="82"/>
      <c r="S748" s="82"/>
      <c r="T748" s="82"/>
      <c r="U748" s="82"/>
      <c r="V748" s="82"/>
      <c r="W748" s="82"/>
      <c r="X748" s="82"/>
      <c r="Y748" s="76"/>
      <c r="Z748" s="82"/>
      <c r="AA748" s="82"/>
      <c r="AB748" s="82"/>
      <c r="AC748" s="82"/>
      <c r="AD748" s="82"/>
      <c r="AE748" s="82"/>
      <c r="AF748" s="82"/>
      <c r="AG748" s="82"/>
      <c r="AH748" s="82"/>
      <c r="AI748" s="82"/>
      <c r="AJ748" s="82"/>
      <c r="AK748" s="82"/>
      <c r="AL748" s="76"/>
      <c r="AM748" s="82"/>
      <c r="AN748" s="82"/>
      <c r="AO748" s="82"/>
      <c r="AP748" s="82"/>
      <c r="AQ748" s="82"/>
    </row>
    <row r="749" spans="1:43" ht="15" x14ac:dyDescent="0.35">
      <c r="A749" s="85"/>
      <c r="B749" s="86"/>
      <c r="C749" s="87"/>
      <c r="D749" s="87"/>
      <c r="E749" s="87"/>
      <c r="F749" s="87"/>
      <c r="G749" s="88"/>
      <c r="H749" s="87"/>
      <c r="I749" s="87"/>
      <c r="J749" s="87"/>
      <c r="K749" s="8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M749" s="17"/>
      <c r="AN749" s="17"/>
      <c r="AO749" s="17"/>
      <c r="AP749" s="17"/>
      <c r="AQ749" s="17"/>
    </row>
    <row r="750" spans="1:43" s="84" customFormat="1" ht="15" x14ac:dyDescent="0.35">
      <c r="A750" s="80"/>
      <c r="B750" s="81"/>
      <c r="C750" s="82"/>
      <c r="D750" s="82"/>
      <c r="E750" s="82"/>
      <c r="F750" s="82"/>
      <c r="G750" s="83"/>
      <c r="H750" s="82"/>
      <c r="I750" s="82"/>
      <c r="J750" s="82"/>
      <c r="K750" s="82"/>
      <c r="L750" s="76"/>
      <c r="M750" s="82"/>
      <c r="N750" s="82"/>
      <c r="O750" s="82"/>
      <c r="P750" s="82"/>
      <c r="Q750" s="82"/>
      <c r="R750" s="82"/>
      <c r="S750" s="82"/>
      <c r="T750" s="82"/>
      <c r="U750" s="82"/>
      <c r="V750" s="82"/>
      <c r="W750" s="82"/>
      <c r="X750" s="82"/>
      <c r="Y750" s="76"/>
      <c r="Z750" s="82"/>
      <c r="AA750" s="82"/>
      <c r="AB750" s="82"/>
      <c r="AC750" s="82"/>
      <c r="AD750" s="82"/>
      <c r="AE750" s="82"/>
      <c r="AF750" s="82"/>
      <c r="AG750" s="82"/>
      <c r="AH750" s="82"/>
      <c r="AI750" s="82"/>
      <c r="AJ750" s="82"/>
      <c r="AK750" s="82"/>
      <c r="AL750" s="76"/>
      <c r="AM750" s="82"/>
      <c r="AN750" s="82"/>
      <c r="AO750" s="82"/>
      <c r="AP750" s="82"/>
      <c r="AQ750" s="82"/>
    </row>
    <row r="751" spans="1:43" ht="15" x14ac:dyDescent="0.35">
      <c r="A751" s="85"/>
      <c r="B751" s="86"/>
      <c r="C751" s="87"/>
      <c r="D751" s="87"/>
      <c r="E751" s="87"/>
      <c r="F751" s="87"/>
      <c r="G751" s="88"/>
      <c r="H751" s="87"/>
      <c r="I751" s="87"/>
      <c r="J751" s="87"/>
      <c r="K751" s="8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M751" s="17"/>
      <c r="AN751" s="17"/>
      <c r="AO751" s="17"/>
      <c r="AP751" s="17"/>
      <c r="AQ751" s="17"/>
    </row>
    <row r="752" spans="1:43" s="84" customFormat="1" ht="15" x14ac:dyDescent="0.35">
      <c r="A752" s="80"/>
      <c r="B752" s="81"/>
      <c r="C752" s="82"/>
      <c r="D752" s="82"/>
      <c r="E752" s="82"/>
      <c r="F752" s="82"/>
      <c r="G752" s="83"/>
      <c r="H752" s="82"/>
      <c r="I752" s="82"/>
      <c r="J752" s="82"/>
      <c r="K752" s="82"/>
      <c r="L752" s="76"/>
      <c r="M752" s="82"/>
      <c r="N752" s="82"/>
      <c r="O752" s="82"/>
      <c r="P752" s="82"/>
      <c r="Q752" s="82"/>
      <c r="R752" s="82"/>
      <c r="S752" s="82"/>
      <c r="T752" s="82"/>
      <c r="U752" s="82"/>
      <c r="V752" s="82"/>
      <c r="W752" s="82"/>
      <c r="X752" s="82"/>
      <c r="Y752" s="76"/>
      <c r="Z752" s="82"/>
      <c r="AA752" s="82"/>
      <c r="AB752" s="82"/>
      <c r="AC752" s="82"/>
      <c r="AD752" s="82"/>
      <c r="AE752" s="82"/>
      <c r="AF752" s="82"/>
      <c r="AG752" s="82"/>
      <c r="AH752" s="82"/>
      <c r="AI752" s="82"/>
      <c r="AJ752" s="82"/>
      <c r="AK752" s="82"/>
      <c r="AL752" s="76"/>
      <c r="AM752" s="82"/>
      <c r="AN752" s="82"/>
      <c r="AO752" s="82"/>
      <c r="AP752" s="82"/>
      <c r="AQ752" s="82"/>
    </row>
    <row r="753" spans="1:43" ht="15" x14ac:dyDescent="0.35">
      <c r="A753" s="85"/>
      <c r="B753" s="86"/>
      <c r="C753" s="87"/>
      <c r="D753" s="87"/>
      <c r="E753" s="87"/>
      <c r="F753" s="87"/>
      <c r="G753" s="88"/>
      <c r="H753" s="87"/>
      <c r="I753" s="87"/>
      <c r="J753" s="87"/>
      <c r="K753" s="8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M753" s="17"/>
      <c r="AN753" s="17"/>
      <c r="AO753" s="17"/>
      <c r="AP753" s="17"/>
      <c r="AQ753" s="17"/>
    </row>
    <row r="754" spans="1:43" s="84" customFormat="1" ht="15" x14ac:dyDescent="0.35">
      <c r="A754" s="80"/>
      <c r="B754" s="81"/>
      <c r="C754" s="82"/>
      <c r="D754" s="82"/>
      <c r="E754" s="82"/>
      <c r="F754" s="82"/>
      <c r="G754" s="83"/>
      <c r="H754" s="82"/>
      <c r="I754" s="82"/>
      <c r="J754" s="82"/>
      <c r="K754" s="82"/>
      <c r="L754" s="76"/>
      <c r="M754" s="82"/>
      <c r="N754" s="82"/>
      <c r="O754" s="82"/>
      <c r="P754" s="82"/>
      <c r="Q754" s="82"/>
      <c r="R754" s="82"/>
      <c r="S754" s="82"/>
      <c r="T754" s="82"/>
      <c r="U754" s="82"/>
      <c r="V754" s="82"/>
      <c r="W754" s="82"/>
      <c r="X754" s="82"/>
      <c r="Y754" s="76"/>
      <c r="Z754" s="82"/>
      <c r="AA754" s="82"/>
      <c r="AB754" s="82"/>
      <c r="AC754" s="82"/>
      <c r="AD754" s="82"/>
      <c r="AE754" s="82"/>
      <c r="AF754" s="82"/>
      <c r="AG754" s="82"/>
      <c r="AH754" s="82"/>
      <c r="AI754" s="82"/>
      <c r="AJ754" s="82"/>
      <c r="AK754" s="82"/>
      <c r="AL754" s="76"/>
      <c r="AM754" s="82"/>
      <c r="AN754" s="82"/>
      <c r="AO754" s="82"/>
      <c r="AP754" s="82"/>
      <c r="AQ754" s="82"/>
    </row>
    <row r="755" spans="1:43" ht="15" x14ac:dyDescent="0.35">
      <c r="A755" s="85"/>
      <c r="B755" s="86"/>
      <c r="C755" s="87"/>
      <c r="D755" s="87"/>
      <c r="E755" s="87"/>
      <c r="F755" s="87"/>
      <c r="G755" s="88"/>
      <c r="H755" s="87"/>
      <c r="I755" s="87"/>
      <c r="J755" s="87"/>
      <c r="K755" s="8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M755" s="17"/>
      <c r="AN755" s="17"/>
      <c r="AO755" s="17"/>
      <c r="AP755" s="17"/>
      <c r="AQ755" s="17"/>
    </row>
    <row r="756" spans="1:43" s="84" customFormat="1" ht="15" x14ac:dyDescent="0.35">
      <c r="A756" s="80"/>
      <c r="B756" s="81"/>
      <c r="C756" s="82"/>
      <c r="D756" s="82"/>
      <c r="E756" s="82"/>
      <c r="F756" s="82"/>
      <c r="G756" s="83"/>
      <c r="H756" s="82"/>
      <c r="I756" s="82"/>
      <c r="J756" s="82"/>
      <c r="K756" s="82"/>
      <c r="L756" s="76"/>
      <c r="M756" s="82"/>
      <c r="N756" s="82"/>
      <c r="O756" s="82"/>
      <c r="P756" s="82"/>
      <c r="Q756" s="82"/>
      <c r="R756" s="82"/>
      <c r="S756" s="82"/>
      <c r="T756" s="82"/>
      <c r="U756" s="82"/>
      <c r="V756" s="82"/>
      <c r="W756" s="82"/>
      <c r="X756" s="82"/>
      <c r="Y756" s="76"/>
      <c r="Z756" s="82"/>
      <c r="AA756" s="82"/>
      <c r="AB756" s="82"/>
      <c r="AC756" s="82"/>
      <c r="AD756" s="82"/>
      <c r="AE756" s="82"/>
      <c r="AF756" s="82"/>
      <c r="AG756" s="82"/>
      <c r="AH756" s="82"/>
      <c r="AI756" s="82"/>
      <c r="AJ756" s="82"/>
      <c r="AK756" s="82"/>
      <c r="AL756" s="76"/>
      <c r="AM756" s="82"/>
      <c r="AN756" s="82"/>
      <c r="AO756" s="82"/>
      <c r="AP756" s="82"/>
      <c r="AQ756" s="82"/>
    </row>
    <row r="757" spans="1:43" ht="15" x14ac:dyDescent="0.35">
      <c r="A757" s="85"/>
      <c r="B757" s="86"/>
      <c r="C757" s="87"/>
      <c r="D757" s="87"/>
      <c r="E757" s="87"/>
      <c r="F757" s="87"/>
      <c r="G757" s="88"/>
      <c r="H757" s="87"/>
      <c r="I757" s="87"/>
      <c r="J757" s="87"/>
      <c r="K757" s="8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M757" s="17"/>
      <c r="AN757" s="17"/>
      <c r="AO757" s="17"/>
      <c r="AP757" s="17"/>
      <c r="AQ757" s="17"/>
    </row>
    <row r="758" spans="1:43" s="84" customFormat="1" ht="15" x14ac:dyDescent="0.35">
      <c r="A758" s="80"/>
      <c r="B758" s="81"/>
      <c r="C758" s="82"/>
      <c r="D758" s="82"/>
      <c r="E758" s="82"/>
      <c r="F758" s="82"/>
      <c r="G758" s="83"/>
      <c r="H758" s="82"/>
      <c r="I758" s="82"/>
      <c r="J758" s="82"/>
      <c r="K758" s="82"/>
      <c r="L758" s="76"/>
      <c r="M758" s="82"/>
      <c r="N758" s="82"/>
      <c r="O758" s="82"/>
      <c r="P758" s="82"/>
      <c r="Q758" s="82"/>
      <c r="R758" s="82"/>
      <c r="S758" s="82"/>
      <c r="T758" s="82"/>
      <c r="U758" s="82"/>
      <c r="V758" s="82"/>
      <c r="W758" s="82"/>
      <c r="X758" s="82"/>
      <c r="Y758" s="76"/>
      <c r="Z758" s="82"/>
      <c r="AA758" s="82"/>
      <c r="AB758" s="82"/>
      <c r="AC758" s="82"/>
      <c r="AD758" s="82"/>
      <c r="AE758" s="82"/>
      <c r="AF758" s="82"/>
      <c r="AG758" s="82"/>
      <c r="AH758" s="82"/>
      <c r="AI758" s="82"/>
      <c r="AJ758" s="82"/>
      <c r="AK758" s="82"/>
      <c r="AL758" s="76"/>
      <c r="AM758" s="82"/>
      <c r="AN758" s="82"/>
      <c r="AO758" s="82"/>
      <c r="AP758" s="82"/>
      <c r="AQ758" s="82"/>
    </row>
    <row r="759" spans="1:43" ht="15" x14ac:dyDescent="0.35">
      <c r="A759" s="85"/>
      <c r="B759" s="86"/>
      <c r="C759" s="87"/>
      <c r="D759" s="87"/>
      <c r="E759" s="87"/>
      <c r="F759" s="87"/>
      <c r="G759" s="88"/>
      <c r="H759" s="87"/>
      <c r="I759" s="87"/>
      <c r="J759" s="87"/>
      <c r="K759" s="8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M759" s="17"/>
      <c r="AN759" s="17"/>
      <c r="AO759" s="17"/>
      <c r="AP759" s="17"/>
      <c r="AQ759" s="17"/>
    </row>
    <row r="760" spans="1:43" s="84" customFormat="1" ht="15" x14ac:dyDescent="0.35">
      <c r="A760" s="80"/>
      <c r="B760" s="81"/>
      <c r="C760" s="82"/>
      <c r="D760" s="82"/>
      <c r="E760" s="82"/>
      <c r="F760" s="82"/>
      <c r="G760" s="83"/>
      <c r="H760" s="82"/>
      <c r="I760" s="82"/>
      <c r="J760" s="82"/>
      <c r="K760" s="82"/>
      <c r="L760" s="76"/>
      <c r="M760" s="82"/>
      <c r="N760" s="82"/>
      <c r="O760" s="82"/>
      <c r="P760" s="82"/>
      <c r="Q760" s="82"/>
      <c r="R760" s="82"/>
      <c r="S760" s="82"/>
      <c r="T760" s="82"/>
      <c r="U760" s="82"/>
      <c r="V760" s="82"/>
      <c r="W760" s="82"/>
      <c r="X760" s="82"/>
      <c r="Y760" s="76"/>
      <c r="Z760" s="82"/>
      <c r="AA760" s="82"/>
      <c r="AB760" s="82"/>
      <c r="AC760" s="82"/>
      <c r="AD760" s="82"/>
      <c r="AE760" s="82"/>
      <c r="AF760" s="82"/>
      <c r="AG760" s="82"/>
      <c r="AH760" s="82"/>
      <c r="AI760" s="82"/>
      <c r="AJ760" s="82"/>
      <c r="AK760" s="82"/>
      <c r="AL760" s="76"/>
      <c r="AM760" s="82"/>
      <c r="AN760" s="82"/>
      <c r="AO760" s="82"/>
      <c r="AP760" s="82"/>
      <c r="AQ760" s="82"/>
    </row>
    <row r="761" spans="1:43" ht="15" x14ac:dyDescent="0.35">
      <c r="A761" s="85"/>
      <c r="B761" s="86"/>
      <c r="C761" s="87"/>
      <c r="D761" s="87"/>
      <c r="E761" s="87"/>
      <c r="F761" s="87"/>
      <c r="G761" s="88"/>
      <c r="H761" s="87"/>
      <c r="I761" s="87"/>
      <c r="J761" s="87"/>
      <c r="K761" s="8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M761" s="17"/>
      <c r="AN761" s="17"/>
      <c r="AO761" s="17"/>
      <c r="AP761" s="17"/>
      <c r="AQ761" s="17"/>
    </row>
    <row r="762" spans="1:43" s="84" customFormat="1" ht="15" x14ac:dyDescent="0.35">
      <c r="A762" s="80"/>
      <c r="B762" s="81"/>
      <c r="C762" s="82"/>
      <c r="D762" s="82"/>
      <c r="E762" s="82"/>
      <c r="F762" s="82"/>
      <c r="G762" s="83"/>
      <c r="H762" s="82"/>
      <c r="I762" s="82"/>
      <c r="J762" s="82"/>
      <c r="K762" s="82"/>
      <c r="L762" s="76"/>
      <c r="M762" s="82"/>
      <c r="N762" s="82"/>
      <c r="O762" s="82"/>
      <c r="P762" s="82"/>
      <c r="Q762" s="82"/>
      <c r="R762" s="82"/>
      <c r="S762" s="82"/>
      <c r="T762" s="82"/>
      <c r="U762" s="82"/>
      <c r="V762" s="82"/>
      <c r="W762" s="82"/>
      <c r="X762" s="82"/>
      <c r="Y762" s="76"/>
      <c r="Z762" s="82"/>
      <c r="AA762" s="82"/>
      <c r="AB762" s="82"/>
      <c r="AC762" s="82"/>
      <c r="AD762" s="82"/>
      <c r="AE762" s="82"/>
      <c r="AF762" s="82"/>
      <c r="AG762" s="82"/>
      <c r="AH762" s="82"/>
      <c r="AI762" s="82"/>
      <c r="AJ762" s="82"/>
      <c r="AK762" s="82"/>
      <c r="AL762" s="76"/>
      <c r="AM762" s="82"/>
      <c r="AN762" s="82"/>
      <c r="AO762" s="82"/>
      <c r="AP762" s="82"/>
      <c r="AQ762" s="82"/>
    </row>
    <row r="763" spans="1:43" ht="15" x14ac:dyDescent="0.35">
      <c r="A763" s="85"/>
      <c r="B763" s="86"/>
      <c r="C763" s="87"/>
      <c r="D763" s="87"/>
      <c r="E763" s="87"/>
      <c r="F763" s="87"/>
      <c r="G763" s="88"/>
      <c r="H763" s="87"/>
      <c r="I763" s="87"/>
      <c r="J763" s="87"/>
      <c r="K763" s="8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M763" s="17"/>
      <c r="AN763" s="17"/>
      <c r="AO763" s="17"/>
      <c r="AP763" s="17"/>
      <c r="AQ763" s="17"/>
    </row>
    <row r="764" spans="1:43" s="84" customFormat="1" ht="15" x14ac:dyDescent="0.35">
      <c r="A764" s="80"/>
      <c r="B764" s="81"/>
      <c r="C764" s="82"/>
      <c r="D764" s="82"/>
      <c r="E764" s="82"/>
      <c r="F764" s="82"/>
      <c r="G764" s="83"/>
      <c r="H764" s="82"/>
      <c r="I764" s="82"/>
      <c r="J764" s="82"/>
      <c r="K764" s="82"/>
      <c r="L764" s="76"/>
      <c r="M764" s="82"/>
      <c r="N764" s="82"/>
      <c r="O764" s="82"/>
      <c r="P764" s="82"/>
      <c r="Q764" s="82"/>
      <c r="R764" s="82"/>
      <c r="S764" s="82"/>
      <c r="T764" s="82"/>
      <c r="U764" s="82"/>
      <c r="V764" s="82"/>
      <c r="W764" s="82"/>
      <c r="X764" s="82"/>
      <c r="Y764" s="76"/>
      <c r="Z764" s="82"/>
      <c r="AA764" s="82"/>
      <c r="AB764" s="82"/>
      <c r="AC764" s="82"/>
      <c r="AD764" s="82"/>
      <c r="AE764" s="82"/>
      <c r="AF764" s="82"/>
      <c r="AG764" s="82"/>
      <c r="AH764" s="82"/>
      <c r="AI764" s="82"/>
      <c r="AJ764" s="82"/>
      <c r="AK764" s="82"/>
      <c r="AL764" s="76"/>
      <c r="AM764" s="82"/>
      <c r="AN764" s="82"/>
      <c r="AO764" s="82"/>
      <c r="AP764" s="82"/>
      <c r="AQ764" s="82"/>
    </row>
    <row r="765" spans="1:43" ht="15" x14ac:dyDescent="0.35">
      <c r="A765" s="85"/>
      <c r="B765" s="86"/>
      <c r="C765" s="87"/>
      <c r="D765" s="87"/>
      <c r="E765" s="87"/>
      <c r="F765" s="87"/>
      <c r="G765" s="88"/>
      <c r="H765" s="87"/>
      <c r="I765" s="87"/>
      <c r="J765" s="87"/>
      <c r="K765" s="8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M765" s="17"/>
      <c r="AN765" s="17"/>
      <c r="AO765" s="17"/>
      <c r="AP765" s="17"/>
      <c r="AQ765" s="17"/>
    </row>
    <row r="766" spans="1:43" s="84" customFormat="1" ht="15" x14ac:dyDescent="0.35">
      <c r="A766" s="80"/>
      <c r="B766" s="81"/>
      <c r="C766" s="82"/>
      <c r="D766" s="82"/>
      <c r="E766" s="82"/>
      <c r="F766" s="82"/>
      <c r="G766" s="83"/>
      <c r="H766" s="82"/>
      <c r="I766" s="82"/>
      <c r="J766" s="82"/>
      <c r="K766" s="82"/>
      <c r="L766" s="76"/>
      <c r="M766" s="82"/>
      <c r="N766" s="82"/>
      <c r="O766" s="82"/>
      <c r="P766" s="82"/>
      <c r="Q766" s="82"/>
      <c r="R766" s="82"/>
      <c r="S766" s="82"/>
      <c r="T766" s="82"/>
      <c r="U766" s="82"/>
      <c r="V766" s="82"/>
      <c r="W766" s="82"/>
      <c r="X766" s="82"/>
      <c r="Y766" s="76"/>
      <c r="Z766" s="82"/>
      <c r="AA766" s="82"/>
      <c r="AB766" s="82"/>
      <c r="AC766" s="82"/>
      <c r="AD766" s="82"/>
      <c r="AE766" s="82"/>
      <c r="AF766" s="82"/>
      <c r="AG766" s="82"/>
      <c r="AH766" s="82"/>
      <c r="AI766" s="82"/>
      <c r="AJ766" s="82"/>
      <c r="AK766" s="82"/>
      <c r="AL766" s="76"/>
      <c r="AM766" s="82"/>
      <c r="AN766" s="82"/>
      <c r="AO766" s="82"/>
      <c r="AP766" s="82"/>
      <c r="AQ766" s="82"/>
    </row>
    <row r="767" spans="1:43" ht="15" x14ac:dyDescent="0.35">
      <c r="A767" s="85"/>
      <c r="B767" s="86"/>
      <c r="C767" s="87"/>
      <c r="D767" s="87"/>
      <c r="E767" s="87"/>
      <c r="F767" s="87"/>
      <c r="G767" s="88"/>
      <c r="H767" s="87"/>
      <c r="I767" s="87"/>
      <c r="J767" s="87"/>
      <c r="K767" s="8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M767" s="17"/>
      <c r="AN767" s="17"/>
      <c r="AO767" s="17"/>
      <c r="AP767" s="17"/>
      <c r="AQ767" s="17"/>
    </row>
    <row r="768" spans="1:43" s="84" customFormat="1" ht="15" x14ac:dyDescent="0.35">
      <c r="A768" s="80"/>
      <c r="B768" s="81"/>
      <c r="C768" s="82"/>
      <c r="D768" s="82"/>
      <c r="E768" s="82"/>
      <c r="F768" s="82"/>
      <c r="G768" s="83"/>
      <c r="H768" s="82"/>
      <c r="I768" s="82"/>
      <c r="J768" s="82"/>
      <c r="K768" s="82"/>
      <c r="L768" s="76"/>
      <c r="M768" s="82"/>
      <c r="N768" s="82"/>
      <c r="O768" s="82"/>
      <c r="P768" s="82"/>
      <c r="Q768" s="82"/>
      <c r="R768" s="82"/>
      <c r="S768" s="82"/>
      <c r="T768" s="82"/>
      <c r="U768" s="82"/>
      <c r="V768" s="82"/>
      <c r="W768" s="82"/>
      <c r="X768" s="82"/>
      <c r="Y768" s="76"/>
      <c r="Z768" s="82"/>
      <c r="AA768" s="82"/>
      <c r="AB768" s="82"/>
      <c r="AC768" s="82"/>
      <c r="AD768" s="82"/>
      <c r="AE768" s="82"/>
      <c r="AF768" s="82"/>
      <c r="AG768" s="82"/>
      <c r="AH768" s="82"/>
      <c r="AI768" s="82"/>
      <c r="AJ768" s="82"/>
      <c r="AK768" s="82"/>
      <c r="AL768" s="76"/>
      <c r="AM768" s="82"/>
      <c r="AN768" s="82"/>
      <c r="AO768" s="82"/>
      <c r="AP768" s="82"/>
      <c r="AQ768" s="82"/>
    </row>
    <row r="769" spans="1:43" ht="15" x14ac:dyDescent="0.35">
      <c r="A769" s="85"/>
      <c r="B769" s="86"/>
      <c r="C769" s="87"/>
      <c r="D769" s="87"/>
      <c r="E769" s="87"/>
      <c r="F769" s="87"/>
      <c r="G769" s="88"/>
      <c r="H769" s="87"/>
      <c r="I769" s="87"/>
      <c r="J769" s="87"/>
      <c r="K769" s="8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M769" s="17"/>
      <c r="AN769" s="17"/>
      <c r="AO769" s="17"/>
      <c r="AP769" s="17"/>
      <c r="AQ769" s="17"/>
    </row>
    <row r="770" spans="1:43" s="84" customFormat="1" ht="15" x14ac:dyDescent="0.35">
      <c r="A770" s="80"/>
      <c r="B770" s="81"/>
      <c r="C770" s="82"/>
      <c r="D770" s="82"/>
      <c r="E770" s="82"/>
      <c r="F770" s="82"/>
      <c r="G770" s="83"/>
      <c r="H770" s="82"/>
      <c r="I770" s="82"/>
      <c r="J770" s="82"/>
      <c r="K770" s="82"/>
      <c r="L770" s="76"/>
      <c r="M770" s="82"/>
      <c r="N770" s="82"/>
      <c r="O770" s="82"/>
      <c r="P770" s="82"/>
      <c r="Q770" s="82"/>
      <c r="R770" s="82"/>
      <c r="S770" s="82"/>
      <c r="T770" s="82"/>
      <c r="U770" s="82"/>
      <c r="V770" s="82"/>
      <c r="W770" s="82"/>
      <c r="X770" s="82"/>
      <c r="Y770" s="76"/>
      <c r="Z770" s="82"/>
      <c r="AA770" s="82"/>
      <c r="AB770" s="82"/>
      <c r="AC770" s="82"/>
      <c r="AD770" s="82"/>
      <c r="AE770" s="82"/>
      <c r="AF770" s="82"/>
      <c r="AG770" s="82"/>
      <c r="AH770" s="82"/>
      <c r="AI770" s="82"/>
      <c r="AJ770" s="82"/>
      <c r="AK770" s="82"/>
      <c r="AL770" s="76"/>
      <c r="AM770" s="82"/>
      <c r="AN770" s="82"/>
      <c r="AO770" s="82"/>
      <c r="AP770" s="82"/>
      <c r="AQ770" s="82"/>
    </row>
    <row r="771" spans="1:43" ht="15" x14ac:dyDescent="0.35">
      <c r="A771" s="85"/>
      <c r="B771" s="86"/>
      <c r="C771" s="87"/>
      <c r="D771" s="87"/>
      <c r="E771" s="87"/>
      <c r="F771" s="87"/>
      <c r="G771" s="88"/>
      <c r="H771" s="87"/>
      <c r="I771" s="87"/>
      <c r="J771" s="87"/>
      <c r="K771" s="8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M771" s="17"/>
      <c r="AN771" s="17"/>
      <c r="AO771" s="17"/>
      <c r="AP771" s="17"/>
      <c r="AQ771" s="17"/>
    </row>
    <row r="772" spans="1:43" s="84" customFormat="1" ht="15" x14ac:dyDescent="0.35">
      <c r="A772" s="80"/>
      <c r="B772" s="81"/>
      <c r="C772" s="82"/>
      <c r="D772" s="82"/>
      <c r="E772" s="82"/>
      <c r="F772" s="82"/>
      <c r="G772" s="83"/>
      <c r="H772" s="82"/>
      <c r="I772" s="82"/>
      <c r="J772" s="82"/>
      <c r="K772" s="82"/>
      <c r="L772" s="76"/>
      <c r="M772" s="82"/>
      <c r="N772" s="82"/>
      <c r="O772" s="82"/>
      <c r="P772" s="82"/>
      <c r="Q772" s="82"/>
      <c r="R772" s="82"/>
      <c r="S772" s="82"/>
      <c r="T772" s="82"/>
      <c r="U772" s="82"/>
      <c r="V772" s="82"/>
      <c r="W772" s="82"/>
      <c r="X772" s="82"/>
      <c r="Y772" s="76"/>
      <c r="Z772" s="82"/>
      <c r="AA772" s="82"/>
      <c r="AB772" s="82"/>
      <c r="AC772" s="82"/>
      <c r="AD772" s="82"/>
      <c r="AE772" s="82"/>
      <c r="AF772" s="82"/>
      <c r="AG772" s="82"/>
      <c r="AH772" s="82"/>
      <c r="AI772" s="82"/>
      <c r="AJ772" s="82"/>
      <c r="AK772" s="82"/>
      <c r="AL772" s="76"/>
      <c r="AM772" s="82"/>
      <c r="AN772" s="82"/>
      <c r="AO772" s="82"/>
      <c r="AP772" s="82"/>
      <c r="AQ772" s="82"/>
    </row>
    <row r="773" spans="1:43" ht="15" x14ac:dyDescent="0.35">
      <c r="A773" s="85"/>
      <c r="B773" s="86"/>
      <c r="C773" s="87"/>
      <c r="D773" s="87"/>
      <c r="E773" s="87"/>
      <c r="F773" s="87"/>
      <c r="G773" s="88"/>
      <c r="H773" s="87"/>
      <c r="I773" s="87"/>
      <c r="J773" s="87"/>
      <c r="K773" s="8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M773" s="17"/>
      <c r="AN773" s="17"/>
      <c r="AO773" s="17"/>
      <c r="AP773" s="17"/>
      <c r="AQ773" s="17"/>
    </row>
    <row r="774" spans="1:43" s="84" customFormat="1" ht="15" x14ac:dyDescent="0.35">
      <c r="A774" s="80"/>
      <c r="B774" s="81"/>
      <c r="C774" s="82"/>
      <c r="D774" s="82"/>
      <c r="E774" s="82"/>
      <c r="F774" s="82"/>
      <c r="G774" s="83"/>
      <c r="H774" s="82"/>
      <c r="I774" s="82"/>
      <c r="J774" s="82"/>
      <c r="K774" s="82"/>
      <c r="L774" s="76"/>
      <c r="M774" s="82"/>
      <c r="N774" s="82"/>
      <c r="O774" s="82"/>
      <c r="P774" s="82"/>
      <c r="Q774" s="82"/>
      <c r="R774" s="82"/>
      <c r="S774" s="82"/>
      <c r="T774" s="82"/>
      <c r="U774" s="82"/>
      <c r="V774" s="82"/>
      <c r="W774" s="82"/>
      <c r="X774" s="82"/>
      <c r="Y774" s="76"/>
      <c r="Z774" s="82"/>
      <c r="AA774" s="82"/>
      <c r="AB774" s="82"/>
      <c r="AC774" s="82"/>
      <c r="AD774" s="82"/>
      <c r="AE774" s="82"/>
      <c r="AF774" s="82"/>
      <c r="AG774" s="82"/>
      <c r="AH774" s="82"/>
      <c r="AI774" s="82"/>
      <c r="AJ774" s="82"/>
      <c r="AK774" s="82"/>
      <c r="AL774" s="76"/>
      <c r="AM774" s="82"/>
      <c r="AN774" s="82"/>
      <c r="AO774" s="82"/>
      <c r="AP774" s="82"/>
      <c r="AQ774" s="82"/>
    </row>
    <row r="775" spans="1:43" ht="15" x14ac:dyDescent="0.35">
      <c r="A775" s="85"/>
      <c r="B775" s="86"/>
      <c r="C775" s="87"/>
      <c r="D775" s="87"/>
      <c r="E775" s="87"/>
      <c r="F775" s="87"/>
      <c r="G775" s="88"/>
      <c r="H775" s="87"/>
      <c r="I775" s="87"/>
      <c r="J775" s="87"/>
      <c r="K775" s="8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M775" s="17"/>
      <c r="AN775" s="17"/>
      <c r="AO775" s="17"/>
      <c r="AP775" s="17"/>
      <c r="AQ775" s="17"/>
    </row>
    <row r="776" spans="1:43" s="84" customFormat="1" ht="15" x14ac:dyDescent="0.35">
      <c r="A776" s="80"/>
      <c r="B776" s="81"/>
      <c r="C776" s="82"/>
      <c r="D776" s="82"/>
      <c r="E776" s="82"/>
      <c r="F776" s="82"/>
      <c r="G776" s="83"/>
      <c r="H776" s="82"/>
      <c r="I776" s="82"/>
      <c r="J776" s="82"/>
      <c r="K776" s="82"/>
      <c r="L776" s="76"/>
      <c r="M776" s="82"/>
      <c r="N776" s="82"/>
      <c r="O776" s="82"/>
      <c r="P776" s="82"/>
      <c r="Q776" s="82"/>
      <c r="R776" s="82"/>
      <c r="S776" s="82"/>
      <c r="T776" s="82"/>
      <c r="U776" s="82"/>
      <c r="V776" s="82"/>
      <c r="W776" s="82"/>
      <c r="X776" s="82"/>
      <c r="Y776" s="76"/>
      <c r="Z776" s="82"/>
      <c r="AA776" s="82"/>
      <c r="AB776" s="82"/>
      <c r="AC776" s="82"/>
      <c r="AD776" s="82"/>
      <c r="AE776" s="82"/>
      <c r="AF776" s="82"/>
      <c r="AG776" s="82"/>
      <c r="AH776" s="82"/>
      <c r="AI776" s="82"/>
      <c r="AJ776" s="82"/>
      <c r="AK776" s="82"/>
      <c r="AL776" s="76"/>
      <c r="AM776" s="82"/>
      <c r="AN776" s="82"/>
      <c r="AO776" s="82"/>
      <c r="AP776" s="82"/>
      <c r="AQ776" s="82"/>
    </row>
    <row r="777" spans="1:43" ht="15" x14ac:dyDescent="0.35">
      <c r="A777" s="85"/>
      <c r="B777" s="86"/>
      <c r="C777" s="87"/>
      <c r="D777" s="87"/>
      <c r="E777" s="87"/>
      <c r="F777" s="87"/>
      <c r="G777" s="88"/>
      <c r="H777" s="87"/>
      <c r="I777" s="87"/>
      <c r="J777" s="87"/>
      <c r="K777" s="8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M777" s="17"/>
      <c r="AN777" s="17"/>
      <c r="AO777" s="17"/>
      <c r="AP777" s="17"/>
      <c r="AQ777" s="17"/>
    </row>
    <row r="778" spans="1:43" s="84" customFormat="1" ht="15" x14ac:dyDescent="0.35">
      <c r="A778" s="80"/>
      <c r="B778" s="81"/>
      <c r="C778" s="82"/>
      <c r="D778" s="82"/>
      <c r="E778" s="82"/>
      <c r="F778" s="82"/>
      <c r="G778" s="83"/>
      <c r="H778" s="82"/>
      <c r="I778" s="82"/>
      <c r="J778" s="82"/>
      <c r="K778" s="82"/>
      <c r="L778" s="76"/>
      <c r="M778" s="82"/>
      <c r="N778" s="82"/>
      <c r="O778" s="82"/>
      <c r="P778" s="82"/>
      <c r="Q778" s="82"/>
      <c r="R778" s="82"/>
      <c r="S778" s="82"/>
      <c r="T778" s="82"/>
      <c r="U778" s="82"/>
      <c r="V778" s="82"/>
      <c r="W778" s="82"/>
      <c r="X778" s="82"/>
      <c r="Y778" s="76"/>
      <c r="Z778" s="82"/>
      <c r="AA778" s="82"/>
      <c r="AB778" s="82"/>
      <c r="AC778" s="82"/>
      <c r="AD778" s="82"/>
      <c r="AE778" s="82"/>
      <c r="AF778" s="82"/>
      <c r="AG778" s="82"/>
      <c r="AH778" s="82"/>
      <c r="AI778" s="82"/>
      <c r="AJ778" s="82"/>
      <c r="AK778" s="82"/>
      <c r="AL778" s="76"/>
      <c r="AM778" s="82"/>
      <c r="AN778" s="82"/>
      <c r="AO778" s="82"/>
      <c r="AP778" s="82"/>
      <c r="AQ778" s="82"/>
    </row>
    <row r="779" spans="1:43" ht="15" x14ac:dyDescent="0.35">
      <c r="A779" s="85"/>
      <c r="B779" s="86"/>
      <c r="C779" s="87"/>
      <c r="D779" s="87"/>
      <c r="E779" s="87"/>
      <c r="F779" s="87"/>
      <c r="G779" s="88"/>
      <c r="H779" s="87"/>
      <c r="I779" s="87"/>
      <c r="J779" s="87"/>
      <c r="K779" s="8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M779" s="17"/>
      <c r="AN779" s="17"/>
      <c r="AO779" s="17"/>
      <c r="AP779" s="17"/>
      <c r="AQ779" s="17"/>
    </row>
    <row r="780" spans="1:43" s="84" customFormat="1" ht="15" x14ac:dyDescent="0.35">
      <c r="A780" s="80"/>
      <c r="B780" s="81"/>
      <c r="C780" s="82"/>
      <c r="D780" s="82"/>
      <c r="E780" s="82"/>
      <c r="F780" s="82"/>
      <c r="G780" s="83"/>
      <c r="H780" s="82"/>
      <c r="I780" s="82"/>
      <c r="J780" s="82"/>
      <c r="K780" s="82"/>
      <c r="L780" s="76"/>
      <c r="M780" s="82"/>
      <c r="N780" s="82"/>
      <c r="O780" s="82"/>
      <c r="P780" s="82"/>
      <c r="Q780" s="82"/>
      <c r="R780" s="82"/>
      <c r="S780" s="82"/>
      <c r="T780" s="82"/>
      <c r="U780" s="82"/>
      <c r="V780" s="82"/>
      <c r="W780" s="82"/>
      <c r="X780" s="82"/>
      <c r="Y780" s="76"/>
      <c r="Z780" s="82"/>
      <c r="AA780" s="82"/>
      <c r="AB780" s="82"/>
      <c r="AC780" s="82"/>
      <c r="AD780" s="82"/>
      <c r="AE780" s="82"/>
      <c r="AF780" s="82"/>
      <c r="AG780" s="82"/>
      <c r="AH780" s="82"/>
      <c r="AI780" s="82"/>
      <c r="AJ780" s="82"/>
      <c r="AK780" s="82"/>
      <c r="AL780" s="76"/>
      <c r="AM780" s="82"/>
      <c r="AN780" s="82"/>
      <c r="AO780" s="82"/>
      <c r="AP780" s="82"/>
      <c r="AQ780" s="82"/>
    </row>
    <row r="781" spans="1:43" ht="15" x14ac:dyDescent="0.35">
      <c r="A781" s="85"/>
      <c r="B781" s="86"/>
      <c r="C781" s="87"/>
      <c r="D781" s="87"/>
      <c r="E781" s="87"/>
      <c r="F781" s="87"/>
      <c r="G781" s="88"/>
      <c r="H781" s="87"/>
      <c r="I781" s="87"/>
      <c r="J781" s="87"/>
      <c r="K781" s="8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M781" s="17"/>
      <c r="AN781" s="17"/>
      <c r="AO781" s="17"/>
      <c r="AP781" s="17"/>
      <c r="AQ781" s="17"/>
    </row>
    <row r="782" spans="1:43" s="84" customFormat="1" ht="15" x14ac:dyDescent="0.35">
      <c r="A782" s="80"/>
      <c r="B782" s="81"/>
      <c r="C782" s="82"/>
      <c r="D782" s="82"/>
      <c r="E782" s="82"/>
      <c r="F782" s="82"/>
      <c r="G782" s="83"/>
      <c r="H782" s="82"/>
      <c r="I782" s="82"/>
      <c r="J782" s="82"/>
      <c r="K782" s="82"/>
      <c r="L782" s="76"/>
      <c r="M782" s="82"/>
      <c r="N782" s="82"/>
      <c r="O782" s="82"/>
      <c r="P782" s="82"/>
      <c r="Q782" s="82"/>
      <c r="R782" s="82"/>
      <c r="S782" s="82"/>
      <c r="T782" s="82"/>
      <c r="U782" s="82"/>
      <c r="V782" s="82"/>
      <c r="W782" s="82"/>
      <c r="X782" s="82"/>
      <c r="Y782" s="76"/>
      <c r="Z782" s="82"/>
      <c r="AA782" s="82"/>
      <c r="AB782" s="82"/>
      <c r="AC782" s="82"/>
      <c r="AD782" s="82"/>
      <c r="AE782" s="82"/>
      <c r="AF782" s="82"/>
      <c r="AG782" s="82"/>
      <c r="AH782" s="82"/>
      <c r="AI782" s="82"/>
      <c r="AJ782" s="82"/>
      <c r="AK782" s="82"/>
      <c r="AL782" s="76"/>
      <c r="AM782" s="82"/>
      <c r="AN782" s="82"/>
      <c r="AO782" s="82"/>
      <c r="AP782" s="82"/>
      <c r="AQ782" s="82"/>
    </row>
    <row r="783" spans="1:43" ht="15" x14ac:dyDescent="0.35">
      <c r="A783" s="85"/>
      <c r="B783" s="86"/>
      <c r="C783" s="87"/>
      <c r="D783" s="87"/>
      <c r="E783" s="87"/>
      <c r="F783" s="87"/>
      <c r="G783" s="88"/>
      <c r="H783" s="87"/>
      <c r="I783" s="87"/>
      <c r="J783" s="87"/>
      <c r="K783" s="8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M783" s="17"/>
      <c r="AN783" s="17"/>
      <c r="AO783" s="17"/>
      <c r="AP783" s="17"/>
      <c r="AQ783" s="17"/>
    </row>
    <row r="784" spans="1:43" s="84" customFormat="1" ht="15" x14ac:dyDescent="0.35">
      <c r="A784" s="80"/>
      <c r="B784" s="81"/>
      <c r="C784" s="82"/>
      <c r="D784" s="82"/>
      <c r="E784" s="82"/>
      <c r="F784" s="82"/>
      <c r="G784" s="83"/>
      <c r="H784" s="82"/>
      <c r="I784" s="82"/>
      <c r="J784" s="82"/>
      <c r="K784" s="82"/>
      <c r="L784" s="76"/>
      <c r="M784" s="82"/>
      <c r="N784" s="82"/>
      <c r="O784" s="82"/>
      <c r="P784" s="82"/>
      <c r="Q784" s="82"/>
      <c r="R784" s="82"/>
      <c r="S784" s="82"/>
      <c r="T784" s="82"/>
      <c r="U784" s="82"/>
      <c r="V784" s="82"/>
      <c r="W784" s="82"/>
      <c r="X784" s="82"/>
      <c r="Y784" s="76"/>
      <c r="Z784" s="82"/>
      <c r="AA784" s="82"/>
      <c r="AB784" s="82"/>
      <c r="AC784" s="82"/>
      <c r="AD784" s="82"/>
      <c r="AE784" s="82"/>
      <c r="AF784" s="82"/>
      <c r="AG784" s="82"/>
      <c r="AH784" s="82"/>
      <c r="AI784" s="82"/>
      <c r="AJ784" s="82"/>
      <c r="AK784" s="82"/>
      <c r="AL784" s="76"/>
      <c r="AM784" s="82"/>
      <c r="AN784" s="82"/>
      <c r="AO784" s="82"/>
      <c r="AP784" s="82"/>
      <c r="AQ784" s="82"/>
    </row>
    <row r="785" spans="1:43" ht="15" x14ac:dyDescent="0.35">
      <c r="A785" s="85"/>
      <c r="B785" s="86"/>
      <c r="C785" s="87"/>
      <c r="D785" s="87"/>
      <c r="E785" s="87"/>
      <c r="F785" s="87"/>
      <c r="G785" s="88"/>
      <c r="H785" s="87"/>
      <c r="I785" s="87"/>
      <c r="J785" s="87"/>
      <c r="K785" s="8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M785" s="17"/>
      <c r="AN785" s="17"/>
      <c r="AO785" s="17"/>
      <c r="AP785" s="17"/>
      <c r="AQ785" s="17"/>
    </row>
    <row r="786" spans="1:43" s="84" customFormat="1" ht="15" x14ac:dyDescent="0.35">
      <c r="A786" s="80"/>
      <c r="B786" s="81"/>
      <c r="C786" s="82"/>
      <c r="D786" s="82"/>
      <c r="E786" s="82"/>
      <c r="F786" s="82"/>
      <c r="G786" s="83"/>
      <c r="H786" s="82"/>
      <c r="I786" s="82"/>
      <c r="J786" s="82"/>
      <c r="K786" s="82"/>
      <c r="L786" s="76"/>
      <c r="M786" s="82"/>
      <c r="N786" s="82"/>
      <c r="O786" s="82"/>
      <c r="P786" s="82"/>
      <c r="Q786" s="82"/>
      <c r="R786" s="82"/>
      <c r="S786" s="82"/>
      <c r="T786" s="82"/>
      <c r="U786" s="82"/>
      <c r="V786" s="82"/>
      <c r="W786" s="82"/>
      <c r="X786" s="82"/>
      <c r="Y786" s="76"/>
      <c r="Z786" s="82"/>
      <c r="AA786" s="82"/>
      <c r="AB786" s="82"/>
      <c r="AC786" s="82"/>
      <c r="AD786" s="82"/>
      <c r="AE786" s="82"/>
      <c r="AF786" s="82"/>
      <c r="AG786" s="82"/>
      <c r="AH786" s="82"/>
      <c r="AI786" s="82"/>
      <c r="AJ786" s="82"/>
      <c r="AK786" s="82"/>
      <c r="AL786" s="76"/>
      <c r="AM786" s="82"/>
      <c r="AN786" s="82"/>
      <c r="AO786" s="82"/>
      <c r="AP786" s="82"/>
      <c r="AQ786" s="82"/>
    </row>
    <row r="787" spans="1:43" ht="15" x14ac:dyDescent="0.35">
      <c r="A787" s="85"/>
      <c r="B787" s="86"/>
      <c r="C787" s="87"/>
      <c r="D787" s="87"/>
      <c r="E787" s="87"/>
      <c r="F787" s="87"/>
      <c r="G787" s="88"/>
      <c r="H787" s="87"/>
      <c r="I787" s="87"/>
      <c r="J787" s="87"/>
      <c r="K787" s="8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M787" s="17"/>
      <c r="AN787" s="17"/>
      <c r="AO787" s="17"/>
      <c r="AP787" s="17"/>
      <c r="AQ787" s="17"/>
    </row>
    <row r="788" spans="1:43" s="84" customFormat="1" ht="15" x14ac:dyDescent="0.35">
      <c r="A788" s="80"/>
      <c r="B788" s="81"/>
      <c r="C788" s="82"/>
      <c r="D788" s="82"/>
      <c r="E788" s="82"/>
      <c r="F788" s="82"/>
      <c r="G788" s="83"/>
      <c r="H788" s="82"/>
      <c r="I788" s="82"/>
      <c r="J788" s="82"/>
      <c r="K788" s="82"/>
      <c r="L788" s="76"/>
      <c r="M788" s="82"/>
      <c r="N788" s="82"/>
      <c r="O788" s="82"/>
      <c r="P788" s="82"/>
      <c r="Q788" s="82"/>
      <c r="R788" s="82"/>
      <c r="S788" s="82"/>
      <c r="T788" s="82"/>
      <c r="U788" s="82"/>
      <c r="V788" s="82"/>
      <c r="W788" s="82"/>
      <c r="X788" s="82"/>
      <c r="Y788" s="76"/>
      <c r="Z788" s="82"/>
      <c r="AA788" s="82"/>
      <c r="AB788" s="82"/>
      <c r="AC788" s="82"/>
      <c r="AD788" s="82"/>
      <c r="AE788" s="82"/>
      <c r="AF788" s="82"/>
      <c r="AG788" s="82"/>
      <c r="AH788" s="82"/>
      <c r="AI788" s="82"/>
      <c r="AJ788" s="82"/>
      <c r="AK788" s="82"/>
      <c r="AL788" s="76"/>
      <c r="AM788" s="82"/>
      <c r="AN788" s="82"/>
      <c r="AO788" s="82"/>
      <c r="AP788" s="82"/>
      <c r="AQ788" s="82"/>
    </row>
    <row r="789" spans="1:43" ht="15" x14ac:dyDescent="0.35">
      <c r="A789" s="85"/>
      <c r="B789" s="86"/>
      <c r="C789" s="87"/>
      <c r="D789" s="87"/>
      <c r="E789" s="87"/>
      <c r="F789" s="87"/>
      <c r="G789" s="88"/>
      <c r="H789" s="87"/>
      <c r="I789" s="87"/>
      <c r="J789" s="87"/>
      <c r="K789" s="8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M789" s="17"/>
      <c r="AN789" s="17"/>
      <c r="AO789" s="17"/>
      <c r="AP789" s="17"/>
      <c r="AQ789" s="17"/>
    </row>
    <row r="790" spans="1:43" s="84" customFormat="1" ht="15" x14ac:dyDescent="0.35">
      <c r="A790" s="80"/>
      <c r="B790" s="81"/>
      <c r="C790" s="82"/>
      <c r="D790" s="82"/>
      <c r="E790" s="82"/>
      <c r="F790" s="82"/>
      <c r="G790" s="83"/>
      <c r="H790" s="82"/>
      <c r="I790" s="82"/>
      <c r="J790" s="82"/>
      <c r="K790" s="82"/>
      <c r="L790" s="76"/>
      <c r="M790" s="82"/>
      <c r="N790" s="82"/>
      <c r="O790" s="82"/>
      <c r="P790" s="82"/>
      <c r="Q790" s="82"/>
      <c r="R790" s="82"/>
      <c r="S790" s="82"/>
      <c r="T790" s="82"/>
      <c r="U790" s="82"/>
      <c r="V790" s="82"/>
      <c r="W790" s="82"/>
      <c r="X790" s="82"/>
      <c r="Y790" s="76"/>
      <c r="Z790" s="82"/>
      <c r="AA790" s="82"/>
      <c r="AB790" s="82"/>
      <c r="AC790" s="82"/>
      <c r="AD790" s="82"/>
      <c r="AE790" s="82"/>
      <c r="AF790" s="82"/>
      <c r="AG790" s="82"/>
      <c r="AH790" s="82"/>
      <c r="AI790" s="82"/>
      <c r="AJ790" s="82"/>
      <c r="AK790" s="82"/>
      <c r="AL790" s="76"/>
      <c r="AM790" s="82"/>
      <c r="AN790" s="82"/>
      <c r="AO790" s="82"/>
      <c r="AP790" s="82"/>
      <c r="AQ790" s="82"/>
    </row>
    <row r="791" spans="1:43" ht="15" x14ac:dyDescent="0.35">
      <c r="A791" s="85"/>
      <c r="B791" s="86"/>
      <c r="C791" s="87"/>
      <c r="D791" s="87"/>
      <c r="E791" s="87"/>
      <c r="F791" s="87"/>
      <c r="G791" s="88"/>
      <c r="H791" s="87"/>
      <c r="I791" s="87"/>
      <c r="J791" s="87"/>
      <c r="K791" s="8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M791" s="17"/>
      <c r="AN791" s="17"/>
      <c r="AO791" s="17"/>
      <c r="AP791" s="17"/>
      <c r="AQ791" s="17"/>
    </row>
    <row r="792" spans="1:43" s="84" customFormat="1" ht="15" x14ac:dyDescent="0.35">
      <c r="A792" s="80"/>
      <c r="B792" s="81"/>
      <c r="C792" s="82"/>
      <c r="D792" s="82"/>
      <c r="E792" s="82"/>
      <c r="F792" s="82"/>
      <c r="G792" s="83"/>
      <c r="H792" s="82"/>
      <c r="I792" s="82"/>
      <c r="J792" s="82"/>
      <c r="K792" s="82"/>
      <c r="L792" s="76"/>
      <c r="M792" s="82"/>
      <c r="N792" s="82"/>
      <c r="O792" s="82"/>
      <c r="P792" s="82"/>
      <c r="Q792" s="82"/>
      <c r="R792" s="82"/>
      <c r="S792" s="82"/>
      <c r="T792" s="82"/>
      <c r="U792" s="82"/>
      <c r="V792" s="82"/>
      <c r="W792" s="82"/>
      <c r="X792" s="82"/>
      <c r="Y792" s="76"/>
      <c r="Z792" s="82"/>
      <c r="AA792" s="82"/>
      <c r="AB792" s="82"/>
      <c r="AC792" s="82"/>
      <c r="AD792" s="82"/>
      <c r="AE792" s="82"/>
      <c r="AF792" s="82"/>
      <c r="AG792" s="82"/>
      <c r="AH792" s="82"/>
      <c r="AI792" s="82"/>
      <c r="AJ792" s="82"/>
      <c r="AK792" s="82"/>
      <c r="AL792" s="76"/>
      <c r="AM792" s="82"/>
      <c r="AN792" s="82"/>
      <c r="AO792" s="82"/>
      <c r="AP792" s="82"/>
      <c r="AQ792" s="82"/>
    </row>
    <row r="793" spans="1:43" ht="15" x14ac:dyDescent="0.35">
      <c r="A793" s="85"/>
      <c r="B793" s="86"/>
      <c r="C793" s="87"/>
      <c r="D793" s="87"/>
      <c r="E793" s="87"/>
      <c r="F793" s="87"/>
      <c r="G793" s="88"/>
      <c r="H793" s="87"/>
      <c r="I793" s="87"/>
      <c r="J793" s="87"/>
      <c r="K793" s="8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M793" s="17"/>
      <c r="AN793" s="17"/>
      <c r="AO793" s="17"/>
      <c r="AP793" s="17"/>
      <c r="AQ793" s="17"/>
    </row>
    <row r="794" spans="1:43" s="84" customFormat="1" ht="15" x14ac:dyDescent="0.35">
      <c r="A794" s="80"/>
      <c r="B794" s="81"/>
      <c r="C794" s="82"/>
      <c r="D794" s="82"/>
      <c r="E794" s="82"/>
      <c r="F794" s="82"/>
      <c r="G794" s="83"/>
      <c r="H794" s="82"/>
      <c r="I794" s="82"/>
      <c r="J794" s="82"/>
      <c r="K794" s="82"/>
      <c r="L794" s="76"/>
      <c r="M794" s="82"/>
      <c r="N794" s="82"/>
      <c r="O794" s="82"/>
      <c r="P794" s="82"/>
      <c r="Q794" s="82"/>
      <c r="R794" s="82"/>
      <c r="S794" s="82"/>
      <c r="T794" s="82"/>
      <c r="U794" s="82"/>
      <c r="V794" s="82"/>
      <c r="W794" s="82"/>
      <c r="X794" s="82"/>
      <c r="Y794" s="76"/>
      <c r="Z794" s="82"/>
      <c r="AA794" s="82"/>
      <c r="AB794" s="82"/>
      <c r="AC794" s="82"/>
      <c r="AD794" s="82"/>
      <c r="AE794" s="82"/>
      <c r="AF794" s="82"/>
      <c r="AG794" s="82"/>
      <c r="AH794" s="82"/>
      <c r="AI794" s="82"/>
      <c r="AJ794" s="82"/>
      <c r="AK794" s="82"/>
      <c r="AL794" s="76"/>
      <c r="AM794" s="82"/>
      <c r="AN794" s="82"/>
      <c r="AO794" s="82"/>
      <c r="AP794" s="82"/>
      <c r="AQ794" s="82"/>
    </row>
    <row r="795" spans="1:43" ht="15" x14ac:dyDescent="0.35">
      <c r="A795" s="85"/>
      <c r="B795" s="86"/>
      <c r="C795" s="87"/>
      <c r="D795" s="87"/>
      <c r="E795" s="87"/>
      <c r="F795" s="87"/>
      <c r="G795" s="88"/>
      <c r="H795" s="87"/>
      <c r="I795" s="87"/>
      <c r="J795" s="87"/>
      <c r="K795" s="8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M795" s="17"/>
      <c r="AN795" s="17"/>
      <c r="AO795" s="17"/>
      <c r="AP795" s="17"/>
      <c r="AQ795" s="17"/>
    </row>
    <row r="796" spans="1:43" s="84" customFormat="1" ht="15" x14ac:dyDescent="0.35">
      <c r="A796" s="80"/>
      <c r="B796" s="81"/>
      <c r="C796" s="82"/>
      <c r="D796" s="82"/>
      <c r="E796" s="82"/>
      <c r="F796" s="82"/>
      <c r="G796" s="83"/>
      <c r="H796" s="82"/>
      <c r="I796" s="82"/>
      <c r="J796" s="82"/>
      <c r="K796" s="82"/>
      <c r="L796" s="76"/>
      <c r="M796" s="82"/>
      <c r="N796" s="82"/>
      <c r="O796" s="82"/>
      <c r="P796" s="82"/>
      <c r="Q796" s="82"/>
      <c r="R796" s="82"/>
      <c r="S796" s="82"/>
      <c r="T796" s="82"/>
      <c r="U796" s="82"/>
      <c r="V796" s="82"/>
      <c r="W796" s="82"/>
      <c r="X796" s="82"/>
      <c r="Y796" s="76"/>
      <c r="Z796" s="82"/>
      <c r="AA796" s="82"/>
      <c r="AB796" s="82"/>
      <c r="AC796" s="82"/>
      <c r="AD796" s="82"/>
      <c r="AE796" s="82"/>
      <c r="AF796" s="82"/>
      <c r="AG796" s="82"/>
      <c r="AH796" s="82"/>
      <c r="AI796" s="82"/>
      <c r="AJ796" s="82"/>
      <c r="AK796" s="82"/>
      <c r="AL796" s="76"/>
      <c r="AM796" s="82"/>
      <c r="AN796" s="82"/>
      <c r="AO796" s="82"/>
      <c r="AP796" s="82"/>
      <c r="AQ796" s="82"/>
    </row>
    <row r="797" spans="1:43" ht="15" x14ac:dyDescent="0.35">
      <c r="A797" s="85"/>
      <c r="B797" s="86"/>
      <c r="C797" s="87"/>
      <c r="D797" s="87"/>
      <c r="E797" s="87"/>
      <c r="F797" s="87"/>
      <c r="G797" s="88"/>
      <c r="H797" s="87"/>
      <c r="I797" s="87"/>
      <c r="J797" s="87"/>
      <c r="K797" s="8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M797" s="17"/>
      <c r="AN797" s="17"/>
      <c r="AO797" s="17"/>
      <c r="AP797" s="17"/>
      <c r="AQ797" s="17"/>
    </row>
    <row r="798" spans="1:43" s="84" customFormat="1" ht="15" x14ac:dyDescent="0.35">
      <c r="A798" s="80"/>
      <c r="B798" s="81"/>
      <c r="C798" s="82"/>
      <c r="D798" s="82"/>
      <c r="E798" s="82"/>
      <c r="F798" s="82"/>
      <c r="G798" s="83"/>
      <c r="H798" s="82"/>
      <c r="I798" s="82"/>
      <c r="J798" s="82"/>
      <c r="K798" s="82"/>
      <c r="L798" s="76"/>
      <c r="M798" s="82"/>
      <c r="N798" s="82"/>
      <c r="O798" s="82"/>
      <c r="P798" s="82"/>
      <c r="Q798" s="82"/>
      <c r="R798" s="82"/>
      <c r="S798" s="82"/>
      <c r="T798" s="82"/>
      <c r="U798" s="82"/>
      <c r="V798" s="82"/>
      <c r="W798" s="82"/>
      <c r="X798" s="82"/>
      <c r="Y798" s="76"/>
      <c r="Z798" s="82"/>
      <c r="AA798" s="82"/>
      <c r="AB798" s="82"/>
      <c r="AC798" s="82"/>
      <c r="AD798" s="82"/>
      <c r="AE798" s="82"/>
      <c r="AF798" s="82"/>
      <c r="AG798" s="82"/>
      <c r="AH798" s="82"/>
      <c r="AI798" s="82"/>
      <c r="AJ798" s="82"/>
      <c r="AK798" s="82"/>
      <c r="AL798" s="76"/>
      <c r="AM798" s="82"/>
      <c r="AN798" s="82"/>
      <c r="AO798" s="82"/>
      <c r="AP798" s="82"/>
      <c r="AQ798" s="82"/>
    </row>
    <row r="799" spans="1:43" ht="15" x14ac:dyDescent="0.35">
      <c r="A799" s="85"/>
      <c r="B799" s="86"/>
      <c r="C799" s="87"/>
      <c r="D799" s="87"/>
      <c r="E799" s="87"/>
      <c r="F799" s="87"/>
      <c r="G799" s="88"/>
      <c r="H799" s="87"/>
      <c r="I799" s="87"/>
      <c r="J799" s="87"/>
      <c r="K799" s="8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M799" s="17"/>
      <c r="AN799" s="17"/>
      <c r="AO799" s="17"/>
      <c r="AP799" s="17"/>
      <c r="AQ799" s="17"/>
    </row>
    <row r="800" spans="1:43" s="84" customFormat="1" ht="15" x14ac:dyDescent="0.35">
      <c r="A800" s="80"/>
      <c r="B800" s="81"/>
      <c r="C800" s="82"/>
      <c r="D800" s="82"/>
      <c r="E800" s="82"/>
      <c r="F800" s="82"/>
      <c r="G800" s="83"/>
      <c r="H800" s="82"/>
      <c r="I800" s="82"/>
      <c r="J800" s="82"/>
      <c r="K800" s="82"/>
      <c r="L800" s="76"/>
      <c r="M800" s="82"/>
      <c r="N800" s="82"/>
      <c r="O800" s="82"/>
      <c r="P800" s="82"/>
      <c r="Q800" s="82"/>
      <c r="R800" s="82"/>
      <c r="S800" s="82"/>
      <c r="T800" s="82"/>
      <c r="U800" s="82"/>
      <c r="V800" s="82"/>
      <c r="W800" s="82"/>
      <c r="X800" s="82"/>
      <c r="Y800" s="76"/>
      <c r="Z800" s="82"/>
      <c r="AA800" s="82"/>
      <c r="AB800" s="82"/>
      <c r="AC800" s="82"/>
      <c r="AD800" s="82"/>
      <c r="AE800" s="82"/>
      <c r="AF800" s="82"/>
      <c r="AG800" s="82"/>
      <c r="AH800" s="82"/>
      <c r="AI800" s="82"/>
      <c r="AJ800" s="82"/>
      <c r="AK800" s="82"/>
      <c r="AL800" s="76"/>
      <c r="AM800" s="82"/>
      <c r="AN800" s="82"/>
      <c r="AO800" s="82"/>
      <c r="AP800" s="82"/>
      <c r="AQ800" s="82"/>
    </row>
    <row r="801" spans="1:43" ht="15" x14ac:dyDescent="0.35">
      <c r="A801" s="85"/>
      <c r="B801" s="86"/>
      <c r="C801" s="87"/>
      <c r="D801" s="87"/>
      <c r="E801" s="87"/>
      <c r="F801" s="87"/>
      <c r="G801" s="88"/>
      <c r="H801" s="87"/>
      <c r="I801" s="87"/>
      <c r="J801" s="87"/>
      <c r="K801" s="8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M801" s="17"/>
      <c r="AN801" s="17"/>
      <c r="AO801" s="17"/>
      <c r="AP801" s="17"/>
      <c r="AQ801" s="17"/>
    </row>
    <row r="802" spans="1:43" s="84" customFormat="1" ht="15" x14ac:dyDescent="0.35">
      <c r="A802" s="80"/>
      <c r="B802" s="81"/>
      <c r="C802" s="82"/>
      <c r="D802" s="82"/>
      <c r="E802" s="82"/>
      <c r="F802" s="82"/>
      <c r="G802" s="83"/>
      <c r="H802" s="82"/>
      <c r="I802" s="82"/>
      <c r="J802" s="82"/>
      <c r="K802" s="82"/>
      <c r="L802" s="76"/>
      <c r="M802" s="82"/>
      <c r="N802" s="82"/>
      <c r="O802" s="82"/>
      <c r="P802" s="82"/>
      <c r="Q802" s="82"/>
      <c r="R802" s="82"/>
      <c r="S802" s="82"/>
      <c r="T802" s="82"/>
      <c r="U802" s="82"/>
      <c r="V802" s="82"/>
      <c r="W802" s="82"/>
      <c r="X802" s="82"/>
      <c r="Y802" s="76"/>
      <c r="Z802" s="82"/>
      <c r="AA802" s="82"/>
      <c r="AB802" s="82"/>
      <c r="AC802" s="82"/>
      <c r="AD802" s="82"/>
      <c r="AE802" s="82"/>
      <c r="AF802" s="82"/>
      <c r="AG802" s="82"/>
      <c r="AH802" s="82"/>
      <c r="AI802" s="82"/>
      <c r="AJ802" s="82"/>
      <c r="AK802" s="82"/>
      <c r="AL802" s="76"/>
      <c r="AM802" s="82"/>
      <c r="AN802" s="82"/>
      <c r="AO802" s="82"/>
      <c r="AP802" s="82"/>
      <c r="AQ802" s="82"/>
    </row>
    <row r="803" spans="1:43" ht="15" x14ac:dyDescent="0.35">
      <c r="A803" s="85"/>
      <c r="B803" s="86"/>
      <c r="C803" s="87"/>
      <c r="D803" s="87"/>
      <c r="E803" s="87"/>
      <c r="F803" s="87"/>
      <c r="G803" s="88"/>
      <c r="H803" s="87"/>
      <c r="I803" s="87"/>
      <c r="J803" s="87"/>
      <c r="K803" s="8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M803" s="17"/>
      <c r="AN803" s="17"/>
      <c r="AO803" s="17"/>
      <c r="AP803" s="17"/>
      <c r="AQ803" s="17"/>
    </row>
    <row r="804" spans="1:43" s="84" customFormat="1" ht="15" x14ac:dyDescent="0.35">
      <c r="A804" s="80"/>
      <c r="B804" s="81"/>
      <c r="C804" s="82"/>
      <c r="D804" s="82"/>
      <c r="E804" s="82"/>
      <c r="F804" s="82"/>
      <c r="G804" s="83"/>
      <c r="H804" s="82"/>
      <c r="I804" s="82"/>
      <c r="J804" s="82"/>
      <c r="K804" s="82"/>
      <c r="L804" s="76"/>
      <c r="M804" s="82"/>
      <c r="N804" s="82"/>
      <c r="O804" s="82"/>
      <c r="P804" s="82"/>
      <c r="Q804" s="82"/>
      <c r="R804" s="82"/>
      <c r="S804" s="82"/>
      <c r="T804" s="82"/>
      <c r="U804" s="82"/>
      <c r="V804" s="82"/>
      <c r="W804" s="82"/>
      <c r="X804" s="82"/>
      <c r="Y804" s="76"/>
      <c r="Z804" s="82"/>
      <c r="AA804" s="82"/>
      <c r="AB804" s="82"/>
      <c r="AC804" s="82"/>
      <c r="AD804" s="82"/>
      <c r="AE804" s="82"/>
      <c r="AF804" s="82"/>
      <c r="AG804" s="82"/>
      <c r="AH804" s="82"/>
      <c r="AI804" s="82"/>
      <c r="AJ804" s="82"/>
      <c r="AK804" s="82"/>
      <c r="AL804" s="76"/>
      <c r="AM804" s="82"/>
      <c r="AN804" s="82"/>
      <c r="AO804" s="82"/>
      <c r="AP804" s="82"/>
      <c r="AQ804" s="82"/>
    </row>
    <row r="805" spans="1:43" ht="15" x14ac:dyDescent="0.35">
      <c r="A805" s="85"/>
      <c r="B805" s="86"/>
      <c r="C805" s="87"/>
      <c r="D805" s="87"/>
      <c r="E805" s="87"/>
      <c r="F805" s="87"/>
      <c r="G805" s="88"/>
      <c r="H805" s="87"/>
      <c r="I805" s="87"/>
      <c r="J805" s="87"/>
      <c r="K805" s="8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M805" s="17"/>
      <c r="AN805" s="17"/>
      <c r="AO805" s="17"/>
      <c r="AP805" s="17"/>
      <c r="AQ805" s="17"/>
    </row>
    <row r="806" spans="1:43" s="84" customFormat="1" ht="15" x14ac:dyDescent="0.35">
      <c r="A806" s="80"/>
      <c r="B806" s="81"/>
      <c r="C806" s="82"/>
      <c r="D806" s="82"/>
      <c r="E806" s="82"/>
      <c r="F806" s="82"/>
      <c r="G806" s="83"/>
      <c r="H806" s="82"/>
      <c r="I806" s="82"/>
      <c r="J806" s="82"/>
      <c r="K806" s="82"/>
      <c r="L806" s="76"/>
      <c r="M806" s="82"/>
      <c r="N806" s="82"/>
      <c r="O806" s="82"/>
      <c r="P806" s="82"/>
      <c r="Q806" s="82"/>
      <c r="R806" s="82"/>
      <c r="S806" s="82"/>
      <c r="T806" s="82"/>
      <c r="U806" s="82"/>
      <c r="V806" s="82"/>
      <c r="W806" s="82"/>
      <c r="X806" s="82"/>
      <c r="Y806" s="76"/>
      <c r="Z806" s="82"/>
      <c r="AA806" s="82"/>
      <c r="AB806" s="82"/>
      <c r="AC806" s="82"/>
      <c r="AD806" s="82"/>
      <c r="AE806" s="82"/>
      <c r="AF806" s="82"/>
      <c r="AG806" s="82"/>
      <c r="AH806" s="82"/>
      <c r="AI806" s="82"/>
      <c r="AJ806" s="82"/>
      <c r="AK806" s="82"/>
      <c r="AL806" s="76"/>
      <c r="AM806" s="82"/>
      <c r="AN806" s="82"/>
      <c r="AO806" s="82"/>
      <c r="AP806" s="82"/>
      <c r="AQ806" s="82"/>
    </row>
    <row r="807" spans="1:43" ht="15" x14ac:dyDescent="0.35">
      <c r="A807" s="85"/>
      <c r="B807" s="86"/>
      <c r="C807" s="87"/>
      <c r="D807" s="87"/>
      <c r="E807" s="87"/>
      <c r="F807" s="87"/>
      <c r="G807" s="88"/>
      <c r="H807" s="87"/>
      <c r="I807" s="87"/>
      <c r="J807" s="87"/>
      <c r="K807" s="8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M807" s="17"/>
      <c r="AN807" s="17"/>
      <c r="AO807" s="17"/>
      <c r="AP807" s="17"/>
      <c r="AQ807" s="17"/>
    </row>
    <row r="808" spans="1:43" s="84" customFormat="1" ht="15" x14ac:dyDescent="0.35">
      <c r="A808" s="80"/>
      <c r="B808" s="81"/>
      <c r="C808" s="82"/>
      <c r="D808" s="82"/>
      <c r="E808" s="82"/>
      <c r="F808" s="82"/>
      <c r="G808" s="83"/>
      <c r="H808" s="82"/>
      <c r="I808" s="82"/>
      <c r="J808" s="82"/>
      <c r="K808" s="82"/>
      <c r="L808" s="76"/>
      <c r="M808" s="82"/>
      <c r="N808" s="82"/>
      <c r="O808" s="82"/>
      <c r="P808" s="82"/>
      <c r="Q808" s="82"/>
      <c r="R808" s="82"/>
      <c r="S808" s="82"/>
      <c r="T808" s="82"/>
      <c r="U808" s="82"/>
      <c r="V808" s="82"/>
      <c r="W808" s="82"/>
      <c r="X808" s="82"/>
      <c r="Y808" s="76"/>
      <c r="Z808" s="82"/>
      <c r="AA808" s="82"/>
      <c r="AB808" s="82"/>
      <c r="AC808" s="82"/>
      <c r="AD808" s="82"/>
      <c r="AE808" s="82"/>
      <c r="AF808" s="82"/>
      <c r="AG808" s="82"/>
      <c r="AH808" s="82"/>
      <c r="AI808" s="82"/>
      <c r="AJ808" s="82"/>
      <c r="AK808" s="82"/>
      <c r="AL808" s="76"/>
      <c r="AM808" s="82"/>
      <c r="AN808" s="82"/>
      <c r="AO808" s="82"/>
      <c r="AP808" s="82"/>
      <c r="AQ808" s="82"/>
    </row>
    <row r="809" spans="1:43" ht="15" x14ac:dyDescent="0.35">
      <c r="A809" s="85"/>
      <c r="B809" s="86"/>
      <c r="C809" s="87"/>
      <c r="D809" s="87"/>
      <c r="E809" s="87"/>
      <c r="F809" s="87"/>
      <c r="G809" s="88"/>
      <c r="H809" s="87"/>
      <c r="I809" s="87"/>
      <c r="J809" s="87"/>
      <c r="K809" s="8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M809" s="17"/>
      <c r="AN809" s="17"/>
      <c r="AO809" s="17"/>
      <c r="AP809" s="17"/>
      <c r="AQ809" s="17"/>
    </row>
    <row r="810" spans="1:43" s="84" customFormat="1" ht="15" x14ac:dyDescent="0.35">
      <c r="A810" s="80"/>
      <c r="B810" s="81"/>
      <c r="C810" s="82"/>
      <c r="D810" s="82"/>
      <c r="E810" s="82"/>
      <c r="F810" s="82"/>
      <c r="G810" s="83"/>
      <c r="H810" s="82"/>
      <c r="I810" s="82"/>
      <c r="J810" s="82"/>
      <c r="K810" s="82"/>
      <c r="L810" s="76"/>
      <c r="M810" s="82"/>
      <c r="N810" s="82"/>
      <c r="O810" s="82"/>
      <c r="P810" s="82"/>
      <c r="Q810" s="82"/>
      <c r="R810" s="82"/>
      <c r="S810" s="82"/>
      <c r="T810" s="82"/>
      <c r="U810" s="82"/>
      <c r="V810" s="82"/>
      <c r="W810" s="82"/>
      <c r="X810" s="82"/>
      <c r="Y810" s="76"/>
      <c r="Z810" s="82"/>
      <c r="AA810" s="82"/>
      <c r="AB810" s="82"/>
      <c r="AC810" s="82"/>
      <c r="AD810" s="82"/>
      <c r="AE810" s="82"/>
      <c r="AF810" s="82"/>
      <c r="AG810" s="82"/>
      <c r="AH810" s="82"/>
      <c r="AI810" s="82"/>
      <c r="AJ810" s="82"/>
      <c r="AK810" s="82"/>
      <c r="AL810" s="76"/>
      <c r="AM810" s="82"/>
      <c r="AN810" s="82"/>
      <c r="AO810" s="82"/>
      <c r="AP810" s="82"/>
      <c r="AQ810" s="82"/>
    </row>
    <row r="811" spans="1:43" ht="15" x14ac:dyDescent="0.35">
      <c r="A811" s="85"/>
      <c r="B811" s="86"/>
      <c r="C811" s="87"/>
      <c r="D811" s="87"/>
      <c r="E811" s="87"/>
      <c r="F811" s="87"/>
      <c r="G811" s="88"/>
      <c r="H811" s="87"/>
      <c r="I811" s="87"/>
      <c r="J811" s="87"/>
      <c r="K811" s="8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M811" s="17"/>
      <c r="AN811" s="17"/>
      <c r="AO811" s="17"/>
      <c r="AP811" s="17"/>
      <c r="AQ811" s="17"/>
    </row>
    <row r="812" spans="1:43" s="84" customFormat="1" ht="15" x14ac:dyDescent="0.35">
      <c r="A812" s="80"/>
      <c r="B812" s="81"/>
      <c r="C812" s="82"/>
      <c r="D812" s="82"/>
      <c r="E812" s="82"/>
      <c r="F812" s="82"/>
      <c r="G812" s="83"/>
      <c r="H812" s="82"/>
      <c r="I812" s="82"/>
      <c r="J812" s="82"/>
      <c r="K812" s="82"/>
      <c r="L812" s="76"/>
      <c r="M812" s="82"/>
      <c r="N812" s="82"/>
      <c r="O812" s="82"/>
      <c r="P812" s="82"/>
      <c r="Q812" s="82"/>
      <c r="R812" s="82"/>
      <c r="S812" s="82"/>
      <c r="T812" s="82"/>
      <c r="U812" s="82"/>
      <c r="V812" s="82"/>
      <c r="W812" s="82"/>
      <c r="X812" s="82"/>
      <c r="Y812" s="76"/>
      <c r="Z812" s="82"/>
      <c r="AA812" s="82"/>
      <c r="AB812" s="82"/>
      <c r="AC812" s="82"/>
      <c r="AD812" s="82"/>
      <c r="AE812" s="82"/>
      <c r="AF812" s="82"/>
      <c r="AG812" s="82"/>
      <c r="AH812" s="82"/>
      <c r="AI812" s="82"/>
      <c r="AJ812" s="82"/>
      <c r="AK812" s="82"/>
      <c r="AL812" s="76"/>
      <c r="AM812" s="82"/>
      <c r="AN812" s="82"/>
      <c r="AO812" s="82"/>
      <c r="AP812" s="82"/>
      <c r="AQ812" s="82"/>
    </row>
    <row r="813" spans="1:43" ht="15" x14ac:dyDescent="0.35">
      <c r="A813" s="85"/>
      <c r="B813" s="86"/>
      <c r="C813" s="87"/>
      <c r="D813" s="87"/>
      <c r="E813" s="87"/>
      <c r="F813" s="87"/>
      <c r="G813" s="88"/>
      <c r="H813" s="87"/>
      <c r="I813" s="87"/>
      <c r="J813" s="87"/>
      <c r="K813" s="8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M813" s="17"/>
      <c r="AN813" s="17"/>
      <c r="AO813" s="17"/>
      <c r="AP813" s="17"/>
      <c r="AQ813" s="17"/>
    </row>
    <row r="814" spans="1:43" s="84" customFormat="1" ht="15" x14ac:dyDescent="0.35">
      <c r="A814" s="80"/>
      <c r="B814" s="81"/>
      <c r="C814" s="82"/>
      <c r="D814" s="82"/>
      <c r="E814" s="82"/>
      <c r="F814" s="82"/>
      <c r="G814" s="83"/>
      <c r="H814" s="82"/>
      <c r="I814" s="82"/>
      <c r="J814" s="82"/>
      <c r="K814" s="82"/>
      <c r="L814" s="76"/>
      <c r="M814" s="82"/>
      <c r="N814" s="82"/>
      <c r="O814" s="82"/>
      <c r="P814" s="82"/>
      <c r="Q814" s="82"/>
      <c r="R814" s="82"/>
      <c r="S814" s="82"/>
      <c r="T814" s="82"/>
      <c r="U814" s="82"/>
      <c r="V814" s="82"/>
      <c r="W814" s="82"/>
      <c r="X814" s="82"/>
      <c r="Y814" s="76"/>
      <c r="Z814" s="82"/>
      <c r="AA814" s="82"/>
      <c r="AB814" s="82"/>
      <c r="AC814" s="82"/>
      <c r="AD814" s="82"/>
      <c r="AE814" s="82"/>
      <c r="AF814" s="82"/>
      <c r="AG814" s="82"/>
      <c r="AH814" s="82"/>
      <c r="AI814" s="82"/>
      <c r="AJ814" s="82"/>
      <c r="AK814" s="82"/>
      <c r="AL814" s="76"/>
      <c r="AM814" s="82"/>
      <c r="AN814" s="82"/>
      <c r="AO814" s="82"/>
      <c r="AP814" s="82"/>
      <c r="AQ814" s="82"/>
    </row>
    <row r="815" spans="1:43" ht="15" x14ac:dyDescent="0.35">
      <c r="A815" s="85"/>
      <c r="B815" s="86"/>
      <c r="C815" s="87"/>
      <c r="D815" s="87"/>
      <c r="E815" s="87"/>
      <c r="F815" s="87"/>
      <c r="G815" s="88"/>
      <c r="H815" s="87"/>
      <c r="I815" s="87"/>
      <c r="J815" s="87"/>
      <c r="K815" s="8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M815" s="17"/>
      <c r="AN815" s="17"/>
      <c r="AO815" s="17"/>
      <c r="AP815" s="17"/>
      <c r="AQ815" s="17"/>
    </row>
    <row r="816" spans="1:43" s="84" customFormat="1" ht="15" x14ac:dyDescent="0.35">
      <c r="A816" s="80"/>
      <c r="B816" s="81"/>
      <c r="C816" s="82"/>
      <c r="D816" s="82"/>
      <c r="E816" s="82"/>
      <c r="F816" s="82"/>
      <c r="G816" s="83"/>
      <c r="H816" s="82"/>
      <c r="I816" s="82"/>
      <c r="J816" s="82"/>
      <c r="K816" s="82"/>
      <c r="L816" s="76"/>
      <c r="M816" s="82"/>
      <c r="N816" s="82"/>
      <c r="O816" s="82"/>
      <c r="P816" s="82"/>
      <c r="Q816" s="82"/>
      <c r="R816" s="82"/>
      <c r="S816" s="82"/>
      <c r="T816" s="82"/>
      <c r="U816" s="82"/>
      <c r="V816" s="82"/>
      <c r="W816" s="82"/>
      <c r="X816" s="82"/>
      <c r="Y816" s="76"/>
      <c r="Z816" s="82"/>
      <c r="AA816" s="82"/>
      <c r="AB816" s="82"/>
      <c r="AC816" s="82"/>
      <c r="AD816" s="82"/>
      <c r="AE816" s="82"/>
      <c r="AF816" s="82"/>
      <c r="AG816" s="82"/>
      <c r="AH816" s="82"/>
      <c r="AI816" s="82"/>
      <c r="AJ816" s="82"/>
      <c r="AK816" s="82"/>
      <c r="AL816" s="76"/>
      <c r="AM816" s="82"/>
      <c r="AN816" s="82"/>
      <c r="AO816" s="82"/>
      <c r="AP816" s="82"/>
      <c r="AQ816" s="82"/>
    </row>
    <row r="817" spans="1:43" ht="15" x14ac:dyDescent="0.35">
      <c r="A817" s="85"/>
      <c r="B817" s="86"/>
      <c r="C817" s="87"/>
      <c r="D817" s="87"/>
      <c r="E817" s="87"/>
      <c r="F817" s="87"/>
      <c r="G817" s="88"/>
      <c r="H817" s="87"/>
      <c r="I817" s="87"/>
      <c r="J817" s="87"/>
      <c r="K817" s="8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M817" s="17"/>
      <c r="AN817" s="17"/>
      <c r="AO817" s="17"/>
      <c r="AP817" s="17"/>
      <c r="AQ817" s="17"/>
    </row>
    <row r="818" spans="1:43" s="84" customFormat="1" ht="15" x14ac:dyDescent="0.35">
      <c r="A818" s="80"/>
      <c r="B818" s="81"/>
      <c r="C818" s="82"/>
      <c r="D818" s="82"/>
      <c r="E818" s="82"/>
      <c r="F818" s="82"/>
      <c r="G818" s="83"/>
      <c r="H818" s="82"/>
      <c r="I818" s="82"/>
      <c r="J818" s="82"/>
      <c r="K818" s="82"/>
      <c r="L818" s="76"/>
      <c r="M818" s="82"/>
      <c r="N818" s="82"/>
      <c r="O818" s="82"/>
      <c r="P818" s="82"/>
      <c r="Q818" s="82"/>
      <c r="R818" s="82"/>
      <c r="S818" s="82"/>
      <c r="T818" s="82"/>
      <c r="U818" s="82"/>
      <c r="V818" s="82"/>
      <c r="W818" s="82"/>
      <c r="X818" s="82"/>
      <c r="Y818" s="76"/>
      <c r="Z818" s="82"/>
      <c r="AA818" s="82"/>
      <c r="AB818" s="82"/>
      <c r="AC818" s="82"/>
      <c r="AD818" s="82"/>
      <c r="AE818" s="82"/>
      <c r="AF818" s="82"/>
      <c r="AG818" s="82"/>
      <c r="AH818" s="82"/>
      <c r="AI818" s="82"/>
      <c r="AJ818" s="82"/>
      <c r="AK818" s="82"/>
      <c r="AL818" s="76"/>
      <c r="AM818" s="82"/>
      <c r="AN818" s="82"/>
      <c r="AO818" s="82"/>
      <c r="AP818" s="82"/>
      <c r="AQ818" s="82"/>
    </row>
    <row r="819" spans="1:43" ht="15" x14ac:dyDescent="0.35">
      <c r="A819" s="85"/>
      <c r="B819" s="86"/>
      <c r="C819" s="87"/>
      <c r="D819" s="87"/>
      <c r="E819" s="87"/>
      <c r="F819" s="87"/>
      <c r="G819" s="88"/>
      <c r="H819" s="87"/>
      <c r="I819" s="87"/>
      <c r="J819" s="87"/>
      <c r="K819" s="8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M819" s="17"/>
      <c r="AN819" s="17"/>
      <c r="AO819" s="17"/>
      <c r="AP819" s="17"/>
      <c r="AQ819" s="17"/>
    </row>
    <row r="820" spans="1:43" s="84" customFormat="1" ht="15" x14ac:dyDescent="0.35">
      <c r="A820" s="80"/>
      <c r="B820" s="81"/>
      <c r="C820" s="82"/>
      <c r="D820" s="82"/>
      <c r="E820" s="82"/>
      <c r="F820" s="82"/>
      <c r="G820" s="83"/>
      <c r="H820" s="82"/>
      <c r="I820" s="82"/>
      <c r="J820" s="82"/>
      <c r="K820" s="82"/>
      <c r="L820" s="76"/>
      <c r="M820" s="82"/>
      <c r="N820" s="82"/>
      <c r="O820" s="82"/>
      <c r="P820" s="82"/>
      <c r="Q820" s="82"/>
      <c r="R820" s="82"/>
      <c r="S820" s="82"/>
      <c r="T820" s="82"/>
      <c r="U820" s="82"/>
      <c r="V820" s="82"/>
      <c r="W820" s="82"/>
      <c r="X820" s="82"/>
      <c r="Y820" s="76"/>
      <c r="Z820" s="82"/>
      <c r="AA820" s="82"/>
      <c r="AB820" s="82"/>
      <c r="AC820" s="82"/>
      <c r="AD820" s="82"/>
      <c r="AE820" s="82"/>
      <c r="AF820" s="82"/>
      <c r="AG820" s="82"/>
      <c r="AH820" s="82"/>
      <c r="AI820" s="82"/>
      <c r="AJ820" s="82"/>
      <c r="AK820" s="82"/>
      <c r="AL820" s="76"/>
      <c r="AM820" s="82"/>
      <c r="AN820" s="82"/>
      <c r="AO820" s="82"/>
      <c r="AP820" s="82"/>
      <c r="AQ820" s="82"/>
    </row>
    <row r="821" spans="1:43" ht="15" x14ac:dyDescent="0.35">
      <c r="A821" s="85"/>
      <c r="B821" s="86"/>
      <c r="C821" s="87"/>
      <c r="D821" s="87"/>
      <c r="E821" s="87"/>
      <c r="F821" s="87"/>
      <c r="G821" s="88"/>
      <c r="H821" s="87"/>
      <c r="I821" s="87"/>
      <c r="J821" s="87"/>
      <c r="K821" s="8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M821" s="17"/>
      <c r="AN821" s="17"/>
      <c r="AO821" s="17"/>
      <c r="AP821" s="17"/>
      <c r="AQ821" s="17"/>
    </row>
    <row r="822" spans="1:43" s="84" customFormat="1" ht="15" x14ac:dyDescent="0.35">
      <c r="A822" s="80"/>
      <c r="B822" s="81"/>
      <c r="C822" s="82"/>
      <c r="D822" s="82"/>
      <c r="E822" s="82"/>
      <c r="F822" s="82"/>
      <c r="G822" s="83"/>
      <c r="H822" s="82"/>
      <c r="I822" s="82"/>
      <c r="J822" s="82"/>
      <c r="K822" s="82"/>
      <c r="L822" s="76"/>
      <c r="M822" s="82"/>
      <c r="N822" s="82"/>
      <c r="O822" s="82"/>
      <c r="P822" s="82"/>
      <c r="Q822" s="82"/>
      <c r="R822" s="82"/>
      <c r="S822" s="82"/>
      <c r="T822" s="82"/>
      <c r="U822" s="82"/>
      <c r="V822" s="82"/>
      <c r="W822" s="82"/>
      <c r="X822" s="82"/>
      <c r="Y822" s="76"/>
      <c r="Z822" s="82"/>
      <c r="AA822" s="82"/>
      <c r="AB822" s="82"/>
      <c r="AC822" s="82"/>
      <c r="AD822" s="82"/>
      <c r="AE822" s="82"/>
      <c r="AF822" s="82"/>
      <c r="AG822" s="82"/>
      <c r="AH822" s="82"/>
      <c r="AI822" s="82"/>
      <c r="AJ822" s="82"/>
      <c r="AK822" s="82"/>
      <c r="AL822" s="76"/>
      <c r="AM822" s="82"/>
      <c r="AN822" s="82"/>
      <c r="AO822" s="82"/>
      <c r="AP822" s="82"/>
      <c r="AQ822" s="82"/>
    </row>
    <row r="823" spans="1:43" ht="15" x14ac:dyDescent="0.35">
      <c r="A823" s="85"/>
      <c r="B823" s="86"/>
      <c r="C823" s="87"/>
      <c r="D823" s="87"/>
      <c r="E823" s="87"/>
      <c r="F823" s="87"/>
      <c r="G823" s="88"/>
      <c r="H823" s="87"/>
      <c r="I823" s="87"/>
      <c r="J823" s="87"/>
      <c r="K823" s="8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M823" s="17"/>
      <c r="AN823" s="17"/>
      <c r="AO823" s="17"/>
      <c r="AP823" s="17"/>
      <c r="AQ823" s="17"/>
    </row>
    <row r="824" spans="1:43" s="84" customFormat="1" ht="15" x14ac:dyDescent="0.35">
      <c r="A824" s="80"/>
      <c r="B824" s="81"/>
      <c r="C824" s="82"/>
      <c r="D824" s="82"/>
      <c r="E824" s="82"/>
      <c r="F824" s="82"/>
      <c r="G824" s="83"/>
      <c r="H824" s="82"/>
      <c r="I824" s="82"/>
      <c r="J824" s="82"/>
      <c r="K824" s="82"/>
      <c r="L824" s="76"/>
      <c r="M824" s="82"/>
      <c r="N824" s="82"/>
      <c r="O824" s="82"/>
      <c r="P824" s="82"/>
      <c r="Q824" s="82"/>
      <c r="R824" s="82"/>
      <c r="S824" s="82"/>
      <c r="T824" s="82"/>
      <c r="U824" s="82"/>
      <c r="V824" s="82"/>
      <c r="W824" s="82"/>
      <c r="X824" s="82"/>
      <c r="Y824" s="76"/>
      <c r="Z824" s="82"/>
      <c r="AA824" s="82"/>
      <c r="AB824" s="82"/>
      <c r="AC824" s="82"/>
      <c r="AD824" s="82"/>
      <c r="AE824" s="82"/>
      <c r="AF824" s="82"/>
      <c r="AG824" s="82"/>
      <c r="AH824" s="82"/>
      <c r="AI824" s="82"/>
      <c r="AJ824" s="82"/>
      <c r="AK824" s="82"/>
      <c r="AL824" s="76"/>
      <c r="AM824" s="82"/>
      <c r="AN824" s="82"/>
      <c r="AO824" s="82"/>
      <c r="AP824" s="82"/>
      <c r="AQ824" s="82"/>
    </row>
    <row r="825" spans="1:43" ht="15" x14ac:dyDescent="0.35">
      <c r="A825" s="85"/>
      <c r="B825" s="86"/>
      <c r="C825" s="87"/>
      <c r="D825" s="87"/>
      <c r="E825" s="87"/>
      <c r="F825" s="87"/>
      <c r="G825" s="88"/>
      <c r="H825" s="87"/>
      <c r="I825" s="87"/>
      <c r="J825" s="87"/>
      <c r="K825" s="8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M825" s="17"/>
      <c r="AN825" s="17"/>
      <c r="AO825" s="17"/>
      <c r="AP825" s="17"/>
      <c r="AQ825" s="17"/>
    </row>
    <row r="826" spans="1:43" s="84" customFormat="1" ht="15" x14ac:dyDescent="0.35">
      <c r="A826" s="80"/>
      <c r="B826" s="81"/>
      <c r="C826" s="82"/>
      <c r="D826" s="82"/>
      <c r="E826" s="82"/>
      <c r="F826" s="82"/>
      <c r="G826" s="83"/>
      <c r="H826" s="82"/>
      <c r="I826" s="82"/>
      <c r="J826" s="82"/>
      <c r="K826" s="82"/>
      <c r="L826" s="76"/>
      <c r="M826" s="82"/>
      <c r="N826" s="82"/>
      <c r="O826" s="82"/>
      <c r="P826" s="82"/>
      <c r="Q826" s="82"/>
      <c r="R826" s="82"/>
      <c r="S826" s="82"/>
      <c r="T826" s="82"/>
      <c r="U826" s="82"/>
      <c r="V826" s="82"/>
      <c r="W826" s="82"/>
      <c r="X826" s="82"/>
      <c r="Y826" s="76"/>
      <c r="Z826" s="82"/>
      <c r="AA826" s="82"/>
      <c r="AB826" s="82"/>
      <c r="AC826" s="82"/>
      <c r="AD826" s="82"/>
      <c r="AE826" s="82"/>
      <c r="AF826" s="82"/>
      <c r="AG826" s="82"/>
      <c r="AH826" s="82"/>
      <c r="AI826" s="82"/>
      <c r="AJ826" s="82"/>
      <c r="AK826" s="82"/>
      <c r="AL826" s="76"/>
      <c r="AM826" s="82"/>
      <c r="AN826" s="82"/>
      <c r="AO826" s="82"/>
      <c r="AP826" s="82"/>
      <c r="AQ826" s="82"/>
    </row>
    <row r="827" spans="1:43" ht="15" x14ac:dyDescent="0.35">
      <c r="A827" s="85"/>
      <c r="B827" s="86"/>
      <c r="C827" s="87"/>
      <c r="D827" s="87"/>
      <c r="E827" s="87"/>
      <c r="F827" s="87"/>
      <c r="G827" s="88"/>
      <c r="H827" s="87"/>
      <c r="I827" s="87"/>
      <c r="J827" s="87"/>
      <c r="K827" s="8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M827" s="17"/>
      <c r="AN827" s="17"/>
      <c r="AO827" s="17"/>
      <c r="AP827" s="17"/>
      <c r="AQ827" s="17"/>
    </row>
    <row r="828" spans="1:43" s="84" customFormat="1" ht="15" x14ac:dyDescent="0.35">
      <c r="A828" s="80"/>
      <c r="B828" s="81"/>
      <c r="C828" s="82"/>
      <c r="D828" s="82"/>
      <c r="E828" s="82"/>
      <c r="F828" s="82"/>
      <c r="G828" s="83"/>
      <c r="H828" s="82"/>
      <c r="I828" s="82"/>
      <c r="J828" s="82"/>
      <c r="K828" s="82"/>
      <c r="L828" s="76"/>
      <c r="M828" s="82"/>
      <c r="N828" s="82"/>
      <c r="O828" s="82"/>
      <c r="P828" s="82"/>
      <c r="Q828" s="82"/>
      <c r="R828" s="82"/>
      <c r="S828" s="82"/>
      <c r="T828" s="82"/>
      <c r="U828" s="82"/>
      <c r="V828" s="82"/>
      <c r="W828" s="82"/>
      <c r="X828" s="82"/>
      <c r="Y828" s="76"/>
      <c r="Z828" s="82"/>
      <c r="AA828" s="82"/>
      <c r="AB828" s="82"/>
      <c r="AC828" s="82"/>
      <c r="AD828" s="82"/>
      <c r="AE828" s="82"/>
      <c r="AF828" s="82"/>
      <c r="AG828" s="82"/>
      <c r="AH828" s="82"/>
      <c r="AI828" s="82"/>
      <c r="AJ828" s="82"/>
      <c r="AK828" s="82"/>
      <c r="AL828" s="76"/>
      <c r="AM828" s="82"/>
      <c r="AN828" s="82"/>
      <c r="AO828" s="82"/>
      <c r="AP828" s="82"/>
      <c r="AQ828" s="82"/>
    </row>
    <row r="829" spans="1:43" ht="15" x14ac:dyDescent="0.35">
      <c r="A829" s="85"/>
      <c r="B829" s="86"/>
      <c r="C829" s="87"/>
      <c r="D829" s="87"/>
      <c r="E829" s="87"/>
      <c r="F829" s="87"/>
      <c r="G829" s="88"/>
      <c r="H829" s="87"/>
      <c r="I829" s="87"/>
      <c r="J829" s="87"/>
      <c r="K829" s="8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M829" s="17"/>
      <c r="AN829" s="17"/>
      <c r="AO829" s="17"/>
      <c r="AP829" s="17"/>
      <c r="AQ829" s="17"/>
    </row>
    <row r="830" spans="1:43" s="84" customFormat="1" ht="15" x14ac:dyDescent="0.35">
      <c r="A830" s="80"/>
      <c r="B830" s="81"/>
      <c r="C830" s="82"/>
      <c r="D830" s="82"/>
      <c r="E830" s="82"/>
      <c r="F830" s="82"/>
      <c r="G830" s="83"/>
      <c r="H830" s="82"/>
      <c r="I830" s="82"/>
      <c r="J830" s="82"/>
      <c r="K830" s="82"/>
      <c r="L830" s="76"/>
      <c r="M830" s="82"/>
      <c r="N830" s="82"/>
      <c r="O830" s="82"/>
      <c r="P830" s="82"/>
      <c r="Q830" s="82"/>
      <c r="R830" s="82"/>
      <c r="S830" s="82"/>
      <c r="T830" s="82"/>
      <c r="U830" s="82"/>
      <c r="V830" s="82"/>
      <c r="W830" s="82"/>
      <c r="X830" s="82"/>
      <c r="Y830" s="76"/>
      <c r="Z830" s="82"/>
      <c r="AA830" s="82"/>
      <c r="AB830" s="82"/>
      <c r="AC830" s="82"/>
      <c r="AD830" s="82"/>
      <c r="AE830" s="82"/>
      <c r="AF830" s="82"/>
      <c r="AG830" s="82"/>
      <c r="AH830" s="82"/>
      <c r="AI830" s="82"/>
      <c r="AJ830" s="82"/>
      <c r="AK830" s="82"/>
      <c r="AL830" s="76"/>
      <c r="AM830" s="82"/>
      <c r="AN830" s="82"/>
      <c r="AO830" s="82"/>
      <c r="AP830" s="82"/>
      <c r="AQ830" s="82"/>
    </row>
    <row r="831" spans="1:43" ht="15" x14ac:dyDescent="0.35">
      <c r="A831" s="85"/>
      <c r="B831" s="86"/>
      <c r="C831" s="87"/>
      <c r="D831" s="87"/>
      <c r="E831" s="87"/>
      <c r="F831" s="87"/>
      <c r="G831" s="88"/>
      <c r="H831" s="87"/>
      <c r="I831" s="87"/>
      <c r="J831" s="87"/>
      <c r="K831" s="8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M831" s="17"/>
      <c r="AN831" s="17"/>
      <c r="AO831" s="17"/>
      <c r="AP831" s="17"/>
      <c r="AQ831" s="17"/>
    </row>
    <row r="832" spans="1:43" s="84" customFormat="1" ht="15" x14ac:dyDescent="0.35">
      <c r="A832" s="80"/>
      <c r="B832" s="81"/>
      <c r="C832" s="82"/>
      <c r="D832" s="82"/>
      <c r="E832" s="82"/>
      <c r="F832" s="82"/>
      <c r="G832" s="83"/>
      <c r="H832" s="82"/>
      <c r="I832" s="82"/>
      <c r="J832" s="82"/>
      <c r="K832" s="82"/>
      <c r="L832" s="76"/>
      <c r="M832" s="82"/>
      <c r="N832" s="82"/>
      <c r="O832" s="82"/>
      <c r="P832" s="82"/>
      <c r="Q832" s="82"/>
      <c r="R832" s="82"/>
      <c r="S832" s="82"/>
      <c r="T832" s="82"/>
      <c r="U832" s="82"/>
      <c r="V832" s="82"/>
      <c r="W832" s="82"/>
      <c r="X832" s="82"/>
      <c r="Y832" s="76"/>
      <c r="Z832" s="82"/>
      <c r="AA832" s="82"/>
      <c r="AB832" s="82"/>
      <c r="AC832" s="82"/>
      <c r="AD832" s="82"/>
      <c r="AE832" s="82"/>
      <c r="AF832" s="82"/>
      <c r="AG832" s="82"/>
      <c r="AH832" s="82"/>
      <c r="AI832" s="82"/>
      <c r="AJ832" s="82"/>
      <c r="AK832" s="82"/>
      <c r="AL832" s="76"/>
      <c r="AM832" s="82"/>
      <c r="AN832" s="82"/>
      <c r="AO832" s="82"/>
      <c r="AP832" s="82"/>
      <c r="AQ832" s="82"/>
    </row>
    <row r="833" spans="1:43" ht="15" x14ac:dyDescent="0.35">
      <c r="A833" s="85"/>
      <c r="B833" s="86"/>
      <c r="C833" s="87"/>
      <c r="D833" s="87"/>
      <c r="E833" s="87"/>
      <c r="F833" s="87"/>
      <c r="G833" s="88"/>
      <c r="H833" s="87"/>
      <c r="I833" s="87"/>
      <c r="J833" s="87"/>
      <c r="K833" s="8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M833" s="17"/>
      <c r="AN833" s="17"/>
      <c r="AO833" s="17"/>
      <c r="AP833" s="17"/>
      <c r="AQ833" s="17"/>
    </row>
    <row r="834" spans="1:43" s="84" customFormat="1" ht="15" x14ac:dyDescent="0.35">
      <c r="A834" s="80"/>
      <c r="B834" s="81"/>
      <c r="C834" s="82"/>
      <c r="D834" s="82"/>
      <c r="E834" s="82"/>
      <c r="F834" s="82"/>
      <c r="G834" s="83"/>
      <c r="H834" s="82"/>
      <c r="I834" s="82"/>
      <c r="J834" s="82"/>
      <c r="K834" s="82"/>
      <c r="L834" s="76"/>
      <c r="M834" s="82"/>
      <c r="N834" s="82"/>
      <c r="O834" s="82"/>
      <c r="P834" s="82"/>
      <c r="Q834" s="82"/>
      <c r="R834" s="82"/>
      <c r="S834" s="82"/>
      <c r="T834" s="82"/>
      <c r="U834" s="82"/>
      <c r="V834" s="82"/>
      <c r="W834" s="82"/>
      <c r="X834" s="82"/>
      <c r="Y834" s="76"/>
      <c r="Z834" s="82"/>
      <c r="AA834" s="82"/>
      <c r="AB834" s="82"/>
      <c r="AC834" s="82"/>
      <c r="AD834" s="82"/>
      <c r="AE834" s="82"/>
      <c r="AF834" s="82"/>
      <c r="AG834" s="82"/>
      <c r="AH834" s="82"/>
      <c r="AI834" s="82"/>
      <c r="AJ834" s="82"/>
      <c r="AK834" s="82"/>
      <c r="AL834" s="76"/>
      <c r="AM834" s="82"/>
      <c r="AN834" s="82"/>
      <c r="AO834" s="82"/>
      <c r="AP834" s="82"/>
      <c r="AQ834" s="82"/>
    </row>
    <row r="835" spans="1:43" ht="15" x14ac:dyDescent="0.35">
      <c r="A835" s="85"/>
      <c r="B835" s="86"/>
      <c r="C835" s="87"/>
      <c r="D835" s="87"/>
      <c r="E835" s="87"/>
      <c r="F835" s="87"/>
      <c r="G835" s="88"/>
      <c r="H835" s="87"/>
      <c r="I835" s="87"/>
      <c r="J835" s="87"/>
      <c r="K835" s="8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M835" s="17"/>
      <c r="AN835" s="17"/>
      <c r="AO835" s="17"/>
      <c r="AP835" s="17"/>
      <c r="AQ835" s="17"/>
    </row>
    <row r="836" spans="1:43" s="84" customFormat="1" ht="15" x14ac:dyDescent="0.35">
      <c r="A836" s="80"/>
      <c r="B836" s="81"/>
      <c r="C836" s="82"/>
      <c r="D836" s="82"/>
      <c r="E836" s="82"/>
      <c r="F836" s="82"/>
      <c r="G836" s="83"/>
      <c r="H836" s="82"/>
      <c r="I836" s="82"/>
      <c r="J836" s="82"/>
      <c r="K836" s="82"/>
      <c r="L836" s="76"/>
      <c r="M836" s="82"/>
      <c r="N836" s="82"/>
      <c r="O836" s="82"/>
      <c r="P836" s="82"/>
      <c r="Q836" s="82"/>
      <c r="R836" s="82"/>
      <c r="S836" s="82"/>
      <c r="T836" s="82"/>
      <c r="U836" s="82"/>
      <c r="V836" s="82"/>
      <c r="W836" s="82"/>
      <c r="X836" s="82"/>
      <c r="Y836" s="76"/>
      <c r="Z836" s="82"/>
      <c r="AA836" s="82"/>
      <c r="AB836" s="82"/>
      <c r="AC836" s="82"/>
      <c r="AD836" s="82"/>
      <c r="AE836" s="82"/>
      <c r="AF836" s="82"/>
      <c r="AG836" s="82"/>
      <c r="AH836" s="82"/>
      <c r="AI836" s="82"/>
      <c r="AJ836" s="82"/>
      <c r="AK836" s="82"/>
      <c r="AL836" s="76"/>
      <c r="AM836" s="82"/>
      <c r="AN836" s="82"/>
      <c r="AO836" s="82"/>
      <c r="AP836" s="82"/>
      <c r="AQ836" s="82"/>
    </row>
    <row r="837" spans="1:43" ht="15" x14ac:dyDescent="0.35">
      <c r="A837" s="85"/>
      <c r="B837" s="86"/>
      <c r="C837" s="87"/>
      <c r="D837" s="87"/>
      <c r="E837" s="87"/>
      <c r="F837" s="87"/>
      <c r="G837" s="88"/>
      <c r="H837" s="87"/>
      <c r="I837" s="87"/>
      <c r="J837" s="87"/>
      <c r="K837" s="8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M837" s="17"/>
      <c r="AN837" s="17"/>
      <c r="AO837" s="17"/>
      <c r="AP837" s="17"/>
      <c r="AQ837" s="17"/>
    </row>
    <row r="838" spans="1:43" s="84" customFormat="1" ht="15" x14ac:dyDescent="0.35">
      <c r="A838" s="80"/>
      <c r="B838" s="81"/>
      <c r="C838" s="82"/>
      <c r="D838" s="82"/>
      <c r="E838" s="82"/>
      <c r="F838" s="82"/>
      <c r="G838" s="83"/>
      <c r="H838" s="82"/>
      <c r="I838" s="82"/>
      <c r="J838" s="82"/>
      <c r="K838" s="82"/>
      <c r="L838" s="76"/>
      <c r="M838" s="82"/>
      <c r="N838" s="82"/>
      <c r="O838" s="82"/>
      <c r="P838" s="82"/>
      <c r="Q838" s="82"/>
      <c r="R838" s="82"/>
      <c r="S838" s="82"/>
      <c r="T838" s="82"/>
      <c r="U838" s="82"/>
      <c r="V838" s="82"/>
      <c r="W838" s="82"/>
      <c r="X838" s="82"/>
      <c r="Y838" s="76"/>
      <c r="Z838" s="82"/>
      <c r="AA838" s="82"/>
      <c r="AB838" s="82"/>
      <c r="AC838" s="82"/>
      <c r="AD838" s="82"/>
      <c r="AE838" s="82"/>
      <c r="AF838" s="82"/>
      <c r="AG838" s="82"/>
      <c r="AH838" s="82"/>
      <c r="AI838" s="82"/>
      <c r="AJ838" s="82"/>
      <c r="AK838" s="82"/>
      <c r="AL838" s="76"/>
      <c r="AM838" s="82"/>
      <c r="AN838" s="82"/>
      <c r="AO838" s="82"/>
      <c r="AP838" s="82"/>
      <c r="AQ838" s="82"/>
    </row>
    <row r="839" spans="1:43" ht="15" x14ac:dyDescent="0.35">
      <c r="A839" s="85"/>
      <c r="B839" s="86"/>
      <c r="C839" s="87"/>
      <c r="D839" s="87"/>
      <c r="E839" s="87"/>
      <c r="F839" s="87"/>
      <c r="G839" s="88"/>
      <c r="H839" s="87"/>
      <c r="I839" s="87"/>
      <c r="J839" s="87"/>
      <c r="K839" s="8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M839" s="17"/>
      <c r="AN839" s="17"/>
      <c r="AO839" s="17"/>
      <c r="AP839" s="17"/>
      <c r="AQ839" s="17"/>
    </row>
    <row r="840" spans="1:43" s="84" customFormat="1" ht="15" x14ac:dyDescent="0.35">
      <c r="A840" s="80"/>
      <c r="B840" s="81"/>
      <c r="C840" s="82"/>
      <c r="D840" s="82"/>
      <c r="E840" s="82"/>
      <c r="F840" s="82"/>
      <c r="G840" s="83"/>
      <c r="H840" s="82"/>
      <c r="I840" s="82"/>
      <c r="J840" s="82"/>
      <c r="K840" s="82"/>
      <c r="L840" s="76"/>
      <c r="M840" s="82"/>
      <c r="N840" s="82"/>
      <c r="O840" s="82"/>
      <c r="P840" s="82"/>
      <c r="Q840" s="82"/>
      <c r="R840" s="82"/>
      <c r="S840" s="82"/>
      <c r="T840" s="82"/>
      <c r="U840" s="82"/>
      <c r="V840" s="82"/>
      <c r="W840" s="82"/>
      <c r="X840" s="82"/>
      <c r="Y840" s="76"/>
      <c r="Z840" s="82"/>
      <c r="AA840" s="82"/>
      <c r="AB840" s="82"/>
      <c r="AC840" s="82"/>
      <c r="AD840" s="82"/>
      <c r="AE840" s="82"/>
      <c r="AF840" s="82"/>
      <c r="AG840" s="82"/>
      <c r="AH840" s="82"/>
      <c r="AI840" s="82"/>
      <c r="AJ840" s="82"/>
      <c r="AK840" s="82"/>
      <c r="AL840" s="76"/>
      <c r="AM840" s="82"/>
      <c r="AN840" s="82"/>
      <c r="AO840" s="82"/>
      <c r="AP840" s="82"/>
      <c r="AQ840" s="82"/>
    </row>
    <row r="841" spans="1:43" ht="15" x14ac:dyDescent="0.35">
      <c r="A841" s="85"/>
      <c r="B841" s="86"/>
      <c r="C841" s="87"/>
      <c r="D841" s="87"/>
      <c r="E841" s="87"/>
      <c r="F841" s="87"/>
      <c r="G841" s="88"/>
      <c r="H841" s="87"/>
      <c r="I841" s="87"/>
      <c r="J841" s="87"/>
      <c r="K841" s="8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M841" s="17"/>
      <c r="AN841" s="17"/>
      <c r="AO841" s="17"/>
      <c r="AP841" s="17"/>
      <c r="AQ841" s="17"/>
    </row>
    <row r="842" spans="1:43" s="84" customFormat="1" ht="15" x14ac:dyDescent="0.35">
      <c r="A842" s="80"/>
      <c r="B842" s="81"/>
      <c r="C842" s="82"/>
      <c r="D842" s="82"/>
      <c r="E842" s="82"/>
      <c r="F842" s="82"/>
      <c r="G842" s="83"/>
      <c r="H842" s="82"/>
      <c r="I842" s="82"/>
      <c r="J842" s="82"/>
      <c r="K842" s="82"/>
      <c r="L842" s="76"/>
      <c r="M842" s="82"/>
      <c r="N842" s="82"/>
      <c r="O842" s="82"/>
      <c r="P842" s="82"/>
      <c r="Q842" s="82"/>
      <c r="R842" s="82"/>
      <c r="S842" s="82"/>
      <c r="T842" s="82"/>
      <c r="U842" s="82"/>
      <c r="V842" s="82"/>
      <c r="W842" s="82"/>
      <c r="X842" s="82"/>
      <c r="Y842" s="76"/>
      <c r="Z842" s="82"/>
      <c r="AA842" s="82"/>
      <c r="AB842" s="82"/>
      <c r="AC842" s="82"/>
      <c r="AD842" s="82"/>
      <c r="AE842" s="82"/>
      <c r="AF842" s="82"/>
      <c r="AG842" s="82"/>
      <c r="AH842" s="82"/>
      <c r="AI842" s="82"/>
      <c r="AJ842" s="82"/>
      <c r="AK842" s="82"/>
      <c r="AL842" s="76"/>
      <c r="AM842" s="82"/>
      <c r="AN842" s="82"/>
      <c r="AO842" s="82"/>
      <c r="AP842" s="82"/>
      <c r="AQ842" s="82"/>
    </row>
    <row r="843" spans="1:43" ht="15" x14ac:dyDescent="0.35">
      <c r="A843" s="85"/>
      <c r="B843" s="86"/>
      <c r="C843" s="87"/>
      <c r="D843" s="87"/>
      <c r="E843" s="87"/>
      <c r="F843" s="87"/>
      <c r="G843" s="88"/>
      <c r="H843" s="87"/>
      <c r="I843" s="87"/>
      <c r="J843" s="87"/>
      <c r="K843" s="8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M843" s="17"/>
      <c r="AN843" s="17"/>
      <c r="AO843" s="17"/>
      <c r="AP843" s="17"/>
      <c r="AQ843" s="17"/>
    </row>
    <row r="844" spans="1:43" s="84" customFormat="1" ht="15" x14ac:dyDescent="0.35">
      <c r="A844" s="80"/>
      <c r="B844" s="81"/>
      <c r="C844" s="82"/>
      <c r="D844" s="82"/>
      <c r="E844" s="82"/>
      <c r="F844" s="82"/>
      <c r="G844" s="83"/>
      <c r="H844" s="82"/>
      <c r="I844" s="82"/>
      <c r="J844" s="82"/>
      <c r="K844" s="82"/>
      <c r="L844" s="76"/>
      <c r="M844" s="82"/>
      <c r="N844" s="82"/>
      <c r="O844" s="82"/>
      <c r="P844" s="82"/>
      <c r="Q844" s="82"/>
      <c r="R844" s="82"/>
      <c r="S844" s="82"/>
      <c r="T844" s="82"/>
      <c r="U844" s="82"/>
      <c r="V844" s="82"/>
      <c r="W844" s="82"/>
      <c r="X844" s="82"/>
      <c r="Y844" s="76"/>
      <c r="Z844" s="82"/>
      <c r="AA844" s="82"/>
      <c r="AB844" s="82"/>
      <c r="AC844" s="82"/>
      <c r="AD844" s="82"/>
      <c r="AE844" s="82"/>
      <c r="AF844" s="82"/>
      <c r="AG844" s="82"/>
      <c r="AH844" s="82"/>
      <c r="AI844" s="82"/>
      <c r="AJ844" s="82"/>
      <c r="AK844" s="82"/>
      <c r="AL844" s="76"/>
      <c r="AM844" s="82"/>
      <c r="AN844" s="82"/>
      <c r="AO844" s="82"/>
      <c r="AP844" s="82"/>
      <c r="AQ844" s="82"/>
    </row>
    <row r="845" spans="1:43" ht="15" x14ac:dyDescent="0.35">
      <c r="A845" s="85"/>
      <c r="B845" s="86"/>
      <c r="C845" s="87"/>
      <c r="D845" s="87"/>
      <c r="E845" s="87"/>
      <c r="F845" s="87"/>
      <c r="G845" s="88"/>
      <c r="H845" s="87"/>
      <c r="I845" s="87"/>
      <c r="J845" s="87"/>
      <c r="K845" s="8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M845" s="17"/>
      <c r="AN845" s="17"/>
      <c r="AO845" s="17"/>
      <c r="AP845" s="17"/>
      <c r="AQ845" s="17"/>
    </row>
    <row r="846" spans="1:43" s="84" customFormat="1" ht="15" x14ac:dyDescent="0.35">
      <c r="A846" s="80"/>
      <c r="B846" s="81"/>
      <c r="C846" s="82"/>
      <c r="D846" s="82"/>
      <c r="E846" s="82"/>
      <c r="F846" s="82"/>
      <c r="G846" s="83"/>
      <c r="H846" s="82"/>
      <c r="I846" s="82"/>
      <c r="J846" s="82"/>
      <c r="K846" s="82"/>
      <c r="L846" s="76"/>
      <c r="M846" s="82"/>
      <c r="N846" s="82"/>
      <c r="O846" s="82"/>
      <c r="P846" s="82"/>
      <c r="Q846" s="82"/>
      <c r="R846" s="82"/>
      <c r="S846" s="82"/>
      <c r="T846" s="82"/>
      <c r="U846" s="82"/>
      <c r="V846" s="82"/>
      <c r="W846" s="82"/>
      <c r="X846" s="82"/>
      <c r="Y846" s="76"/>
      <c r="Z846" s="82"/>
      <c r="AA846" s="82"/>
      <c r="AB846" s="82"/>
      <c r="AC846" s="82"/>
      <c r="AD846" s="82"/>
      <c r="AE846" s="82"/>
      <c r="AF846" s="82"/>
      <c r="AG846" s="82"/>
      <c r="AH846" s="82"/>
      <c r="AI846" s="82"/>
      <c r="AJ846" s="82"/>
      <c r="AK846" s="82"/>
      <c r="AL846" s="76"/>
      <c r="AM846" s="82"/>
      <c r="AN846" s="82"/>
      <c r="AO846" s="82"/>
      <c r="AP846" s="82"/>
      <c r="AQ846" s="82"/>
    </row>
    <row r="847" spans="1:43" ht="15" x14ac:dyDescent="0.35">
      <c r="A847" s="85"/>
      <c r="B847" s="86"/>
      <c r="C847" s="87"/>
      <c r="D847" s="87"/>
      <c r="E847" s="87"/>
      <c r="F847" s="87"/>
      <c r="G847" s="88"/>
      <c r="H847" s="87"/>
      <c r="I847" s="87"/>
      <c r="J847" s="87"/>
      <c r="K847" s="8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M847" s="17"/>
      <c r="AN847" s="17"/>
      <c r="AO847" s="17"/>
      <c r="AP847" s="17"/>
      <c r="AQ847" s="17"/>
    </row>
    <row r="848" spans="1:43" s="84" customFormat="1" ht="15" x14ac:dyDescent="0.35">
      <c r="A848" s="80"/>
      <c r="B848" s="81"/>
      <c r="C848" s="82"/>
      <c r="D848" s="82"/>
      <c r="E848" s="82"/>
      <c r="F848" s="82"/>
      <c r="G848" s="83"/>
      <c r="H848" s="82"/>
      <c r="I848" s="82"/>
      <c r="J848" s="82"/>
      <c r="K848" s="82"/>
      <c r="L848" s="76"/>
      <c r="M848" s="82"/>
      <c r="N848" s="82"/>
      <c r="O848" s="82"/>
      <c r="P848" s="82"/>
      <c r="Q848" s="82"/>
      <c r="R848" s="82"/>
      <c r="S848" s="82"/>
      <c r="T848" s="82"/>
      <c r="U848" s="82"/>
      <c r="V848" s="82"/>
      <c r="W848" s="82"/>
      <c r="X848" s="82"/>
      <c r="Y848" s="76"/>
      <c r="Z848" s="82"/>
      <c r="AA848" s="82"/>
      <c r="AB848" s="82"/>
      <c r="AC848" s="82"/>
      <c r="AD848" s="82"/>
      <c r="AE848" s="82"/>
      <c r="AF848" s="82"/>
      <c r="AG848" s="82"/>
      <c r="AH848" s="82"/>
      <c r="AI848" s="82"/>
      <c r="AJ848" s="82"/>
      <c r="AK848" s="82"/>
      <c r="AL848" s="76"/>
      <c r="AM848" s="82"/>
      <c r="AN848" s="82"/>
      <c r="AO848" s="82"/>
      <c r="AP848" s="82"/>
      <c r="AQ848" s="82"/>
    </row>
    <row r="849" spans="1:43" ht="15" x14ac:dyDescent="0.35">
      <c r="A849" s="85"/>
      <c r="B849" s="86"/>
      <c r="C849" s="87"/>
      <c r="D849" s="87"/>
      <c r="E849" s="87"/>
      <c r="F849" s="87"/>
      <c r="G849" s="88"/>
      <c r="H849" s="87"/>
      <c r="I849" s="87"/>
      <c r="J849" s="87"/>
      <c r="K849" s="8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M849" s="17"/>
      <c r="AN849" s="17"/>
      <c r="AO849" s="17"/>
      <c r="AP849" s="17"/>
      <c r="AQ849" s="17"/>
    </row>
    <row r="850" spans="1:43" s="84" customFormat="1" ht="15" x14ac:dyDescent="0.35">
      <c r="A850" s="80"/>
      <c r="B850" s="81"/>
      <c r="C850" s="82"/>
      <c r="D850" s="82"/>
      <c r="E850" s="82"/>
      <c r="F850" s="82"/>
      <c r="G850" s="83"/>
      <c r="H850" s="82"/>
      <c r="I850" s="82"/>
      <c r="J850" s="82"/>
      <c r="K850" s="82"/>
      <c r="L850" s="76"/>
      <c r="M850" s="82"/>
      <c r="N850" s="82"/>
      <c r="O850" s="82"/>
      <c r="P850" s="82"/>
      <c r="Q850" s="82"/>
      <c r="R850" s="82"/>
      <c r="S850" s="82"/>
      <c r="T850" s="82"/>
      <c r="U850" s="82"/>
      <c r="V850" s="82"/>
      <c r="W850" s="82"/>
      <c r="X850" s="82"/>
      <c r="Y850" s="76"/>
      <c r="Z850" s="82"/>
      <c r="AA850" s="82"/>
      <c r="AB850" s="82"/>
      <c r="AC850" s="82"/>
      <c r="AD850" s="82"/>
      <c r="AE850" s="82"/>
      <c r="AF850" s="82"/>
      <c r="AG850" s="82"/>
      <c r="AH850" s="82"/>
      <c r="AI850" s="82"/>
      <c r="AJ850" s="82"/>
      <c r="AK850" s="82"/>
      <c r="AL850" s="76"/>
      <c r="AM850" s="82"/>
      <c r="AN850" s="82"/>
      <c r="AO850" s="82"/>
      <c r="AP850" s="82"/>
      <c r="AQ850" s="82"/>
    </row>
    <row r="851" spans="1:43" ht="15" x14ac:dyDescent="0.35">
      <c r="A851" s="85"/>
      <c r="B851" s="86"/>
      <c r="C851" s="87"/>
      <c r="D851" s="87"/>
      <c r="E851" s="87"/>
      <c r="F851" s="87"/>
      <c r="G851" s="88"/>
      <c r="H851" s="87"/>
      <c r="I851" s="87"/>
      <c r="J851" s="87"/>
      <c r="K851" s="8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M851" s="17"/>
      <c r="AN851" s="17"/>
      <c r="AO851" s="17"/>
      <c r="AP851" s="17"/>
      <c r="AQ851" s="17"/>
    </row>
    <row r="852" spans="1:43" s="84" customFormat="1" ht="15" x14ac:dyDescent="0.35">
      <c r="A852" s="80"/>
      <c r="B852" s="81"/>
      <c r="C852" s="82"/>
      <c r="D852" s="82"/>
      <c r="E852" s="82"/>
      <c r="F852" s="82"/>
      <c r="G852" s="83"/>
      <c r="H852" s="82"/>
      <c r="I852" s="82"/>
      <c r="J852" s="82"/>
      <c r="K852" s="82"/>
      <c r="L852" s="76"/>
      <c r="M852" s="82"/>
      <c r="N852" s="82"/>
      <c r="O852" s="82"/>
      <c r="P852" s="82"/>
      <c r="Q852" s="82"/>
      <c r="R852" s="82"/>
      <c r="S852" s="82"/>
      <c r="T852" s="82"/>
      <c r="U852" s="82"/>
      <c r="V852" s="82"/>
      <c r="W852" s="82"/>
      <c r="X852" s="82"/>
      <c r="Y852" s="76"/>
      <c r="Z852" s="82"/>
      <c r="AA852" s="82"/>
      <c r="AB852" s="82"/>
      <c r="AC852" s="82"/>
      <c r="AD852" s="82"/>
      <c r="AE852" s="82"/>
      <c r="AF852" s="82"/>
      <c r="AG852" s="82"/>
      <c r="AH852" s="82"/>
      <c r="AI852" s="82"/>
      <c r="AJ852" s="82"/>
      <c r="AK852" s="82"/>
      <c r="AL852" s="76"/>
      <c r="AM852" s="82"/>
      <c r="AN852" s="82"/>
      <c r="AO852" s="82"/>
      <c r="AP852" s="82"/>
      <c r="AQ852" s="82"/>
    </row>
    <row r="853" spans="1:43" ht="15" x14ac:dyDescent="0.35">
      <c r="A853" s="85"/>
      <c r="B853" s="86"/>
      <c r="C853" s="87"/>
      <c r="D853" s="87"/>
      <c r="E853" s="87"/>
      <c r="F853" s="87"/>
      <c r="G853" s="88"/>
      <c r="H853" s="87"/>
      <c r="I853" s="87"/>
      <c r="J853" s="87"/>
      <c r="K853" s="8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M853" s="17"/>
      <c r="AN853" s="17"/>
      <c r="AO853" s="17"/>
      <c r="AP853" s="17"/>
      <c r="AQ853" s="17"/>
    </row>
    <row r="854" spans="1:43" s="84" customFormat="1" ht="15" x14ac:dyDescent="0.35">
      <c r="A854" s="80"/>
      <c r="B854" s="81"/>
      <c r="C854" s="82"/>
      <c r="D854" s="82"/>
      <c r="E854" s="82"/>
      <c r="F854" s="82"/>
      <c r="G854" s="83"/>
      <c r="H854" s="82"/>
      <c r="I854" s="82"/>
      <c r="J854" s="82"/>
      <c r="K854" s="82"/>
      <c r="L854" s="76"/>
      <c r="M854" s="82"/>
      <c r="N854" s="82"/>
      <c r="O854" s="82"/>
      <c r="P854" s="82"/>
      <c r="Q854" s="82"/>
      <c r="R854" s="82"/>
      <c r="S854" s="82"/>
      <c r="T854" s="82"/>
      <c r="U854" s="82"/>
      <c r="V854" s="82"/>
      <c r="W854" s="82"/>
      <c r="X854" s="82"/>
      <c r="Y854" s="76"/>
      <c r="Z854" s="82"/>
      <c r="AA854" s="82"/>
      <c r="AB854" s="82"/>
      <c r="AC854" s="82"/>
      <c r="AD854" s="82"/>
      <c r="AE854" s="82"/>
      <c r="AF854" s="82"/>
      <c r="AG854" s="82"/>
      <c r="AH854" s="82"/>
      <c r="AI854" s="82"/>
      <c r="AJ854" s="82"/>
      <c r="AK854" s="82"/>
      <c r="AL854" s="76"/>
      <c r="AM854" s="82"/>
      <c r="AN854" s="82"/>
      <c r="AO854" s="82"/>
      <c r="AP854" s="82"/>
      <c r="AQ854" s="82"/>
    </row>
    <row r="855" spans="1:43" ht="15" x14ac:dyDescent="0.35">
      <c r="A855" s="85"/>
      <c r="B855" s="86"/>
      <c r="C855" s="87"/>
      <c r="D855" s="87"/>
      <c r="E855" s="87"/>
      <c r="F855" s="87"/>
      <c r="G855" s="88"/>
      <c r="H855" s="87"/>
      <c r="I855" s="87"/>
      <c r="J855" s="87"/>
      <c r="K855" s="8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M855" s="17"/>
      <c r="AN855" s="17"/>
      <c r="AO855" s="17"/>
      <c r="AP855" s="17"/>
      <c r="AQ855" s="17"/>
    </row>
    <row r="856" spans="1:43" s="84" customFormat="1" ht="15" x14ac:dyDescent="0.35">
      <c r="A856" s="80"/>
      <c r="B856" s="81"/>
      <c r="C856" s="82"/>
      <c r="D856" s="82"/>
      <c r="E856" s="82"/>
      <c r="F856" s="82"/>
      <c r="G856" s="83"/>
      <c r="H856" s="82"/>
      <c r="I856" s="82"/>
      <c r="J856" s="82"/>
      <c r="K856" s="82"/>
      <c r="L856" s="76"/>
      <c r="M856" s="82"/>
      <c r="N856" s="82"/>
      <c r="O856" s="82"/>
      <c r="P856" s="82"/>
      <c r="Q856" s="82"/>
      <c r="R856" s="82"/>
      <c r="S856" s="82"/>
      <c r="T856" s="82"/>
      <c r="U856" s="82"/>
      <c r="V856" s="82"/>
      <c r="W856" s="82"/>
      <c r="X856" s="82"/>
      <c r="Y856" s="76"/>
      <c r="Z856" s="82"/>
      <c r="AA856" s="82"/>
      <c r="AB856" s="82"/>
      <c r="AC856" s="82"/>
      <c r="AD856" s="82"/>
      <c r="AE856" s="82"/>
      <c r="AF856" s="82"/>
      <c r="AG856" s="82"/>
      <c r="AH856" s="82"/>
      <c r="AI856" s="82"/>
      <c r="AJ856" s="82"/>
      <c r="AK856" s="82"/>
      <c r="AL856" s="76"/>
      <c r="AM856" s="82"/>
      <c r="AN856" s="82"/>
      <c r="AO856" s="82"/>
      <c r="AP856" s="82"/>
      <c r="AQ856" s="82"/>
    </row>
    <row r="857" spans="1:43" ht="15" x14ac:dyDescent="0.35">
      <c r="A857" s="85"/>
      <c r="B857" s="86"/>
      <c r="C857" s="87"/>
      <c r="D857" s="87"/>
      <c r="E857" s="87"/>
      <c r="F857" s="87"/>
      <c r="G857" s="88"/>
      <c r="H857" s="87"/>
      <c r="I857" s="87"/>
      <c r="J857" s="87"/>
      <c r="K857" s="8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M857" s="17"/>
      <c r="AN857" s="17"/>
      <c r="AO857" s="17"/>
      <c r="AP857" s="17"/>
      <c r="AQ857" s="17"/>
    </row>
    <row r="858" spans="1:43" s="84" customFormat="1" ht="15" x14ac:dyDescent="0.35">
      <c r="A858" s="80"/>
      <c r="B858" s="81"/>
      <c r="C858" s="82"/>
      <c r="D858" s="82"/>
      <c r="E858" s="82"/>
      <c r="F858" s="82"/>
      <c r="G858" s="83"/>
      <c r="H858" s="82"/>
      <c r="I858" s="82"/>
      <c r="J858" s="82"/>
      <c r="K858" s="82"/>
      <c r="L858" s="76"/>
      <c r="M858" s="82"/>
      <c r="N858" s="82"/>
      <c r="O858" s="82"/>
      <c r="P858" s="82"/>
      <c r="Q858" s="82"/>
      <c r="R858" s="82"/>
      <c r="S858" s="82"/>
      <c r="T858" s="82"/>
      <c r="U858" s="82"/>
      <c r="V858" s="82"/>
      <c r="W858" s="82"/>
      <c r="X858" s="82"/>
      <c r="Y858" s="76"/>
      <c r="Z858" s="82"/>
      <c r="AA858" s="82"/>
      <c r="AB858" s="82"/>
      <c r="AC858" s="82"/>
      <c r="AD858" s="82"/>
      <c r="AE858" s="82"/>
      <c r="AF858" s="82"/>
      <c r="AG858" s="82"/>
      <c r="AH858" s="82"/>
      <c r="AI858" s="82"/>
      <c r="AJ858" s="82"/>
      <c r="AK858" s="82"/>
      <c r="AL858" s="76"/>
      <c r="AM858" s="82"/>
      <c r="AN858" s="82"/>
      <c r="AO858" s="82"/>
      <c r="AP858" s="82"/>
      <c r="AQ858" s="82"/>
    </row>
    <row r="859" spans="1:43" ht="15" x14ac:dyDescent="0.35">
      <c r="A859" s="85"/>
      <c r="B859" s="86"/>
      <c r="C859" s="87"/>
      <c r="D859" s="87"/>
      <c r="E859" s="87"/>
      <c r="F859" s="87"/>
      <c r="G859" s="88"/>
      <c r="H859" s="87"/>
      <c r="I859" s="87"/>
      <c r="J859" s="87"/>
      <c r="K859" s="8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M859" s="17"/>
      <c r="AN859" s="17"/>
      <c r="AO859" s="17"/>
      <c r="AP859" s="17"/>
      <c r="AQ859" s="17"/>
    </row>
    <row r="860" spans="1:43" s="84" customFormat="1" ht="15" x14ac:dyDescent="0.35">
      <c r="A860" s="80"/>
      <c r="B860" s="81"/>
      <c r="C860" s="82"/>
      <c r="D860" s="82"/>
      <c r="E860" s="82"/>
      <c r="F860" s="82"/>
      <c r="G860" s="83"/>
      <c r="H860" s="82"/>
      <c r="I860" s="82"/>
      <c r="J860" s="82"/>
      <c r="K860" s="82"/>
      <c r="L860" s="76"/>
      <c r="M860" s="82"/>
      <c r="N860" s="82"/>
      <c r="O860" s="82"/>
      <c r="P860" s="82"/>
      <c r="Q860" s="82"/>
      <c r="R860" s="82"/>
      <c r="S860" s="82"/>
      <c r="T860" s="82"/>
      <c r="U860" s="82"/>
      <c r="V860" s="82"/>
      <c r="W860" s="82"/>
      <c r="X860" s="82"/>
      <c r="Y860" s="76"/>
      <c r="Z860" s="82"/>
      <c r="AA860" s="82"/>
      <c r="AB860" s="82"/>
      <c r="AC860" s="82"/>
      <c r="AD860" s="82"/>
      <c r="AE860" s="82"/>
      <c r="AF860" s="82"/>
      <c r="AG860" s="82"/>
      <c r="AH860" s="82"/>
      <c r="AI860" s="82"/>
      <c r="AJ860" s="82"/>
      <c r="AK860" s="82"/>
      <c r="AL860" s="76"/>
      <c r="AM860" s="82"/>
      <c r="AN860" s="82"/>
      <c r="AO860" s="82"/>
      <c r="AP860" s="82"/>
      <c r="AQ860" s="82"/>
    </row>
    <row r="861" spans="1:43" ht="15" x14ac:dyDescent="0.35">
      <c r="A861" s="85"/>
      <c r="B861" s="86"/>
      <c r="C861" s="87"/>
      <c r="D861" s="87"/>
      <c r="E861" s="87"/>
      <c r="F861" s="87"/>
      <c r="G861" s="88"/>
      <c r="H861" s="87"/>
      <c r="I861" s="87"/>
      <c r="J861" s="87"/>
      <c r="K861" s="8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M861" s="17"/>
      <c r="AN861" s="17"/>
      <c r="AO861" s="17"/>
      <c r="AP861" s="17"/>
      <c r="AQ861" s="17"/>
    </row>
    <row r="862" spans="1:43" s="84" customFormat="1" ht="15" x14ac:dyDescent="0.35">
      <c r="A862" s="80"/>
      <c r="B862" s="81"/>
      <c r="C862" s="82"/>
      <c r="D862" s="82"/>
      <c r="E862" s="82"/>
      <c r="F862" s="82"/>
      <c r="G862" s="83"/>
      <c r="H862" s="82"/>
      <c r="I862" s="82"/>
      <c r="J862" s="82"/>
      <c r="K862" s="82"/>
      <c r="L862" s="76"/>
      <c r="M862" s="82"/>
      <c r="N862" s="82"/>
      <c r="O862" s="82"/>
      <c r="P862" s="82"/>
      <c r="Q862" s="82"/>
      <c r="R862" s="82"/>
      <c r="S862" s="82"/>
      <c r="T862" s="82"/>
      <c r="U862" s="82"/>
      <c r="V862" s="82"/>
      <c r="W862" s="82"/>
      <c r="X862" s="82"/>
      <c r="Y862" s="76"/>
      <c r="Z862" s="82"/>
      <c r="AA862" s="82"/>
      <c r="AB862" s="82"/>
      <c r="AC862" s="82"/>
      <c r="AD862" s="82"/>
      <c r="AE862" s="82"/>
      <c r="AF862" s="82"/>
      <c r="AG862" s="82"/>
      <c r="AH862" s="82"/>
      <c r="AI862" s="82"/>
      <c r="AJ862" s="82"/>
      <c r="AK862" s="82"/>
      <c r="AL862" s="76"/>
      <c r="AM862" s="82"/>
      <c r="AN862" s="82"/>
      <c r="AO862" s="82"/>
      <c r="AP862" s="82"/>
      <c r="AQ862" s="82"/>
    </row>
    <row r="863" spans="1:43" ht="15" x14ac:dyDescent="0.35">
      <c r="A863" s="85"/>
      <c r="B863" s="86"/>
      <c r="C863" s="87"/>
      <c r="D863" s="87"/>
      <c r="E863" s="87"/>
      <c r="F863" s="87"/>
      <c r="G863" s="88"/>
      <c r="H863" s="87"/>
      <c r="I863" s="87"/>
      <c r="J863" s="87"/>
      <c r="K863" s="8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M863" s="17"/>
      <c r="AN863" s="17"/>
      <c r="AO863" s="17"/>
      <c r="AP863" s="17"/>
      <c r="AQ863" s="17"/>
    </row>
    <row r="864" spans="1:43" s="84" customFormat="1" ht="15" x14ac:dyDescent="0.35">
      <c r="A864" s="80"/>
      <c r="B864" s="81"/>
      <c r="C864" s="82"/>
      <c r="D864" s="82"/>
      <c r="E864" s="82"/>
      <c r="F864" s="82"/>
      <c r="G864" s="83"/>
      <c r="H864" s="82"/>
      <c r="I864" s="82"/>
      <c r="J864" s="82"/>
      <c r="K864" s="82"/>
      <c r="L864" s="76"/>
      <c r="M864" s="82"/>
      <c r="N864" s="82"/>
      <c r="O864" s="82"/>
      <c r="P864" s="82"/>
      <c r="Q864" s="82"/>
      <c r="R864" s="82"/>
      <c r="S864" s="82"/>
      <c r="T864" s="82"/>
      <c r="U864" s="82"/>
      <c r="V864" s="82"/>
      <c r="W864" s="82"/>
      <c r="X864" s="82"/>
      <c r="Y864" s="76"/>
      <c r="Z864" s="82"/>
      <c r="AA864" s="82"/>
      <c r="AB864" s="82"/>
      <c r="AC864" s="82"/>
      <c r="AD864" s="82"/>
      <c r="AE864" s="82"/>
      <c r="AF864" s="82"/>
      <c r="AG864" s="82"/>
      <c r="AH864" s="82"/>
      <c r="AI864" s="82"/>
      <c r="AJ864" s="82"/>
      <c r="AK864" s="82"/>
      <c r="AL864" s="76"/>
      <c r="AM864" s="82"/>
      <c r="AN864" s="82"/>
      <c r="AO864" s="82"/>
      <c r="AP864" s="82"/>
      <c r="AQ864" s="82"/>
    </row>
    <row r="865" spans="1:43" ht="15" x14ac:dyDescent="0.35">
      <c r="A865" s="85"/>
      <c r="B865" s="86"/>
      <c r="C865" s="87"/>
      <c r="D865" s="87"/>
      <c r="E865" s="87"/>
      <c r="F865" s="87"/>
      <c r="G865" s="88"/>
      <c r="H865" s="87"/>
      <c r="I865" s="87"/>
      <c r="J865" s="87"/>
      <c r="K865" s="8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M865" s="17"/>
      <c r="AN865" s="17"/>
      <c r="AO865" s="17"/>
      <c r="AP865" s="17"/>
      <c r="AQ865" s="17"/>
    </row>
    <row r="866" spans="1:43" s="84" customFormat="1" ht="15" x14ac:dyDescent="0.35">
      <c r="A866" s="80"/>
      <c r="B866" s="81"/>
      <c r="C866" s="82"/>
      <c r="D866" s="82"/>
      <c r="E866" s="82"/>
      <c r="F866" s="82"/>
      <c r="G866" s="83"/>
      <c r="H866" s="82"/>
      <c r="I866" s="82"/>
      <c r="J866" s="82"/>
      <c r="K866" s="82"/>
      <c r="L866" s="76"/>
      <c r="M866" s="82"/>
      <c r="N866" s="82"/>
      <c r="O866" s="82"/>
      <c r="P866" s="82"/>
      <c r="Q866" s="82"/>
      <c r="R866" s="82"/>
      <c r="S866" s="82"/>
      <c r="T866" s="82"/>
      <c r="U866" s="82"/>
      <c r="V866" s="82"/>
      <c r="W866" s="82"/>
      <c r="X866" s="82"/>
      <c r="Y866" s="76"/>
      <c r="Z866" s="82"/>
      <c r="AA866" s="82"/>
      <c r="AB866" s="82"/>
      <c r="AC866" s="82"/>
      <c r="AD866" s="82"/>
      <c r="AE866" s="82"/>
      <c r="AF866" s="82"/>
      <c r="AG866" s="82"/>
      <c r="AH866" s="82"/>
      <c r="AI866" s="82"/>
      <c r="AJ866" s="82"/>
      <c r="AK866" s="82"/>
      <c r="AL866" s="76"/>
      <c r="AM866" s="82"/>
      <c r="AN866" s="82"/>
      <c r="AO866" s="82"/>
      <c r="AP866" s="82"/>
      <c r="AQ866" s="82"/>
    </row>
    <row r="867" spans="1:43" ht="15" x14ac:dyDescent="0.35">
      <c r="A867" s="85"/>
      <c r="B867" s="86"/>
      <c r="C867" s="87"/>
      <c r="D867" s="87"/>
      <c r="E867" s="87"/>
      <c r="F867" s="87"/>
      <c r="G867" s="88"/>
      <c r="H867" s="87"/>
      <c r="I867" s="87"/>
      <c r="J867" s="87"/>
      <c r="K867" s="8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M867" s="17"/>
      <c r="AN867" s="17"/>
      <c r="AO867" s="17"/>
      <c r="AP867" s="17"/>
      <c r="AQ867" s="17"/>
    </row>
    <row r="868" spans="1:43" s="84" customFormat="1" ht="15" x14ac:dyDescent="0.35">
      <c r="A868" s="80"/>
      <c r="B868" s="81"/>
      <c r="C868" s="82"/>
      <c r="D868" s="82"/>
      <c r="E868" s="82"/>
      <c r="F868" s="82"/>
      <c r="G868" s="83"/>
      <c r="H868" s="82"/>
      <c r="I868" s="82"/>
      <c r="J868" s="82"/>
      <c r="K868" s="82"/>
      <c r="L868" s="76"/>
      <c r="M868" s="82"/>
      <c r="N868" s="82"/>
      <c r="O868" s="82"/>
      <c r="P868" s="82"/>
      <c r="Q868" s="82"/>
      <c r="R868" s="82"/>
      <c r="S868" s="82"/>
      <c r="T868" s="82"/>
      <c r="U868" s="82"/>
      <c r="V868" s="82"/>
      <c r="W868" s="82"/>
      <c r="X868" s="82"/>
      <c r="Y868" s="76"/>
      <c r="Z868" s="82"/>
      <c r="AA868" s="82"/>
      <c r="AB868" s="82"/>
      <c r="AC868" s="82"/>
      <c r="AD868" s="82"/>
      <c r="AE868" s="82"/>
      <c r="AF868" s="82"/>
      <c r="AG868" s="82"/>
      <c r="AH868" s="82"/>
      <c r="AI868" s="82"/>
      <c r="AJ868" s="82"/>
      <c r="AK868" s="82"/>
      <c r="AL868" s="76"/>
      <c r="AM868" s="82"/>
      <c r="AN868" s="82"/>
      <c r="AO868" s="82"/>
      <c r="AP868" s="82"/>
      <c r="AQ868" s="82"/>
    </row>
    <row r="869" spans="1:43" ht="15" x14ac:dyDescent="0.35">
      <c r="A869" s="85"/>
      <c r="B869" s="86"/>
      <c r="C869" s="87"/>
      <c r="D869" s="87"/>
      <c r="E869" s="87"/>
      <c r="F869" s="87"/>
      <c r="G869" s="88"/>
      <c r="H869" s="87"/>
      <c r="I869" s="87"/>
      <c r="J869" s="87"/>
      <c r="K869" s="8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M869" s="17"/>
      <c r="AN869" s="17"/>
      <c r="AO869" s="17"/>
      <c r="AP869" s="17"/>
      <c r="AQ869" s="17"/>
    </row>
    <row r="870" spans="1:43" s="84" customFormat="1" ht="15" x14ac:dyDescent="0.35">
      <c r="A870" s="80"/>
      <c r="B870" s="81"/>
      <c r="C870" s="82"/>
      <c r="D870" s="82"/>
      <c r="E870" s="82"/>
      <c r="F870" s="82"/>
      <c r="G870" s="83"/>
      <c r="H870" s="82"/>
      <c r="I870" s="82"/>
      <c r="J870" s="82"/>
      <c r="K870" s="82"/>
      <c r="L870" s="76"/>
      <c r="M870" s="82"/>
      <c r="N870" s="82"/>
      <c r="O870" s="82"/>
      <c r="P870" s="82"/>
      <c r="Q870" s="82"/>
      <c r="R870" s="82"/>
      <c r="S870" s="82"/>
      <c r="T870" s="82"/>
      <c r="U870" s="82"/>
      <c r="V870" s="82"/>
      <c r="W870" s="82"/>
      <c r="X870" s="82"/>
      <c r="Y870" s="76"/>
      <c r="Z870" s="82"/>
      <c r="AA870" s="82"/>
      <c r="AB870" s="82"/>
      <c r="AC870" s="82"/>
      <c r="AD870" s="82"/>
      <c r="AE870" s="82"/>
      <c r="AF870" s="82"/>
      <c r="AG870" s="82"/>
      <c r="AH870" s="82"/>
      <c r="AI870" s="82"/>
      <c r="AJ870" s="82"/>
      <c r="AK870" s="82"/>
      <c r="AL870" s="76"/>
      <c r="AM870" s="82"/>
      <c r="AN870" s="82"/>
      <c r="AO870" s="82"/>
      <c r="AP870" s="82"/>
      <c r="AQ870" s="82"/>
    </row>
    <row r="871" spans="1:43" ht="15" x14ac:dyDescent="0.35">
      <c r="A871" s="85"/>
      <c r="B871" s="86"/>
      <c r="C871" s="87"/>
      <c r="D871" s="87"/>
      <c r="E871" s="87"/>
      <c r="F871" s="87"/>
      <c r="G871" s="88"/>
      <c r="H871" s="87"/>
      <c r="I871" s="87"/>
      <c r="J871" s="87"/>
      <c r="K871" s="8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M871" s="17"/>
      <c r="AN871" s="17"/>
      <c r="AO871" s="17"/>
      <c r="AP871" s="17"/>
      <c r="AQ871" s="17"/>
    </row>
    <row r="872" spans="1:43" s="84" customFormat="1" ht="15" x14ac:dyDescent="0.35">
      <c r="A872" s="80"/>
      <c r="B872" s="81"/>
      <c r="C872" s="82"/>
      <c r="D872" s="82"/>
      <c r="E872" s="82"/>
      <c r="F872" s="82"/>
      <c r="G872" s="83"/>
      <c r="H872" s="82"/>
      <c r="I872" s="82"/>
      <c r="J872" s="82"/>
      <c r="K872" s="82"/>
      <c r="L872" s="76"/>
      <c r="M872" s="82"/>
      <c r="N872" s="82"/>
      <c r="O872" s="82"/>
      <c r="P872" s="82"/>
      <c r="Q872" s="82"/>
      <c r="R872" s="82"/>
      <c r="S872" s="82"/>
      <c r="T872" s="82"/>
      <c r="U872" s="82"/>
      <c r="V872" s="82"/>
      <c r="W872" s="82"/>
      <c r="X872" s="82"/>
      <c r="Y872" s="76"/>
      <c r="Z872" s="82"/>
      <c r="AA872" s="82"/>
      <c r="AB872" s="82"/>
      <c r="AC872" s="82"/>
      <c r="AD872" s="82"/>
      <c r="AE872" s="82"/>
      <c r="AF872" s="82"/>
      <c r="AG872" s="82"/>
      <c r="AH872" s="82"/>
      <c r="AI872" s="82"/>
      <c r="AJ872" s="82"/>
      <c r="AK872" s="82"/>
      <c r="AL872" s="76"/>
      <c r="AM872" s="82"/>
      <c r="AN872" s="82"/>
      <c r="AO872" s="82"/>
      <c r="AP872" s="82"/>
      <c r="AQ872" s="82"/>
    </row>
    <row r="873" spans="1:43" ht="15" x14ac:dyDescent="0.35">
      <c r="A873" s="85"/>
      <c r="B873" s="86"/>
      <c r="C873" s="87"/>
      <c r="D873" s="87"/>
      <c r="E873" s="87"/>
      <c r="F873" s="87"/>
      <c r="G873" s="88"/>
      <c r="H873" s="87"/>
      <c r="I873" s="87"/>
      <c r="J873" s="87"/>
      <c r="K873" s="8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M873" s="17"/>
      <c r="AN873" s="17"/>
      <c r="AO873" s="17"/>
      <c r="AP873" s="17"/>
      <c r="AQ873" s="17"/>
    </row>
    <row r="874" spans="1:43" s="84" customFormat="1" ht="15" x14ac:dyDescent="0.35">
      <c r="A874" s="80"/>
      <c r="B874" s="81"/>
      <c r="C874" s="82"/>
      <c r="D874" s="82"/>
      <c r="E874" s="82"/>
      <c r="F874" s="82"/>
      <c r="G874" s="83"/>
      <c r="H874" s="82"/>
      <c r="I874" s="82"/>
      <c r="J874" s="82"/>
      <c r="K874" s="82"/>
      <c r="L874" s="76"/>
      <c r="M874" s="82"/>
      <c r="N874" s="82"/>
      <c r="O874" s="82"/>
      <c r="P874" s="82"/>
      <c r="Q874" s="82"/>
      <c r="R874" s="82"/>
      <c r="S874" s="82"/>
      <c r="T874" s="82"/>
      <c r="U874" s="82"/>
      <c r="V874" s="82"/>
      <c r="W874" s="82"/>
      <c r="X874" s="82"/>
      <c r="Y874" s="76"/>
      <c r="Z874" s="82"/>
      <c r="AA874" s="82"/>
      <c r="AB874" s="82"/>
      <c r="AC874" s="82"/>
      <c r="AD874" s="82"/>
      <c r="AE874" s="82"/>
      <c r="AF874" s="82"/>
      <c r="AG874" s="82"/>
      <c r="AH874" s="82"/>
      <c r="AI874" s="82"/>
      <c r="AJ874" s="82"/>
      <c r="AK874" s="82"/>
      <c r="AL874" s="76"/>
      <c r="AM874" s="82"/>
      <c r="AN874" s="82"/>
      <c r="AO874" s="82"/>
      <c r="AP874" s="82"/>
      <c r="AQ874" s="82"/>
    </row>
    <row r="875" spans="1:43" ht="15" x14ac:dyDescent="0.35">
      <c r="A875" s="85"/>
      <c r="B875" s="86"/>
      <c r="C875" s="87"/>
      <c r="D875" s="87"/>
      <c r="E875" s="87"/>
      <c r="F875" s="87"/>
      <c r="G875" s="88"/>
      <c r="H875" s="87"/>
      <c r="I875" s="87"/>
      <c r="J875" s="87"/>
      <c r="K875" s="8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M875" s="17"/>
      <c r="AN875" s="17"/>
      <c r="AO875" s="17"/>
      <c r="AP875" s="17"/>
      <c r="AQ875" s="17"/>
    </row>
    <row r="876" spans="1:43" s="84" customFormat="1" ht="15" x14ac:dyDescent="0.35">
      <c r="A876" s="80"/>
      <c r="B876" s="81"/>
      <c r="C876" s="82"/>
      <c r="D876" s="82"/>
      <c r="E876" s="82"/>
      <c r="F876" s="82"/>
      <c r="G876" s="83"/>
      <c r="H876" s="82"/>
      <c r="I876" s="82"/>
      <c r="J876" s="82"/>
      <c r="K876" s="82"/>
      <c r="L876" s="76"/>
      <c r="M876" s="82"/>
      <c r="N876" s="82"/>
      <c r="O876" s="82"/>
      <c r="P876" s="82"/>
      <c r="Q876" s="82"/>
      <c r="R876" s="82"/>
      <c r="S876" s="82"/>
      <c r="T876" s="82"/>
      <c r="U876" s="82"/>
      <c r="V876" s="82"/>
      <c r="W876" s="82"/>
      <c r="X876" s="82"/>
      <c r="Y876" s="76"/>
      <c r="Z876" s="82"/>
      <c r="AA876" s="82"/>
      <c r="AB876" s="82"/>
      <c r="AC876" s="82"/>
      <c r="AD876" s="82"/>
      <c r="AE876" s="82"/>
      <c r="AF876" s="82"/>
      <c r="AG876" s="82"/>
      <c r="AH876" s="82"/>
      <c r="AI876" s="82"/>
      <c r="AJ876" s="82"/>
      <c r="AK876" s="82"/>
      <c r="AL876" s="76"/>
      <c r="AM876" s="82"/>
      <c r="AN876" s="82"/>
      <c r="AO876" s="82"/>
      <c r="AP876" s="82"/>
      <c r="AQ876" s="82"/>
    </row>
    <row r="877" spans="1:43" ht="15" x14ac:dyDescent="0.35">
      <c r="A877" s="85"/>
      <c r="B877" s="86"/>
      <c r="C877" s="87"/>
      <c r="D877" s="87"/>
      <c r="E877" s="87"/>
      <c r="F877" s="87"/>
      <c r="G877" s="88"/>
      <c r="H877" s="87"/>
      <c r="I877" s="87"/>
      <c r="J877" s="87"/>
      <c r="K877" s="8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M877" s="17"/>
      <c r="AN877" s="17"/>
      <c r="AO877" s="17"/>
      <c r="AP877" s="17"/>
      <c r="AQ877" s="17"/>
    </row>
    <row r="878" spans="1:43" s="84" customFormat="1" ht="15" x14ac:dyDescent="0.35">
      <c r="A878" s="80"/>
      <c r="B878" s="81"/>
      <c r="C878" s="82"/>
      <c r="D878" s="82"/>
      <c r="E878" s="82"/>
      <c r="F878" s="82"/>
      <c r="G878" s="83"/>
      <c r="H878" s="82"/>
      <c r="I878" s="82"/>
      <c r="J878" s="82"/>
      <c r="K878" s="82"/>
      <c r="L878" s="76"/>
      <c r="M878" s="82"/>
      <c r="N878" s="82"/>
      <c r="O878" s="82"/>
      <c r="P878" s="82"/>
      <c r="Q878" s="82"/>
      <c r="R878" s="82"/>
      <c r="S878" s="82"/>
      <c r="T878" s="82"/>
      <c r="U878" s="82"/>
      <c r="V878" s="82"/>
      <c r="W878" s="82"/>
      <c r="X878" s="82"/>
      <c r="Y878" s="76"/>
      <c r="Z878" s="82"/>
      <c r="AA878" s="82"/>
      <c r="AB878" s="82"/>
      <c r="AC878" s="82"/>
      <c r="AD878" s="82"/>
      <c r="AE878" s="82"/>
      <c r="AF878" s="82"/>
      <c r="AG878" s="82"/>
      <c r="AH878" s="82"/>
      <c r="AI878" s="82"/>
      <c r="AJ878" s="82"/>
      <c r="AK878" s="82"/>
      <c r="AL878" s="76"/>
      <c r="AM878" s="82"/>
      <c r="AN878" s="82"/>
      <c r="AO878" s="82"/>
      <c r="AP878" s="82"/>
      <c r="AQ878" s="82"/>
    </row>
    <row r="879" spans="1:43" ht="15" x14ac:dyDescent="0.35">
      <c r="A879" s="85"/>
      <c r="B879" s="86"/>
      <c r="C879" s="87"/>
      <c r="D879" s="87"/>
      <c r="E879" s="87"/>
      <c r="F879" s="87"/>
      <c r="G879" s="88"/>
      <c r="H879" s="87"/>
      <c r="I879" s="87"/>
      <c r="J879" s="87"/>
      <c r="K879" s="8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M879" s="17"/>
      <c r="AN879" s="17"/>
      <c r="AO879" s="17"/>
      <c r="AP879" s="17"/>
      <c r="AQ879" s="17"/>
    </row>
    <row r="880" spans="1:43" s="84" customFormat="1" ht="15" x14ac:dyDescent="0.35">
      <c r="A880" s="80"/>
      <c r="B880" s="81"/>
      <c r="C880" s="82"/>
      <c r="D880" s="82"/>
      <c r="E880" s="82"/>
      <c r="F880" s="82"/>
      <c r="G880" s="83"/>
      <c r="H880" s="82"/>
      <c r="I880" s="82"/>
      <c r="J880" s="82"/>
      <c r="K880" s="82"/>
      <c r="L880" s="76"/>
      <c r="M880" s="82"/>
      <c r="N880" s="82"/>
      <c r="O880" s="82"/>
      <c r="P880" s="82"/>
      <c r="Q880" s="82"/>
      <c r="R880" s="82"/>
      <c r="S880" s="82"/>
      <c r="T880" s="82"/>
      <c r="U880" s="82"/>
      <c r="V880" s="82"/>
      <c r="W880" s="82"/>
      <c r="X880" s="82"/>
      <c r="Y880" s="76"/>
      <c r="Z880" s="82"/>
      <c r="AA880" s="82"/>
      <c r="AB880" s="82"/>
      <c r="AC880" s="82"/>
      <c r="AD880" s="82"/>
      <c r="AE880" s="82"/>
      <c r="AF880" s="82"/>
      <c r="AG880" s="82"/>
      <c r="AH880" s="82"/>
      <c r="AI880" s="82"/>
      <c r="AJ880" s="82"/>
      <c r="AK880" s="82"/>
      <c r="AL880" s="76"/>
      <c r="AM880" s="82"/>
      <c r="AN880" s="82"/>
      <c r="AO880" s="82"/>
      <c r="AP880" s="82"/>
      <c r="AQ880" s="82"/>
    </row>
    <row r="881" spans="1:43" ht="15" x14ac:dyDescent="0.35">
      <c r="A881" s="85"/>
      <c r="B881" s="86"/>
      <c r="C881" s="87"/>
      <c r="D881" s="87"/>
      <c r="E881" s="87"/>
      <c r="F881" s="87"/>
      <c r="G881" s="88"/>
      <c r="H881" s="87"/>
      <c r="I881" s="87"/>
      <c r="J881" s="87"/>
      <c r="K881" s="8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M881" s="17"/>
      <c r="AN881" s="17"/>
      <c r="AO881" s="17"/>
      <c r="AP881" s="17"/>
      <c r="AQ881" s="17"/>
    </row>
    <row r="882" spans="1:43" s="84" customFormat="1" ht="15" x14ac:dyDescent="0.35">
      <c r="A882" s="80"/>
      <c r="B882" s="81"/>
      <c r="C882" s="82"/>
      <c r="D882" s="82"/>
      <c r="E882" s="82"/>
      <c r="F882" s="82"/>
      <c r="G882" s="83"/>
      <c r="H882" s="82"/>
      <c r="I882" s="82"/>
      <c r="J882" s="82"/>
      <c r="K882" s="82"/>
      <c r="L882" s="76"/>
      <c r="M882" s="82"/>
      <c r="N882" s="82"/>
      <c r="O882" s="82"/>
      <c r="P882" s="82"/>
      <c r="Q882" s="82"/>
      <c r="R882" s="82"/>
      <c r="S882" s="82"/>
      <c r="T882" s="82"/>
      <c r="U882" s="82"/>
      <c r="V882" s="82"/>
      <c r="W882" s="82"/>
      <c r="X882" s="82"/>
      <c r="Y882" s="76"/>
      <c r="Z882" s="82"/>
      <c r="AA882" s="82"/>
      <c r="AB882" s="82"/>
      <c r="AC882" s="82"/>
      <c r="AD882" s="82"/>
      <c r="AE882" s="82"/>
      <c r="AF882" s="82"/>
      <c r="AG882" s="82"/>
      <c r="AH882" s="82"/>
      <c r="AI882" s="82"/>
      <c r="AJ882" s="82"/>
      <c r="AK882" s="82"/>
      <c r="AL882" s="76"/>
      <c r="AM882" s="82"/>
      <c r="AN882" s="82"/>
      <c r="AO882" s="82"/>
      <c r="AP882" s="82"/>
      <c r="AQ882" s="82"/>
    </row>
    <row r="883" spans="1:43" ht="15" x14ac:dyDescent="0.35">
      <c r="A883" s="85"/>
      <c r="B883" s="86"/>
      <c r="C883" s="87"/>
      <c r="D883" s="87"/>
      <c r="E883" s="87"/>
      <c r="F883" s="87"/>
      <c r="G883" s="88"/>
      <c r="H883" s="87"/>
      <c r="I883" s="87"/>
      <c r="J883" s="87"/>
      <c r="K883" s="8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M883" s="17"/>
      <c r="AN883" s="17"/>
      <c r="AO883" s="17"/>
      <c r="AP883" s="17"/>
      <c r="AQ883" s="17"/>
    </row>
    <row r="884" spans="1:43" s="84" customFormat="1" ht="15" x14ac:dyDescent="0.35">
      <c r="A884" s="80"/>
      <c r="B884" s="81"/>
      <c r="C884" s="82"/>
      <c r="D884" s="82"/>
      <c r="E884" s="82"/>
      <c r="F884" s="82"/>
      <c r="G884" s="83"/>
      <c r="H884" s="82"/>
      <c r="I884" s="82"/>
      <c r="J884" s="82"/>
      <c r="K884" s="82"/>
      <c r="L884" s="76"/>
      <c r="M884" s="82"/>
      <c r="N884" s="82"/>
      <c r="O884" s="82"/>
      <c r="P884" s="82"/>
      <c r="Q884" s="82"/>
      <c r="R884" s="82"/>
      <c r="S884" s="82"/>
      <c r="T884" s="82"/>
      <c r="U884" s="82"/>
      <c r="V884" s="82"/>
      <c r="W884" s="82"/>
      <c r="X884" s="82"/>
      <c r="Y884" s="76"/>
      <c r="Z884" s="82"/>
      <c r="AA884" s="82"/>
      <c r="AB884" s="82"/>
      <c r="AC884" s="82"/>
      <c r="AD884" s="82"/>
      <c r="AE884" s="82"/>
      <c r="AF884" s="82"/>
      <c r="AG884" s="82"/>
      <c r="AH884" s="82"/>
      <c r="AI884" s="82"/>
      <c r="AJ884" s="82"/>
      <c r="AK884" s="82"/>
      <c r="AL884" s="76"/>
      <c r="AM884" s="82"/>
      <c r="AN884" s="82"/>
      <c r="AO884" s="82"/>
      <c r="AP884" s="82"/>
      <c r="AQ884" s="82"/>
    </row>
    <row r="885" spans="1:43" ht="15" x14ac:dyDescent="0.35">
      <c r="A885" s="85"/>
      <c r="B885" s="86"/>
      <c r="C885" s="87"/>
      <c r="D885" s="87"/>
      <c r="E885" s="87"/>
      <c r="F885" s="87"/>
      <c r="G885" s="88"/>
      <c r="H885" s="87"/>
      <c r="I885" s="87"/>
      <c r="J885" s="87"/>
      <c r="K885" s="8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M885" s="17"/>
      <c r="AN885" s="17"/>
      <c r="AO885" s="17"/>
      <c r="AP885" s="17"/>
      <c r="AQ885" s="17"/>
    </row>
    <row r="886" spans="1:43" s="84" customFormat="1" ht="15" x14ac:dyDescent="0.35">
      <c r="A886" s="80"/>
      <c r="B886" s="81"/>
      <c r="C886" s="82"/>
      <c r="D886" s="82"/>
      <c r="E886" s="82"/>
      <c r="F886" s="82"/>
      <c r="G886" s="83"/>
      <c r="H886" s="82"/>
      <c r="I886" s="82"/>
      <c r="J886" s="82"/>
      <c r="K886" s="82"/>
      <c r="L886" s="76"/>
      <c r="M886" s="82"/>
      <c r="N886" s="82"/>
      <c r="O886" s="82"/>
      <c r="P886" s="82"/>
      <c r="Q886" s="82"/>
      <c r="R886" s="82"/>
      <c r="S886" s="82"/>
      <c r="T886" s="82"/>
      <c r="U886" s="82"/>
      <c r="V886" s="82"/>
      <c r="W886" s="82"/>
      <c r="X886" s="82"/>
      <c r="Y886" s="76"/>
      <c r="Z886" s="82"/>
      <c r="AA886" s="82"/>
      <c r="AB886" s="82"/>
      <c r="AC886" s="82"/>
      <c r="AD886" s="82"/>
      <c r="AE886" s="82"/>
      <c r="AF886" s="82"/>
      <c r="AG886" s="82"/>
      <c r="AH886" s="82"/>
      <c r="AI886" s="82"/>
      <c r="AJ886" s="82"/>
      <c r="AK886" s="82"/>
      <c r="AL886" s="76"/>
      <c r="AM886" s="82"/>
      <c r="AN886" s="82"/>
      <c r="AO886" s="82"/>
      <c r="AP886" s="82"/>
      <c r="AQ886" s="82"/>
    </row>
    <row r="887" spans="1:43" ht="15" x14ac:dyDescent="0.35">
      <c r="A887" s="85"/>
      <c r="B887" s="86"/>
      <c r="C887" s="87"/>
      <c r="D887" s="87"/>
      <c r="E887" s="87"/>
      <c r="F887" s="87"/>
      <c r="G887" s="88"/>
      <c r="H887" s="87"/>
      <c r="I887" s="87"/>
      <c r="J887" s="87"/>
      <c r="K887" s="8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M887" s="17"/>
      <c r="AN887" s="17"/>
      <c r="AO887" s="17"/>
      <c r="AP887" s="17"/>
      <c r="AQ887" s="17"/>
    </row>
    <row r="888" spans="1:43" s="84" customFormat="1" ht="15" x14ac:dyDescent="0.35">
      <c r="A888" s="80"/>
      <c r="B888" s="81"/>
      <c r="C888" s="82"/>
      <c r="D888" s="82"/>
      <c r="E888" s="82"/>
      <c r="F888" s="82"/>
      <c r="G888" s="83"/>
      <c r="H888" s="82"/>
      <c r="I888" s="82"/>
      <c r="J888" s="82"/>
      <c r="K888" s="82"/>
      <c r="L888" s="76"/>
      <c r="M888" s="82"/>
      <c r="N888" s="82"/>
      <c r="O888" s="82"/>
      <c r="P888" s="82"/>
      <c r="Q888" s="82"/>
      <c r="R888" s="82"/>
      <c r="S888" s="82"/>
      <c r="T888" s="82"/>
      <c r="U888" s="82"/>
      <c r="V888" s="82"/>
      <c r="W888" s="82"/>
      <c r="X888" s="82"/>
      <c r="Y888" s="76"/>
      <c r="Z888" s="82"/>
      <c r="AA888" s="82"/>
      <c r="AB888" s="82"/>
      <c r="AC888" s="82"/>
      <c r="AD888" s="82"/>
      <c r="AE888" s="82"/>
      <c r="AF888" s="82"/>
      <c r="AG888" s="82"/>
      <c r="AH888" s="82"/>
      <c r="AI888" s="82"/>
      <c r="AJ888" s="82"/>
      <c r="AK888" s="82"/>
      <c r="AL888" s="76"/>
      <c r="AM888" s="82"/>
      <c r="AN888" s="82"/>
      <c r="AO888" s="82"/>
      <c r="AP888" s="82"/>
      <c r="AQ888" s="82"/>
    </row>
    <row r="889" spans="1:43" ht="15" x14ac:dyDescent="0.35">
      <c r="A889" s="85"/>
      <c r="B889" s="86"/>
      <c r="C889" s="87"/>
      <c r="D889" s="87"/>
      <c r="E889" s="87"/>
      <c r="F889" s="87"/>
      <c r="G889" s="88"/>
      <c r="H889" s="87"/>
      <c r="I889" s="87"/>
      <c r="J889" s="87"/>
      <c r="K889" s="8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M889" s="17"/>
      <c r="AN889" s="17"/>
      <c r="AO889" s="17"/>
      <c r="AP889" s="17"/>
      <c r="AQ889" s="17"/>
    </row>
    <row r="890" spans="1:43" s="84" customFormat="1" ht="15" x14ac:dyDescent="0.35">
      <c r="A890" s="80"/>
      <c r="B890" s="81"/>
      <c r="C890" s="82"/>
      <c r="D890" s="82"/>
      <c r="E890" s="82"/>
      <c r="F890" s="82"/>
      <c r="G890" s="83"/>
      <c r="H890" s="82"/>
      <c r="I890" s="82"/>
      <c r="J890" s="82"/>
      <c r="K890" s="82"/>
      <c r="L890" s="76"/>
      <c r="M890" s="82"/>
      <c r="N890" s="82"/>
      <c r="O890" s="82"/>
      <c r="P890" s="82"/>
      <c r="Q890" s="82"/>
      <c r="R890" s="82"/>
      <c r="S890" s="82"/>
      <c r="T890" s="82"/>
      <c r="U890" s="82"/>
      <c r="V890" s="82"/>
      <c r="W890" s="82"/>
      <c r="X890" s="82"/>
      <c r="Y890" s="76"/>
      <c r="Z890" s="82"/>
      <c r="AA890" s="82"/>
      <c r="AB890" s="82"/>
      <c r="AC890" s="82"/>
      <c r="AD890" s="82"/>
      <c r="AE890" s="82"/>
      <c r="AF890" s="82"/>
      <c r="AG890" s="82"/>
      <c r="AH890" s="82"/>
      <c r="AI890" s="82"/>
      <c r="AJ890" s="82"/>
      <c r="AK890" s="82"/>
      <c r="AL890" s="76"/>
      <c r="AM890" s="82"/>
      <c r="AN890" s="82"/>
      <c r="AO890" s="82"/>
      <c r="AP890" s="82"/>
      <c r="AQ890" s="82"/>
    </row>
    <row r="891" spans="1:43" ht="15" x14ac:dyDescent="0.35">
      <c r="A891" s="85"/>
      <c r="B891" s="86"/>
      <c r="C891" s="87"/>
      <c r="D891" s="87"/>
      <c r="E891" s="87"/>
      <c r="F891" s="87"/>
      <c r="G891" s="88"/>
      <c r="H891" s="87"/>
      <c r="I891" s="87"/>
      <c r="J891" s="87"/>
      <c r="K891" s="8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M891" s="17"/>
      <c r="AN891" s="17"/>
      <c r="AO891" s="17"/>
      <c r="AP891" s="17"/>
      <c r="AQ891" s="17"/>
    </row>
    <row r="892" spans="1:43" s="84" customFormat="1" ht="15" x14ac:dyDescent="0.35">
      <c r="A892" s="80"/>
      <c r="B892" s="81"/>
      <c r="C892" s="82"/>
      <c r="D892" s="82"/>
      <c r="E892" s="82"/>
      <c r="F892" s="82"/>
      <c r="G892" s="83"/>
      <c r="H892" s="82"/>
      <c r="I892" s="82"/>
      <c r="J892" s="82"/>
      <c r="K892" s="82"/>
      <c r="L892" s="76"/>
      <c r="M892" s="82"/>
      <c r="N892" s="82"/>
      <c r="O892" s="82"/>
      <c r="P892" s="82"/>
      <c r="Q892" s="82"/>
      <c r="R892" s="82"/>
      <c r="S892" s="82"/>
      <c r="T892" s="82"/>
      <c r="U892" s="82"/>
      <c r="V892" s="82"/>
      <c r="W892" s="82"/>
      <c r="X892" s="82"/>
      <c r="Y892" s="76"/>
      <c r="Z892" s="82"/>
      <c r="AA892" s="82"/>
      <c r="AB892" s="82"/>
      <c r="AC892" s="82"/>
      <c r="AD892" s="82"/>
      <c r="AE892" s="82"/>
      <c r="AF892" s="82"/>
      <c r="AG892" s="82"/>
      <c r="AH892" s="82"/>
      <c r="AI892" s="82"/>
      <c r="AJ892" s="82"/>
      <c r="AK892" s="82"/>
      <c r="AL892" s="76"/>
      <c r="AM892" s="82"/>
      <c r="AN892" s="82"/>
      <c r="AO892" s="82"/>
      <c r="AP892" s="82"/>
      <c r="AQ892" s="82"/>
    </row>
    <row r="893" spans="1:43" ht="15" x14ac:dyDescent="0.35">
      <c r="A893" s="85"/>
      <c r="B893" s="86"/>
      <c r="C893" s="87"/>
      <c r="D893" s="87"/>
      <c r="E893" s="87"/>
      <c r="F893" s="87"/>
      <c r="G893" s="88"/>
      <c r="H893" s="87"/>
      <c r="I893" s="87"/>
      <c r="J893" s="87"/>
      <c r="K893" s="8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M893" s="17"/>
      <c r="AN893" s="17"/>
      <c r="AO893" s="17"/>
      <c r="AP893" s="17"/>
      <c r="AQ893" s="17"/>
    </row>
    <row r="894" spans="1:43" s="84" customFormat="1" ht="15" x14ac:dyDescent="0.35">
      <c r="A894" s="80"/>
      <c r="B894" s="81"/>
      <c r="C894" s="82"/>
      <c r="D894" s="82"/>
      <c r="E894" s="82"/>
      <c r="F894" s="82"/>
      <c r="G894" s="83"/>
      <c r="H894" s="82"/>
      <c r="I894" s="82"/>
      <c r="J894" s="82"/>
      <c r="K894" s="82"/>
      <c r="L894" s="76"/>
      <c r="M894" s="82"/>
      <c r="N894" s="82"/>
      <c r="O894" s="82"/>
      <c r="P894" s="82"/>
      <c r="Q894" s="82"/>
      <c r="R894" s="82"/>
      <c r="S894" s="82"/>
      <c r="T894" s="82"/>
      <c r="U894" s="82"/>
      <c r="V894" s="82"/>
      <c r="W894" s="82"/>
      <c r="X894" s="82"/>
      <c r="Y894" s="76"/>
      <c r="Z894" s="82"/>
      <c r="AA894" s="82"/>
      <c r="AB894" s="82"/>
      <c r="AC894" s="82"/>
      <c r="AD894" s="82"/>
      <c r="AE894" s="82"/>
      <c r="AF894" s="82"/>
      <c r="AG894" s="82"/>
      <c r="AH894" s="82"/>
      <c r="AI894" s="82"/>
      <c r="AJ894" s="82"/>
      <c r="AK894" s="82"/>
      <c r="AL894" s="76"/>
      <c r="AM894" s="82"/>
      <c r="AN894" s="82"/>
      <c r="AO894" s="82"/>
      <c r="AP894" s="82"/>
      <c r="AQ894" s="82"/>
    </row>
    <row r="895" spans="1:43" ht="15" x14ac:dyDescent="0.35">
      <c r="A895" s="85"/>
      <c r="B895" s="86"/>
      <c r="C895" s="87"/>
      <c r="D895" s="87"/>
      <c r="E895" s="87"/>
      <c r="F895" s="87"/>
      <c r="G895" s="88"/>
      <c r="H895" s="87"/>
      <c r="I895" s="87"/>
      <c r="J895" s="87"/>
      <c r="K895" s="8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M895" s="17"/>
      <c r="AN895" s="17"/>
      <c r="AO895" s="17"/>
      <c r="AP895" s="17"/>
      <c r="AQ895" s="17"/>
    </row>
    <row r="896" spans="1:43" s="84" customFormat="1" ht="15" x14ac:dyDescent="0.35">
      <c r="A896" s="80"/>
      <c r="B896" s="81"/>
      <c r="C896" s="82"/>
      <c r="D896" s="82"/>
      <c r="E896" s="82"/>
      <c r="F896" s="82"/>
      <c r="G896" s="83"/>
      <c r="H896" s="82"/>
      <c r="I896" s="82"/>
      <c r="J896" s="82"/>
      <c r="K896" s="82"/>
      <c r="L896" s="76"/>
      <c r="M896" s="82"/>
      <c r="N896" s="82"/>
      <c r="O896" s="82"/>
      <c r="P896" s="82"/>
      <c r="Q896" s="82"/>
      <c r="R896" s="82"/>
      <c r="S896" s="82"/>
      <c r="T896" s="82"/>
      <c r="U896" s="82"/>
      <c r="V896" s="82"/>
      <c r="W896" s="82"/>
      <c r="X896" s="82"/>
      <c r="Y896" s="76"/>
      <c r="Z896" s="82"/>
      <c r="AA896" s="82"/>
      <c r="AB896" s="82"/>
      <c r="AC896" s="82"/>
      <c r="AD896" s="82"/>
      <c r="AE896" s="82"/>
      <c r="AF896" s="82"/>
      <c r="AG896" s="82"/>
      <c r="AH896" s="82"/>
      <c r="AI896" s="82"/>
      <c r="AJ896" s="82"/>
      <c r="AK896" s="82"/>
      <c r="AL896" s="76"/>
      <c r="AM896" s="82"/>
      <c r="AN896" s="82"/>
      <c r="AO896" s="82"/>
      <c r="AP896" s="82"/>
      <c r="AQ896" s="82"/>
    </row>
    <row r="897" spans="1:43" ht="15" x14ac:dyDescent="0.35">
      <c r="A897" s="85"/>
      <c r="B897" s="86"/>
      <c r="C897" s="87"/>
      <c r="D897" s="87"/>
      <c r="E897" s="87"/>
      <c r="F897" s="87"/>
      <c r="G897" s="88"/>
      <c r="H897" s="87"/>
      <c r="I897" s="87"/>
      <c r="J897" s="87"/>
      <c r="K897" s="8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M897" s="17"/>
      <c r="AN897" s="17"/>
      <c r="AO897" s="17"/>
      <c r="AP897" s="17"/>
      <c r="AQ897" s="17"/>
    </row>
    <row r="898" spans="1:43" s="84" customFormat="1" ht="15" x14ac:dyDescent="0.35">
      <c r="A898" s="80"/>
      <c r="B898" s="81"/>
      <c r="C898" s="82"/>
      <c r="D898" s="82"/>
      <c r="E898" s="82"/>
      <c r="F898" s="82"/>
      <c r="G898" s="83"/>
      <c r="H898" s="82"/>
      <c r="I898" s="82"/>
      <c r="J898" s="82"/>
      <c r="K898" s="82"/>
      <c r="L898" s="76"/>
      <c r="M898" s="82"/>
      <c r="N898" s="82"/>
      <c r="O898" s="82"/>
      <c r="P898" s="82"/>
      <c r="Q898" s="82"/>
      <c r="R898" s="82"/>
      <c r="S898" s="82"/>
      <c r="T898" s="82"/>
      <c r="U898" s="82"/>
      <c r="V898" s="82"/>
      <c r="W898" s="82"/>
      <c r="X898" s="82"/>
      <c r="Y898" s="76"/>
      <c r="Z898" s="82"/>
      <c r="AA898" s="82"/>
      <c r="AB898" s="82"/>
      <c r="AC898" s="82"/>
      <c r="AD898" s="82"/>
      <c r="AE898" s="82"/>
      <c r="AF898" s="82"/>
      <c r="AG898" s="82"/>
      <c r="AH898" s="82"/>
      <c r="AI898" s="82"/>
      <c r="AJ898" s="82"/>
      <c r="AK898" s="82"/>
      <c r="AL898" s="76"/>
      <c r="AM898" s="82"/>
      <c r="AN898" s="82"/>
      <c r="AO898" s="82"/>
      <c r="AP898" s="82"/>
      <c r="AQ898" s="82"/>
    </row>
    <row r="899" spans="1:43" ht="15" x14ac:dyDescent="0.35">
      <c r="A899" s="85"/>
      <c r="B899" s="86"/>
      <c r="C899" s="87"/>
      <c r="D899" s="87"/>
      <c r="E899" s="87"/>
      <c r="F899" s="87"/>
      <c r="G899" s="88"/>
      <c r="H899" s="87"/>
      <c r="I899" s="87"/>
      <c r="J899" s="87"/>
      <c r="K899" s="8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M899" s="17"/>
      <c r="AN899" s="17"/>
      <c r="AO899" s="17"/>
      <c r="AP899" s="17"/>
      <c r="AQ899" s="17"/>
    </row>
    <row r="900" spans="1:43" s="84" customFormat="1" ht="15" x14ac:dyDescent="0.35">
      <c r="A900" s="80"/>
      <c r="B900" s="81"/>
      <c r="C900" s="82"/>
      <c r="D900" s="82"/>
      <c r="E900" s="82"/>
      <c r="F900" s="82"/>
      <c r="G900" s="83"/>
      <c r="H900" s="82"/>
      <c r="I900" s="82"/>
      <c r="J900" s="82"/>
      <c r="K900" s="82"/>
      <c r="L900" s="76"/>
      <c r="M900" s="82"/>
      <c r="N900" s="82"/>
      <c r="O900" s="82"/>
      <c r="P900" s="82"/>
      <c r="Q900" s="82"/>
      <c r="R900" s="82"/>
      <c r="S900" s="82"/>
      <c r="T900" s="82"/>
      <c r="U900" s="82"/>
      <c r="V900" s="82"/>
      <c r="W900" s="82"/>
      <c r="X900" s="82"/>
      <c r="Y900" s="76"/>
      <c r="Z900" s="82"/>
      <c r="AA900" s="82"/>
      <c r="AB900" s="82"/>
      <c r="AC900" s="82"/>
      <c r="AD900" s="82"/>
      <c r="AE900" s="82"/>
      <c r="AF900" s="82"/>
      <c r="AG900" s="82"/>
      <c r="AH900" s="82"/>
      <c r="AI900" s="82"/>
      <c r="AJ900" s="82"/>
      <c r="AK900" s="82"/>
      <c r="AL900" s="76"/>
      <c r="AM900" s="82"/>
      <c r="AN900" s="82"/>
      <c r="AO900" s="82"/>
      <c r="AP900" s="82"/>
      <c r="AQ900" s="82"/>
    </row>
    <row r="901" spans="1:43" ht="15" x14ac:dyDescent="0.35">
      <c r="A901" s="85"/>
      <c r="B901" s="86"/>
      <c r="C901" s="87"/>
      <c r="D901" s="87"/>
      <c r="E901" s="87"/>
      <c r="F901" s="87"/>
      <c r="G901" s="88"/>
      <c r="H901" s="87"/>
      <c r="I901" s="87"/>
      <c r="J901" s="87"/>
      <c r="K901" s="8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M901" s="17"/>
      <c r="AN901" s="17"/>
      <c r="AO901" s="17"/>
      <c r="AP901" s="17"/>
      <c r="AQ901" s="17"/>
    </row>
    <row r="902" spans="1:43" s="84" customFormat="1" ht="15" x14ac:dyDescent="0.35">
      <c r="A902" s="80"/>
      <c r="B902" s="81"/>
      <c r="C902" s="82"/>
      <c r="D902" s="82"/>
      <c r="E902" s="82"/>
      <c r="F902" s="82"/>
      <c r="G902" s="83"/>
      <c r="H902" s="82"/>
      <c r="I902" s="82"/>
      <c r="J902" s="82"/>
      <c r="K902" s="82"/>
      <c r="L902" s="76"/>
      <c r="M902" s="82"/>
      <c r="N902" s="82"/>
      <c r="O902" s="82"/>
      <c r="P902" s="82"/>
      <c r="Q902" s="82"/>
      <c r="R902" s="82"/>
      <c r="S902" s="82"/>
      <c r="T902" s="82"/>
      <c r="U902" s="82"/>
      <c r="V902" s="82"/>
      <c r="W902" s="82"/>
      <c r="X902" s="82"/>
      <c r="Y902" s="76"/>
      <c r="Z902" s="82"/>
      <c r="AA902" s="82"/>
      <c r="AB902" s="82"/>
      <c r="AC902" s="82"/>
      <c r="AD902" s="82"/>
      <c r="AE902" s="82"/>
      <c r="AF902" s="82"/>
      <c r="AG902" s="82"/>
      <c r="AH902" s="82"/>
      <c r="AI902" s="82"/>
      <c r="AJ902" s="82"/>
      <c r="AK902" s="82"/>
      <c r="AL902" s="76"/>
      <c r="AM902" s="82"/>
      <c r="AN902" s="82"/>
      <c r="AO902" s="82"/>
      <c r="AP902" s="82"/>
      <c r="AQ902" s="82"/>
    </row>
    <row r="903" spans="1:43" ht="15" x14ac:dyDescent="0.35">
      <c r="A903" s="85"/>
      <c r="B903" s="86"/>
      <c r="C903" s="87"/>
      <c r="D903" s="87"/>
      <c r="E903" s="87"/>
      <c r="F903" s="87"/>
      <c r="G903" s="88"/>
      <c r="H903" s="87"/>
      <c r="I903" s="87"/>
      <c r="J903" s="87"/>
      <c r="K903" s="8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M903" s="17"/>
      <c r="AN903" s="17"/>
      <c r="AO903" s="17"/>
      <c r="AP903" s="17"/>
      <c r="AQ903" s="17"/>
    </row>
    <row r="904" spans="1:43" s="84" customFormat="1" ht="15" x14ac:dyDescent="0.35">
      <c r="A904" s="80"/>
      <c r="B904" s="81"/>
      <c r="C904" s="82"/>
      <c r="D904" s="82"/>
      <c r="E904" s="82"/>
      <c r="F904" s="82"/>
      <c r="G904" s="83"/>
      <c r="H904" s="82"/>
      <c r="I904" s="82"/>
      <c r="J904" s="82"/>
      <c r="K904" s="82"/>
      <c r="L904" s="76"/>
      <c r="M904" s="82"/>
      <c r="N904" s="82"/>
      <c r="O904" s="82"/>
      <c r="P904" s="82"/>
      <c r="Q904" s="82"/>
      <c r="R904" s="82"/>
      <c r="S904" s="82"/>
      <c r="T904" s="82"/>
      <c r="U904" s="82"/>
      <c r="V904" s="82"/>
      <c r="W904" s="82"/>
      <c r="X904" s="82"/>
      <c r="Y904" s="76"/>
      <c r="Z904" s="82"/>
      <c r="AA904" s="82"/>
      <c r="AB904" s="82"/>
      <c r="AC904" s="82"/>
      <c r="AD904" s="82"/>
      <c r="AE904" s="82"/>
      <c r="AF904" s="82"/>
      <c r="AG904" s="82"/>
      <c r="AH904" s="82"/>
      <c r="AI904" s="82"/>
      <c r="AJ904" s="82"/>
      <c r="AK904" s="82"/>
      <c r="AL904" s="76"/>
      <c r="AM904" s="82"/>
      <c r="AN904" s="82"/>
      <c r="AO904" s="82"/>
      <c r="AP904" s="82"/>
      <c r="AQ904" s="82"/>
    </row>
    <row r="905" spans="1:43" ht="15" x14ac:dyDescent="0.35">
      <c r="A905" s="85"/>
      <c r="B905" s="86"/>
      <c r="C905" s="87"/>
      <c r="D905" s="87"/>
      <c r="E905" s="87"/>
      <c r="F905" s="87"/>
      <c r="G905" s="88"/>
      <c r="H905" s="87"/>
      <c r="I905" s="87"/>
      <c r="J905" s="87"/>
      <c r="K905" s="8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M905" s="17"/>
      <c r="AN905" s="17"/>
      <c r="AO905" s="17"/>
      <c r="AP905" s="17"/>
      <c r="AQ905" s="17"/>
    </row>
    <row r="906" spans="1:43" s="84" customFormat="1" ht="15" x14ac:dyDescent="0.35">
      <c r="A906" s="80"/>
      <c r="B906" s="81"/>
      <c r="C906" s="82"/>
      <c r="D906" s="82"/>
      <c r="E906" s="82"/>
      <c r="F906" s="82"/>
      <c r="G906" s="83"/>
      <c r="H906" s="82"/>
      <c r="I906" s="82"/>
      <c r="J906" s="82"/>
      <c r="K906" s="82"/>
      <c r="L906" s="76"/>
      <c r="M906" s="82"/>
      <c r="N906" s="82"/>
      <c r="O906" s="82"/>
      <c r="P906" s="82"/>
      <c r="Q906" s="82"/>
      <c r="R906" s="82"/>
      <c r="S906" s="82"/>
      <c r="T906" s="82"/>
      <c r="U906" s="82"/>
      <c r="V906" s="82"/>
      <c r="W906" s="82"/>
      <c r="X906" s="82"/>
      <c r="Y906" s="76"/>
      <c r="Z906" s="82"/>
      <c r="AA906" s="82"/>
      <c r="AB906" s="82"/>
      <c r="AC906" s="82"/>
      <c r="AD906" s="82"/>
      <c r="AE906" s="82"/>
      <c r="AF906" s="82"/>
      <c r="AG906" s="82"/>
      <c r="AH906" s="82"/>
      <c r="AI906" s="82"/>
      <c r="AJ906" s="82"/>
      <c r="AK906" s="82"/>
      <c r="AL906" s="76"/>
      <c r="AM906" s="82"/>
      <c r="AN906" s="82"/>
      <c r="AO906" s="82"/>
      <c r="AP906" s="82"/>
      <c r="AQ906" s="82"/>
    </row>
    <row r="907" spans="1:43" ht="15" x14ac:dyDescent="0.35">
      <c r="A907" s="85"/>
      <c r="B907" s="86"/>
      <c r="C907" s="87"/>
      <c r="D907" s="87"/>
      <c r="E907" s="87"/>
      <c r="F907" s="87"/>
      <c r="G907" s="88"/>
      <c r="H907" s="87"/>
      <c r="I907" s="87"/>
      <c r="J907" s="87"/>
      <c r="K907" s="8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M907" s="17"/>
      <c r="AN907" s="17"/>
      <c r="AO907" s="17"/>
      <c r="AP907" s="17"/>
      <c r="AQ907" s="17"/>
    </row>
    <row r="908" spans="1:43" s="84" customFormat="1" ht="15" x14ac:dyDescent="0.35">
      <c r="A908" s="80"/>
      <c r="B908" s="81"/>
      <c r="C908" s="82"/>
      <c r="D908" s="82"/>
      <c r="E908" s="82"/>
      <c r="F908" s="82"/>
      <c r="G908" s="83"/>
      <c r="H908" s="82"/>
      <c r="I908" s="82"/>
      <c r="J908" s="82"/>
      <c r="K908" s="82"/>
      <c r="L908" s="76"/>
      <c r="M908" s="82"/>
      <c r="N908" s="82"/>
      <c r="O908" s="82"/>
      <c r="P908" s="82"/>
      <c r="Q908" s="82"/>
      <c r="R908" s="82"/>
      <c r="S908" s="82"/>
      <c r="T908" s="82"/>
      <c r="U908" s="82"/>
      <c r="V908" s="82"/>
      <c r="W908" s="82"/>
      <c r="X908" s="82"/>
      <c r="Y908" s="76"/>
      <c r="Z908" s="82"/>
      <c r="AA908" s="82"/>
      <c r="AB908" s="82"/>
      <c r="AC908" s="82"/>
      <c r="AD908" s="82"/>
      <c r="AE908" s="82"/>
      <c r="AF908" s="82"/>
      <c r="AG908" s="82"/>
      <c r="AH908" s="82"/>
      <c r="AI908" s="82"/>
      <c r="AJ908" s="82"/>
      <c r="AK908" s="82"/>
      <c r="AL908" s="76"/>
      <c r="AM908" s="82"/>
      <c r="AN908" s="82"/>
      <c r="AO908" s="82"/>
      <c r="AP908" s="82"/>
      <c r="AQ908" s="82"/>
    </row>
    <row r="909" spans="1:43" ht="15" x14ac:dyDescent="0.35">
      <c r="A909" s="85"/>
      <c r="B909" s="86"/>
      <c r="C909" s="87"/>
      <c r="D909" s="87"/>
      <c r="E909" s="87"/>
      <c r="F909" s="87"/>
      <c r="G909" s="88"/>
      <c r="H909" s="87"/>
      <c r="I909" s="87"/>
      <c r="J909" s="87"/>
      <c r="K909" s="8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M909" s="17"/>
      <c r="AN909" s="17"/>
      <c r="AO909" s="17"/>
      <c r="AP909" s="17"/>
      <c r="AQ909" s="17"/>
    </row>
    <row r="910" spans="1:43" s="84" customFormat="1" ht="15" x14ac:dyDescent="0.35">
      <c r="A910" s="80"/>
      <c r="B910" s="81"/>
      <c r="C910" s="82"/>
      <c r="D910" s="82"/>
      <c r="E910" s="82"/>
      <c r="F910" s="82"/>
      <c r="G910" s="83"/>
      <c r="H910" s="82"/>
      <c r="I910" s="82"/>
      <c r="J910" s="82"/>
      <c r="K910" s="82"/>
      <c r="L910" s="76"/>
      <c r="M910" s="82"/>
      <c r="N910" s="82"/>
      <c r="O910" s="82"/>
      <c r="P910" s="82"/>
      <c r="Q910" s="82"/>
      <c r="R910" s="82"/>
      <c r="S910" s="82"/>
      <c r="T910" s="82"/>
      <c r="U910" s="82"/>
      <c r="V910" s="82"/>
      <c r="W910" s="82"/>
      <c r="X910" s="82"/>
      <c r="Y910" s="76"/>
      <c r="Z910" s="82"/>
      <c r="AA910" s="82"/>
      <c r="AB910" s="82"/>
      <c r="AC910" s="82"/>
      <c r="AD910" s="82"/>
      <c r="AE910" s="82"/>
      <c r="AF910" s="82"/>
      <c r="AG910" s="82"/>
      <c r="AH910" s="82"/>
      <c r="AI910" s="82"/>
      <c r="AJ910" s="82"/>
      <c r="AK910" s="82"/>
      <c r="AL910" s="76"/>
      <c r="AM910" s="82"/>
      <c r="AN910" s="82"/>
      <c r="AO910" s="82"/>
      <c r="AP910" s="82"/>
      <c r="AQ910" s="82"/>
    </row>
    <row r="911" spans="1:43" ht="15" x14ac:dyDescent="0.35">
      <c r="A911" s="85"/>
      <c r="B911" s="86"/>
      <c r="C911" s="87"/>
      <c r="D911" s="87"/>
      <c r="E911" s="87"/>
      <c r="F911" s="87"/>
      <c r="G911" s="88"/>
      <c r="H911" s="87"/>
      <c r="I911" s="87"/>
      <c r="J911" s="87"/>
      <c r="K911" s="8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M911" s="17"/>
      <c r="AN911" s="17"/>
      <c r="AO911" s="17"/>
      <c r="AP911" s="17"/>
      <c r="AQ911" s="17"/>
    </row>
    <row r="912" spans="1:43" s="84" customFormat="1" ht="15" x14ac:dyDescent="0.35">
      <c r="A912" s="80"/>
      <c r="B912" s="81"/>
      <c r="C912" s="82"/>
      <c r="D912" s="82"/>
      <c r="E912" s="82"/>
      <c r="F912" s="82"/>
      <c r="G912" s="83"/>
      <c r="H912" s="82"/>
      <c r="I912" s="82"/>
      <c r="J912" s="82"/>
      <c r="K912" s="82"/>
      <c r="L912" s="76"/>
      <c r="M912" s="82"/>
      <c r="N912" s="82"/>
      <c r="O912" s="82"/>
      <c r="P912" s="82"/>
      <c r="Q912" s="82"/>
      <c r="R912" s="82"/>
      <c r="S912" s="82"/>
      <c r="T912" s="82"/>
      <c r="U912" s="82"/>
      <c r="V912" s="82"/>
      <c r="W912" s="82"/>
      <c r="X912" s="82"/>
      <c r="Y912" s="76"/>
      <c r="Z912" s="82"/>
      <c r="AA912" s="82"/>
      <c r="AB912" s="82"/>
      <c r="AC912" s="82"/>
      <c r="AD912" s="82"/>
      <c r="AE912" s="82"/>
      <c r="AF912" s="82"/>
      <c r="AG912" s="82"/>
      <c r="AH912" s="82"/>
      <c r="AI912" s="82"/>
      <c r="AJ912" s="82"/>
      <c r="AK912" s="82"/>
      <c r="AL912" s="76"/>
      <c r="AM912" s="82"/>
      <c r="AN912" s="82"/>
      <c r="AO912" s="82"/>
      <c r="AP912" s="82"/>
      <c r="AQ912" s="82"/>
    </row>
    <row r="913" spans="1:43" ht="15" x14ac:dyDescent="0.35">
      <c r="A913" s="85"/>
      <c r="B913" s="86"/>
      <c r="C913" s="87"/>
      <c r="D913" s="87"/>
      <c r="E913" s="87"/>
      <c r="F913" s="87"/>
      <c r="G913" s="88"/>
      <c r="H913" s="87"/>
      <c r="I913" s="87"/>
      <c r="J913" s="87"/>
      <c r="K913" s="8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M913" s="17"/>
      <c r="AN913" s="17"/>
      <c r="AO913" s="17"/>
      <c r="AP913" s="17"/>
      <c r="AQ913" s="17"/>
    </row>
    <row r="914" spans="1:43" s="84" customFormat="1" ht="15" x14ac:dyDescent="0.35">
      <c r="A914" s="80"/>
      <c r="B914" s="81"/>
      <c r="C914" s="82"/>
      <c r="D914" s="82"/>
      <c r="E914" s="82"/>
      <c r="F914" s="82"/>
      <c r="G914" s="83"/>
      <c r="H914" s="82"/>
      <c r="I914" s="82"/>
      <c r="J914" s="82"/>
      <c r="K914" s="82"/>
      <c r="L914" s="76"/>
      <c r="M914" s="82"/>
      <c r="N914" s="82"/>
      <c r="O914" s="82"/>
      <c r="P914" s="82"/>
      <c r="Q914" s="82"/>
      <c r="R914" s="82"/>
      <c r="S914" s="82"/>
      <c r="T914" s="82"/>
      <c r="U914" s="82"/>
      <c r="V914" s="82"/>
      <c r="W914" s="82"/>
      <c r="X914" s="82"/>
      <c r="Y914" s="76"/>
      <c r="Z914" s="82"/>
      <c r="AA914" s="82"/>
      <c r="AB914" s="82"/>
      <c r="AC914" s="82"/>
      <c r="AD914" s="82"/>
      <c r="AE914" s="82"/>
      <c r="AF914" s="82"/>
      <c r="AG914" s="82"/>
      <c r="AH914" s="82"/>
      <c r="AI914" s="82"/>
      <c r="AJ914" s="82"/>
      <c r="AK914" s="82"/>
      <c r="AL914" s="76"/>
      <c r="AM914" s="82"/>
      <c r="AN914" s="82"/>
      <c r="AO914" s="82"/>
      <c r="AP914" s="82"/>
      <c r="AQ914" s="82"/>
    </row>
    <row r="915" spans="1:43" ht="15" x14ac:dyDescent="0.35">
      <c r="A915" s="85"/>
      <c r="B915" s="86"/>
      <c r="C915" s="87"/>
      <c r="D915" s="87"/>
      <c r="E915" s="87"/>
      <c r="F915" s="87"/>
      <c r="G915" s="88"/>
      <c r="H915" s="87"/>
      <c r="I915" s="87"/>
      <c r="J915" s="87"/>
      <c r="K915" s="8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M915" s="17"/>
      <c r="AN915" s="17"/>
      <c r="AO915" s="17"/>
      <c r="AP915" s="17"/>
      <c r="AQ915" s="17"/>
    </row>
    <row r="916" spans="1:43" s="84" customFormat="1" ht="15" x14ac:dyDescent="0.35">
      <c r="A916" s="80"/>
      <c r="B916" s="81"/>
      <c r="C916" s="82"/>
      <c r="D916" s="82"/>
      <c r="E916" s="82"/>
      <c r="F916" s="82"/>
      <c r="G916" s="83"/>
      <c r="H916" s="82"/>
      <c r="I916" s="82"/>
      <c r="J916" s="82"/>
      <c r="K916" s="82"/>
      <c r="L916" s="76"/>
      <c r="M916" s="82"/>
      <c r="N916" s="82"/>
      <c r="O916" s="82"/>
      <c r="P916" s="82"/>
      <c r="Q916" s="82"/>
      <c r="R916" s="82"/>
      <c r="S916" s="82"/>
      <c r="T916" s="82"/>
      <c r="U916" s="82"/>
      <c r="V916" s="82"/>
      <c r="W916" s="82"/>
      <c r="X916" s="82"/>
      <c r="Y916" s="76"/>
      <c r="Z916" s="82"/>
      <c r="AA916" s="82"/>
      <c r="AB916" s="82"/>
      <c r="AC916" s="82"/>
      <c r="AD916" s="82"/>
      <c r="AE916" s="82"/>
      <c r="AF916" s="82"/>
      <c r="AG916" s="82"/>
      <c r="AH916" s="82"/>
      <c r="AI916" s="82"/>
      <c r="AJ916" s="82"/>
      <c r="AK916" s="82"/>
      <c r="AL916" s="76"/>
      <c r="AM916" s="82"/>
      <c r="AN916" s="82"/>
      <c r="AO916" s="82"/>
      <c r="AP916" s="82"/>
      <c r="AQ916" s="82"/>
    </row>
    <row r="917" spans="1:43" ht="15" x14ac:dyDescent="0.35">
      <c r="A917" s="85"/>
      <c r="B917" s="86"/>
      <c r="C917" s="87"/>
      <c r="D917" s="87"/>
      <c r="E917" s="87"/>
      <c r="F917" s="87"/>
      <c r="G917" s="88"/>
      <c r="H917" s="87"/>
      <c r="I917" s="87"/>
      <c r="J917" s="87"/>
      <c r="K917" s="8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M917" s="17"/>
      <c r="AN917" s="17"/>
      <c r="AO917" s="17"/>
      <c r="AP917" s="17"/>
      <c r="AQ917" s="17"/>
    </row>
    <row r="918" spans="1:43" s="84" customFormat="1" ht="15" x14ac:dyDescent="0.35">
      <c r="A918" s="80"/>
      <c r="B918" s="81"/>
      <c r="C918" s="82"/>
      <c r="D918" s="82"/>
      <c r="E918" s="82"/>
      <c r="F918" s="82"/>
      <c r="G918" s="83"/>
      <c r="H918" s="82"/>
      <c r="I918" s="82"/>
      <c r="J918" s="82"/>
      <c r="K918" s="82"/>
      <c r="L918" s="76"/>
      <c r="M918" s="82"/>
      <c r="N918" s="82"/>
      <c r="O918" s="82"/>
      <c r="P918" s="82"/>
      <c r="Q918" s="82"/>
      <c r="R918" s="82"/>
      <c r="S918" s="82"/>
      <c r="T918" s="82"/>
      <c r="U918" s="82"/>
      <c r="V918" s="82"/>
      <c r="W918" s="82"/>
      <c r="X918" s="82"/>
      <c r="Y918" s="76"/>
      <c r="Z918" s="82"/>
      <c r="AA918" s="82"/>
      <c r="AB918" s="82"/>
      <c r="AC918" s="82"/>
      <c r="AD918" s="82"/>
      <c r="AE918" s="82"/>
      <c r="AF918" s="82"/>
      <c r="AG918" s="82"/>
      <c r="AH918" s="82"/>
      <c r="AI918" s="82"/>
      <c r="AJ918" s="82"/>
      <c r="AK918" s="82"/>
      <c r="AL918" s="76"/>
      <c r="AM918" s="82"/>
      <c r="AN918" s="82"/>
      <c r="AO918" s="82"/>
      <c r="AP918" s="82"/>
      <c r="AQ918" s="82"/>
    </row>
    <row r="919" spans="1:43" ht="15" x14ac:dyDescent="0.35">
      <c r="A919" s="85"/>
      <c r="B919" s="86"/>
      <c r="C919" s="87"/>
      <c r="D919" s="87"/>
      <c r="E919" s="87"/>
      <c r="F919" s="87"/>
      <c r="G919" s="88"/>
      <c r="H919" s="87"/>
      <c r="I919" s="87"/>
      <c r="J919" s="87"/>
      <c r="K919" s="8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M919" s="17"/>
      <c r="AN919" s="17"/>
      <c r="AO919" s="17"/>
      <c r="AP919" s="17"/>
      <c r="AQ919" s="17"/>
    </row>
    <row r="920" spans="1:43" s="84" customFormat="1" ht="15" x14ac:dyDescent="0.35">
      <c r="A920" s="80"/>
      <c r="B920" s="81"/>
      <c r="C920" s="82"/>
      <c r="D920" s="82"/>
      <c r="E920" s="82"/>
      <c r="F920" s="82"/>
      <c r="G920" s="83"/>
      <c r="H920" s="82"/>
      <c r="I920" s="82"/>
      <c r="J920" s="82"/>
      <c r="K920" s="82"/>
      <c r="L920" s="76"/>
      <c r="M920" s="82"/>
      <c r="N920" s="82"/>
      <c r="O920" s="82"/>
      <c r="P920" s="82"/>
      <c r="Q920" s="82"/>
      <c r="R920" s="82"/>
      <c r="S920" s="82"/>
      <c r="T920" s="82"/>
      <c r="U920" s="82"/>
      <c r="V920" s="82"/>
      <c r="W920" s="82"/>
      <c r="X920" s="82"/>
      <c r="Y920" s="76"/>
      <c r="Z920" s="82"/>
      <c r="AA920" s="82"/>
      <c r="AB920" s="82"/>
      <c r="AC920" s="82"/>
      <c r="AD920" s="82"/>
      <c r="AE920" s="82"/>
      <c r="AF920" s="82"/>
      <c r="AG920" s="82"/>
      <c r="AH920" s="82"/>
      <c r="AI920" s="82"/>
      <c r="AJ920" s="82"/>
      <c r="AK920" s="82"/>
      <c r="AL920" s="76"/>
      <c r="AM920" s="82"/>
      <c r="AN920" s="82"/>
      <c r="AO920" s="82"/>
      <c r="AP920" s="82"/>
      <c r="AQ920" s="82"/>
    </row>
    <row r="921" spans="1:43" ht="15" x14ac:dyDescent="0.35">
      <c r="A921" s="85"/>
      <c r="B921" s="86"/>
      <c r="C921" s="87"/>
      <c r="D921" s="87"/>
      <c r="E921" s="87"/>
      <c r="F921" s="87"/>
      <c r="G921" s="88"/>
      <c r="H921" s="87"/>
      <c r="I921" s="87"/>
      <c r="J921" s="87"/>
      <c r="K921" s="8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M921" s="17"/>
      <c r="AN921" s="17"/>
      <c r="AO921" s="17"/>
      <c r="AP921" s="17"/>
      <c r="AQ921" s="17"/>
    </row>
    <row r="922" spans="1:43" s="84" customFormat="1" ht="15" x14ac:dyDescent="0.35">
      <c r="A922" s="80"/>
      <c r="B922" s="81"/>
      <c r="C922" s="82"/>
      <c r="D922" s="82"/>
      <c r="E922" s="82"/>
      <c r="F922" s="82"/>
      <c r="G922" s="83"/>
      <c r="H922" s="82"/>
      <c r="I922" s="82"/>
      <c r="J922" s="82"/>
      <c r="K922" s="82"/>
      <c r="L922" s="76"/>
      <c r="M922" s="82"/>
      <c r="N922" s="82"/>
      <c r="O922" s="82"/>
      <c r="P922" s="82"/>
      <c r="Q922" s="82"/>
      <c r="R922" s="82"/>
      <c r="S922" s="82"/>
      <c r="T922" s="82"/>
      <c r="U922" s="82"/>
      <c r="V922" s="82"/>
      <c r="W922" s="82"/>
      <c r="X922" s="82"/>
      <c r="Y922" s="76"/>
      <c r="Z922" s="82"/>
      <c r="AA922" s="82"/>
      <c r="AB922" s="82"/>
      <c r="AC922" s="82"/>
      <c r="AD922" s="82"/>
      <c r="AE922" s="82"/>
      <c r="AF922" s="82"/>
      <c r="AG922" s="82"/>
      <c r="AH922" s="82"/>
      <c r="AI922" s="82"/>
      <c r="AJ922" s="82"/>
      <c r="AK922" s="82"/>
      <c r="AL922" s="76"/>
      <c r="AM922" s="82"/>
      <c r="AN922" s="82"/>
      <c r="AO922" s="82"/>
      <c r="AP922" s="82"/>
      <c r="AQ922" s="82"/>
    </row>
    <row r="923" spans="1:43" ht="15" x14ac:dyDescent="0.35">
      <c r="A923" s="85"/>
      <c r="B923" s="86"/>
      <c r="C923" s="87"/>
      <c r="D923" s="87"/>
      <c r="E923" s="87"/>
      <c r="F923" s="87"/>
      <c r="G923" s="88"/>
      <c r="H923" s="87"/>
      <c r="I923" s="87"/>
      <c r="J923" s="87"/>
      <c r="K923" s="8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M923" s="17"/>
      <c r="AN923" s="17"/>
      <c r="AO923" s="17"/>
      <c r="AP923" s="17"/>
      <c r="AQ923" s="17"/>
    </row>
    <row r="924" spans="1:43" s="84" customFormat="1" ht="15" x14ac:dyDescent="0.35">
      <c r="A924" s="80"/>
      <c r="B924" s="81"/>
      <c r="C924" s="82"/>
      <c r="D924" s="82"/>
      <c r="E924" s="82"/>
      <c r="F924" s="82"/>
      <c r="G924" s="83"/>
      <c r="H924" s="82"/>
      <c r="I924" s="82"/>
      <c r="J924" s="82"/>
      <c r="K924" s="82"/>
      <c r="L924" s="76"/>
      <c r="M924" s="82"/>
      <c r="N924" s="82"/>
      <c r="O924" s="82"/>
      <c r="P924" s="82"/>
      <c r="Q924" s="82"/>
      <c r="R924" s="82"/>
      <c r="S924" s="82"/>
      <c r="T924" s="82"/>
      <c r="U924" s="82"/>
      <c r="V924" s="82"/>
      <c r="W924" s="82"/>
      <c r="X924" s="82"/>
      <c r="Y924" s="76"/>
      <c r="Z924" s="82"/>
      <c r="AA924" s="82"/>
      <c r="AB924" s="82"/>
      <c r="AC924" s="82"/>
      <c r="AD924" s="82"/>
      <c r="AE924" s="82"/>
      <c r="AF924" s="82"/>
      <c r="AG924" s="82"/>
      <c r="AH924" s="82"/>
      <c r="AI924" s="82"/>
      <c r="AJ924" s="82"/>
      <c r="AK924" s="82"/>
      <c r="AL924" s="76"/>
      <c r="AM924" s="82"/>
      <c r="AN924" s="82"/>
      <c r="AO924" s="82"/>
      <c r="AP924" s="82"/>
      <c r="AQ924" s="82"/>
    </row>
    <row r="925" spans="1:43" ht="15" x14ac:dyDescent="0.35">
      <c r="A925" s="85"/>
      <c r="B925" s="86"/>
      <c r="C925" s="87"/>
      <c r="D925" s="87"/>
      <c r="E925" s="87"/>
      <c r="F925" s="87"/>
      <c r="G925" s="88"/>
      <c r="H925" s="87"/>
      <c r="I925" s="87"/>
      <c r="J925" s="87"/>
      <c r="K925" s="8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M925" s="17"/>
      <c r="AN925" s="17"/>
      <c r="AO925" s="17"/>
      <c r="AP925" s="17"/>
      <c r="AQ925" s="17"/>
    </row>
    <row r="926" spans="1:43" s="84" customFormat="1" ht="15" x14ac:dyDescent="0.35">
      <c r="A926" s="80"/>
      <c r="B926" s="81"/>
      <c r="C926" s="82"/>
      <c r="D926" s="82"/>
      <c r="E926" s="82"/>
      <c r="F926" s="82"/>
      <c r="G926" s="83"/>
      <c r="H926" s="82"/>
      <c r="I926" s="82"/>
      <c r="J926" s="82"/>
      <c r="K926" s="82"/>
      <c r="L926" s="76"/>
      <c r="M926" s="82"/>
      <c r="N926" s="82"/>
      <c r="O926" s="82"/>
      <c r="P926" s="82"/>
      <c r="Q926" s="82"/>
      <c r="R926" s="82"/>
      <c r="S926" s="82"/>
      <c r="T926" s="82"/>
      <c r="U926" s="82"/>
      <c r="V926" s="82"/>
      <c r="W926" s="82"/>
      <c r="X926" s="82"/>
      <c r="Y926" s="76"/>
      <c r="Z926" s="82"/>
      <c r="AA926" s="82"/>
      <c r="AB926" s="82"/>
      <c r="AC926" s="82"/>
      <c r="AD926" s="82"/>
      <c r="AE926" s="82"/>
      <c r="AF926" s="82"/>
      <c r="AG926" s="82"/>
      <c r="AH926" s="82"/>
      <c r="AI926" s="82"/>
      <c r="AJ926" s="82"/>
      <c r="AK926" s="82"/>
      <c r="AL926" s="76"/>
      <c r="AM926" s="82"/>
      <c r="AN926" s="82"/>
      <c r="AO926" s="82"/>
      <c r="AP926" s="82"/>
      <c r="AQ926" s="82"/>
    </row>
    <row r="927" spans="1:43" ht="15" x14ac:dyDescent="0.35">
      <c r="A927" s="85"/>
      <c r="B927" s="86"/>
      <c r="C927" s="87"/>
      <c r="D927" s="87"/>
      <c r="E927" s="87"/>
      <c r="F927" s="87"/>
      <c r="G927" s="88"/>
      <c r="H927" s="87"/>
      <c r="I927" s="87"/>
      <c r="J927" s="87"/>
      <c r="K927" s="8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M927" s="17"/>
      <c r="AN927" s="17"/>
      <c r="AO927" s="17"/>
      <c r="AP927" s="17"/>
      <c r="AQ927" s="17"/>
    </row>
    <row r="928" spans="1:43" s="84" customFormat="1" ht="15" x14ac:dyDescent="0.35">
      <c r="A928" s="80"/>
      <c r="B928" s="81"/>
      <c r="C928" s="82"/>
      <c r="D928" s="82"/>
      <c r="E928" s="82"/>
      <c r="F928" s="82"/>
      <c r="G928" s="83"/>
      <c r="H928" s="82"/>
      <c r="I928" s="82"/>
      <c r="J928" s="82"/>
      <c r="K928" s="82"/>
      <c r="L928" s="76"/>
      <c r="M928" s="82"/>
      <c r="N928" s="82"/>
      <c r="O928" s="82"/>
      <c r="P928" s="82"/>
      <c r="Q928" s="82"/>
      <c r="R928" s="82"/>
      <c r="S928" s="82"/>
      <c r="T928" s="82"/>
      <c r="U928" s="82"/>
      <c r="V928" s="82"/>
      <c r="W928" s="82"/>
      <c r="X928" s="82"/>
      <c r="Y928" s="76"/>
      <c r="Z928" s="82"/>
      <c r="AA928" s="82"/>
      <c r="AB928" s="82"/>
      <c r="AC928" s="82"/>
      <c r="AD928" s="82"/>
      <c r="AE928" s="82"/>
      <c r="AF928" s="82"/>
      <c r="AG928" s="82"/>
      <c r="AH928" s="82"/>
      <c r="AI928" s="82"/>
      <c r="AJ928" s="82"/>
      <c r="AK928" s="82"/>
      <c r="AL928" s="76"/>
      <c r="AM928" s="82"/>
      <c r="AN928" s="82"/>
      <c r="AO928" s="82"/>
      <c r="AP928" s="82"/>
      <c r="AQ928" s="82"/>
    </row>
    <row r="929" spans="1:43" ht="15" x14ac:dyDescent="0.35">
      <c r="A929" s="85"/>
      <c r="B929" s="86"/>
      <c r="C929" s="87"/>
      <c r="D929" s="87"/>
      <c r="E929" s="87"/>
      <c r="F929" s="87"/>
      <c r="G929" s="88"/>
      <c r="H929" s="87"/>
      <c r="I929" s="87"/>
      <c r="J929" s="87"/>
      <c r="K929" s="8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M929" s="17"/>
      <c r="AN929" s="17"/>
      <c r="AO929" s="17"/>
      <c r="AP929" s="17"/>
      <c r="AQ929" s="17"/>
    </row>
    <row r="930" spans="1:43" s="84" customFormat="1" ht="15" x14ac:dyDescent="0.35">
      <c r="A930" s="80"/>
      <c r="B930" s="81"/>
      <c r="C930" s="82"/>
      <c r="D930" s="82"/>
      <c r="E930" s="82"/>
      <c r="F930" s="82"/>
      <c r="G930" s="83"/>
      <c r="H930" s="82"/>
      <c r="I930" s="82"/>
      <c r="J930" s="82"/>
      <c r="K930" s="82"/>
      <c r="L930" s="76"/>
      <c r="M930" s="82"/>
      <c r="N930" s="82"/>
      <c r="O930" s="82"/>
      <c r="P930" s="82"/>
      <c r="Q930" s="82"/>
      <c r="R930" s="82"/>
      <c r="S930" s="82"/>
      <c r="T930" s="82"/>
      <c r="U930" s="82"/>
      <c r="V930" s="82"/>
      <c r="W930" s="82"/>
      <c r="X930" s="82"/>
      <c r="Y930" s="76"/>
      <c r="Z930" s="82"/>
      <c r="AA930" s="82"/>
      <c r="AB930" s="82"/>
      <c r="AC930" s="82"/>
      <c r="AD930" s="82"/>
      <c r="AE930" s="82"/>
      <c r="AF930" s="82"/>
      <c r="AG930" s="82"/>
      <c r="AH930" s="82"/>
      <c r="AI930" s="82"/>
      <c r="AJ930" s="82"/>
      <c r="AK930" s="82"/>
      <c r="AL930" s="76"/>
      <c r="AM930" s="82"/>
      <c r="AN930" s="82"/>
      <c r="AO930" s="82"/>
      <c r="AP930" s="82"/>
      <c r="AQ930" s="82"/>
    </row>
    <row r="931" spans="1:43" ht="15" x14ac:dyDescent="0.35">
      <c r="A931" s="85"/>
      <c r="B931" s="86"/>
      <c r="C931" s="87"/>
      <c r="D931" s="87"/>
      <c r="E931" s="87"/>
      <c r="F931" s="87"/>
      <c r="G931" s="88"/>
      <c r="H931" s="87"/>
      <c r="I931" s="87"/>
      <c r="J931" s="87"/>
      <c r="K931" s="8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M931" s="17"/>
      <c r="AN931" s="17"/>
      <c r="AO931" s="17"/>
      <c r="AP931" s="17"/>
      <c r="AQ931" s="17"/>
    </row>
    <row r="932" spans="1:43" s="84" customFormat="1" ht="15" x14ac:dyDescent="0.35">
      <c r="A932" s="80"/>
      <c r="B932" s="81"/>
      <c r="C932" s="82"/>
      <c r="D932" s="82"/>
      <c r="E932" s="82"/>
      <c r="F932" s="82"/>
      <c r="G932" s="83"/>
      <c r="H932" s="82"/>
      <c r="I932" s="82"/>
      <c r="J932" s="82"/>
      <c r="K932" s="82"/>
      <c r="L932" s="76"/>
      <c r="M932" s="82"/>
      <c r="N932" s="82"/>
      <c r="O932" s="82"/>
      <c r="P932" s="82"/>
      <c r="Q932" s="82"/>
      <c r="R932" s="82"/>
      <c r="S932" s="82"/>
      <c r="T932" s="82"/>
      <c r="U932" s="82"/>
      <c r="V932" s="82"/>
      <c r="W932" s="82"/>
      <c r="X932" s="82"/>
      <c r="Y932" s="76"/>
      <c r="Z932" s="82"/>
      <c r="AA932" s="82"/>
      <c r="AB932" s="82"/>
      <c r="AC932" s="82"/>
      <c r="AD932" s="82"/>
      <c r="AE932" s="82"/>
      <c r="AF932" s="82"/>
      <c r="AG932" s="82"/>
      <c r="AH932" s="82"/>
      <c r="AI932" s="82"/>
      <c r="AJ932" s="82"/>
      <c r="AK932" s="82"/>
      <c r="AL932" s="76"/>
      <c r="AM932" s="82"/>
      <c r="AN932" s="82"/>
      <c r="AO932" s="82"/>
      <c r="AP932" s="82"/>
      <c r="AQ932" s="82"/>
    </row>
    <row r="933" spans="1:43" ht="15" x14ac:dyDescent="0.35">
      <c r="A933" s="85"/>
      <c r="B933" s="86"/>
      <c r="C933" s="87"/>
      <c r="D933" s="87"/>
      <c r="E933" s="87"/>
      <c r="F933" s="87"/>
      <c r="G933" s="88"/>
      <c r="H933" s="87"/>
      <c r="I933" s="87"/>
      <c r="J933" s="87"/>
      <c r="K933" s="8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M933" s="17"/>
      <c r="AN933" s="17"/>
      <c r="AO933" s="17"/>
      <c r="AP933" s="17"/>
      <c r="AQ933" s="17"/>
    </row>
    <row r="934" spans="1:43" s="84" customFormat="1" ht="15" x14ac:dyDescent="0.35">
      <c r="A934" s="80"/>
      <c r="B934" s="81"/>
      <c r="C934" s="82"/>
      <c r="D934" s="82"/>
      <c r="E934" s="82"/>
      <c r="F934" s="82"/>
      <c r="G934" s="83"/>
      <c r="H934" s="82"/>
      <c r="I934" s="82"/>
      <c r="J934" s="82"/>
      <c r="K934" s="82"/>
      <c r="L934" s="76"/>
      <c r="M934" s="82"/>
      <c r="N934" s="82"/>
      <c r="O934" s="82"/>
      <c r="P934" s="82"/>
      <c r="Q934" s="82"/>
      <c r="R934" s="82"/>
      <c r="S934" s="82"/>
      <c r="T934" s="82"/>
      <c r="U934" s="82"/>
      <c r="V934" s="82"/>
      <c r="W934" s="82"/>
      <c r="X934" s="82"/>
      <c r="Y934" s="76"/>
      <c r="Z934" s="82"/>
      <c r="AA934" s="82"/>
      <c r="AB934" s="82"/>
      <c r="AC934" s="82"/>
      <c r="AD934" s="82"/>
      <c r="AE934" s="82"/>
      <c r="AF934" s="82"/>
      <c r="AG934" s="82"/>
      <c r="AH934" s="82"/>
      <c r="AI934" s="82"/>
      <c r="AJ934" s="82"/>
      <c r="AK934" s="82"/>
      <c r="AL934" s="76"/>
      <c r="AM934" s="82"/>
      <c r="AN934" s="82"/>
      <c r="AO934" s="82"/>
      <c r="AP934" s="82"/>
      <c r="AQ934" s="82"/>
    </row>
    <row r="935" spans="1:43" ht="15" x14ac:dyDescent="0.35">
      <c r="A935" s="85"/>
      <c r="B935" s="86"/>
      <c r="C935" s="87"/>
      <c r="D935" s="87"/>
      <c r="E935" s="87"/>
      <c r="F935" s="87"/>
      <c r="G935" s="88"/>
      <c r="H935" s="87"/>
      <c r="I935" s="87"/>
      <c r="J935" s="87"/>
      <c r="K935" s="8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M935" s="17"/>
      <c r="AN935" s="17"/>
      <c r="AO935" s="17"/>
      <c r="AP935" s="17"/>
      <c r="AQ935" s="17"/>
    </row>
    <row r="936" spans="1:43" s="84" customFormat="1" ht="15" x14ac:dyDescent="0.35">
      <c r="A936" s="80"/>
      <c r="B936" s="81"/>
      <c r="C936" s="82"/>
      <c r="D936" s="82"/>
      <c r="E936" s="82"/>
      <c r="F936" s="82"/>
      <c r="G936" s="83"/>
      <c r="H936" s="82"/>
      <c r="I936" s="82"/>
      <c r="J936" s="82"/>
      <c r="K936" s="82"/>
      <c r="L936" s="76"/>
      <c r="M936" s="82"/>
      <c r="N936" s="82"/>
      <c r="O936" s="82"/>
      <c r="P936" s="82"/>
      <c r="Q936" s="82"/>
      <c r="R936" s="82"/>
      <c r="S936" s="82"/>
      <c r="T936" s="82"/>
      <c r="U936" s="82"/>
      <c r="V936" s="82"/>
      <c r="W936" s="82"/>
      <c r="X936" s="82"/>
      <c r="Y936" s="76"/>
      <c r="Z936" s="82"/>
      <c r="AA936" s="82"/>
      <c r="AB936" s="82"/>
      <c r="AC936" s="82"/>
      <c r="AD936" s="82"/>
      <c r="AE936" s="82"/>
      <c r="AF936" s="82"/>
      <c r="AG936" s="82"/>
      <c r="AH936" s="82"/>
      <c r="AI936" s="82"/>
      <c r="AJ936" s="82"/>
      <c r="AK936" s="82"/>
      <c r="AL936" s="76"/>
      <c r="AM936" s="82"/>
      <c r="AN936" s="82"/>
      <c r="AO936" s="82"/>
      <c r="AP936" s="82"/>
      <c r="AQ936" s="82"/>
    </row>
    <row r="937" spans="1:43" ht="15" x14ac:dyDescent="0.35">
      <c r="A937" s="85"/>
      <c r="B937" s="86"/>
      <c r="C937" s="87"/>
      <c r="D937" s="87"/>
      <c r="E937" s="87"/>
      <c r="F937" s="87"/>
      <c r="G937" s="88"/>
      <c r="H937" s="87"/>
      <c r="I937" s="87"/>
      <c r="J937" s="87"/>
      <c r="K937" s="8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M937" s="17"/>
      <c r="AN937" s="17"/>
      <c r="AO937" s="17"/>
      <c r="AP937" s="17"/>
      <c r="AQ937" s="17"/>
    </row>
    <row r="938" spans="1:43" s="84" customFormat="1" ht="15" x14ac:dyDescent="0.35">
      <c r="A938" s="80"/>
      <c r="B938" s="81"/>
      <c r="C938" s="82"/>
      <c r="D938" s="82"/>
      <c r="E938" s="82"/>
      <c r="F938" s="82"/>
      <c r="G938" s="83"/>
      <c r="H938" s="82"/>
      <c r="I938" s="82"/>
      <c r="J938" s="82"/>
      <c r="K938" s="82"/>
      <c r="L938" s="76"/>
      <c r="M938" s="82"/>
      <c r="N938" s="82"/>
      <c r="O938" s="82"/>
      <c r="P938" s="82"/>
      <c r="Q938" s="82"/>
      <c r="R938" s="82"/>
      <c r="S938" s="82"/>
      <c r="T938" s="82"/>
      <c r="U938" s="82"/>
      <c r="V938" s="82"/>
      <c r="W938" s="82"/>
      <c r="X938" s="82"/>
      <c r="Y938" s="76"/>
      <c r="Z938" s="82"/>
      <c r="AA938" s="82"/>
      <c r="AB938" s="82"/>
      <c r="AC938" s="82"/>
      <c r="AD938" s="82"/>
      <c r="AE938" s="82"/>
      <c r="AF938" s="82"/>
      <c r="AG938" s="82"/>
      <c r="AH938" s="82"/>
      <c r="AI938" s="82"/>
      <c r="AJ938" s="82"/>
      <c r="AK938" s="82"/>
      <c r="AL938" s="76"/>
      <c r="AM938" s="82"/>
      <c r="AN938" s="82"/>
      <c r="AO938" s="82"/>
      <c r="AP938" s="82"/>
      <c r="AQ938" s="82"/>
    </row>
    <row r="939" spans="1:43" ht="15" x14ac:dyDescent="0.35">
      <c r="A939" s="85"/>
      <c r="B939" s="86"/>
      <c r="C939" s="87"/>
      <c r="D939" s="87"/>
      <c r="E939" s="87"/>
      <c r="F939" s="87"/>
      <c r="G939" s="88"/>
      <c r="H939" s="87"/>
      <c r="I939" s="87"/>
      <c r="J939" s="87"/>
      <c r="K939" s="8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M939" s="17"/>
      <c r="AN939" s="17"/>
      <c r="AO939" s="17"/>
      <c r="AP939" s="17"/>
      <c r="AQ939" s="17"/>
    </row>
    <row r="940" spans="1:43" s="84" customFormat="1" ht="15" x14ac:dyDescent="0.35">
      <c r="A940" s="80"/>
      <c r="B940" s="81"/>
      <c r="C940" s="82"/>
      <c r="D940" s="82"/>
      <c r="E940" s="82"/>
      <c r="F940" s="82"/>
      <c r="G940" s="83"/>
      <c r="H940" s="82"/>
      <c r="I940" s="82"/>
      <c r="J940" s="82"/>
      <c r="K940" s="82"/>
      <c r="L940" s="76"/>
      <c r="M940" s="82"/>
      <c r="N940" s="82"/>
      <c r="O940" s="82"/>
      <c r="P940" s="82"/>
      <c r="Q940" s="82"/>
      <c r="R940" s="82"/>
      <c r="S940" s="82"/>
      <c r="T940" s="82"/>
      <c r="U940" s="82"/>
      <c r="V940" s="82"/>
      <c r="W940" s="82"/>
      <c r="X940" s="82"/>
      <c r="Y940" s="76"/>
      <c r="Z940" s="82"/>
      <c r="AA940" s="82"/>
      <c r="AB940" s="82"/>
      <c r="AC940" s="82"/>
      <c r="AD940" s="82"/>
      <c r="AE940" s="82"/>
      <c r="AF940" s="82"/>
      <c r="AG940" s="82"/>
      <c r="AH940" s="82"/>
      <c r="AI940" s="82"/>
      <c r="AJ940" s="82"/>
      <c r="AK940" s="82"/>
      <c r="AL940" s="76"/>
      <c r="AM940" s="82"/>
      <c r="AN940" s="82"/>
      <c r="AO940" s="82"/>
      <c r="AP940" s="82"/>
      <c r="AQ940" s="82"/>
    </row>
    <row r="941" spans="1:43" ht="15" x14ac:dyDescent="0.35">
      <c r="A941" s="85"/>
      <c r="B941" s="86"/>
      <c r="C941" s="87"/>
      <c r="D941" s="87"/>
      <c r="E941" s="87"/>
      <c r="F941" s="87"/>
      <c r="G941" s="88"/>
      <c r="H941" s="87"/>
      <c r="I941" s="87"/>
      <c r="J941" s="87"/>
      <c r="K941" s="8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M941" s="17"/>
      <c r="AN941" s="17"/>
      <c r="AO941" s="17"/>
      <c r="AP941" s="17"/>
      <c r="AQ941" s="17"/>
    </row>
    <row r="942" spans="1:43" s="84" customFormat="1" ht="15" x14ac:dyDescent="0.35">
      <c r="A942" s="80"/>
      <c r="B942" s="81"/>
      <c r="C942" s="82"/>
      <c r="D942" s="82"/>
      <c r="E942" s="82"/>
      <c r="F942" s="82"/>
      <c r="G942" s="83"/>
      <c r="H942" s="82"/>
      <c r="I942" s="82"/>
      <c r="J942" s="82"/>
      <c r="K942" s="82"/>
      <c r="L942" s="76"/>
      <c r="M942" s="82"/>
      <c r="N942" s="82"/>
      <c r="O942" s="82"/>
      <c r="P942" s="82"/>
      <c r="Q942" s="82"/>
      <c r="R942" s="82"/>
      <c r="S942" s="82"/>
      <c r="T942" s="82"/>
      <c r="U942" s="82"/>
      <c r="V942" s="82"/>
      <c r="W942" s="82"/>
      <c r="X942" s="82"/>
      <c r="Y942" s="76"/>
      <c r="Z942" s="82"/>
      <c r="AA942" s="82"/>
      <c r="AB942" s="82"/>
      <c r="AC942" s="82"/>
      <c r="AD942" s="82"/>
      <c r="AE942" s="82"/>
      <c r="AF942" s="82"/>
      <c r="AG942" s="82"/>
      <c r="AH942" s="82"/>
      <c r="AI942" s="82"/>
      <c r="AJ942" s="82"/>
      <c r="AK942" s="82"/>
      <c r="AL942" s="76"/>
      <c r="AM942" s="82"/>
      <c r="AN942" s="82"/>
      <c r="AO942" s="82"/>
      <c r="AP942" s="82"/>
      <c r="AQ942" s="82"/>
    </row>
    <row r="943" spans="1:43" ht="15" x14ac:dyDescent="0.35">
      <c r="A943" s="85"/>
      <c r="B943" s="86"/>
      <c r="C943" s="87"/>
      <c r="D943" s="87"/>
      <c r="E943" s="87"/>
      <c r="F943" s="87"/>
      <c r="G943" s="88"/>
      <c r="H943" s="87"/>
      <c r="I943" s="87"/>
      <c r="J943" s="87"/>
      <c r="K943" s="8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M943" s="17"/>
      <c r="AN943" s="17"/>
      <c r="AO943" s="17"/>
      <c r="AP943" s="17"/>
      <c r="AQ943" s="17"/>
    </row>
    <row r="944" spans="1:43" s="84" customFormat="1" ht="15" x14ac:dyDescent="0.35">
      <c r="A944" s="80"/>
      <c r="B944" s="81"/>
      <c r="C944" s="82"/>
      <c r="D944" s="82"/>
      <c r="E944" s="82"/>
      <c r="F944" s="82"/>
      <c r="G944" s="83"/>
      <c r="H944" s="82"/>
      <c r="I944" s="82"/>
      <c r="J944" s="82"/>
      <c r="K944" s="82"/>
      <c r="L944" s="76"/>
      <c r="M944" s="82"/>
      <c r="N944" s="82"/>
      <c r="O944" s="82"/>
      <c r="P944" s="82"/>
      <c r="Q944" s="82"/>
      <c r="R944" s="82"/>
      <c r="S944" s="82"/>
      <c r="T944" s="82"/>
      <c r="U944" s="82"/>
      <c r="V944" s="82"/>
      <c r="W944" s="82"/>
      <c r="X944" s="82"/>
      <c r="Y944" s="76"/>
      <c r="Z944" s="82"/>
      <c r="AA944" s="82"/>
      <c r="AB944" s="82"/>
      <c r="AC944" s="82"/>
      <c r="AD944" s="82"/>
      <c r="AE944" s="82"/>
      <c r="AF944" s="82"/>
      <c r="AG944" s="82"/>
      <c r="AH944" s="82"/>
      <c r="AI944" s="82"/>
      <c r="AJ944" s="82"/>
      <c r="AK944" s="82"/>
      <c r="AL944" s="76"/>
      <c r="AM944" s="82"/>
      <c r="AN944" s="82"/>
      <c r="AO944" s="82"/>
      <c r="AP944" s="82"/>
      <c r="AQ944" s="82"/>
    </row>
    <row r="945" spans="1:43" ht="15" x14ac:dyDescent="0.35">
      <c r="A945" s="85"/>
      <c r="B945" s="86"/>
      <c r="C945" s="87"/>
      <c r="D945" s="87"/>
      <c r="E945" s="87"/>
      <c r="F945" s="87"/>
      <c r="G945" s="88"/>
      <c r="H945" s="87"/>
      <c r="I945" s="87"/>
      <c r="J945" s="87"/>
      <c r="K945" s="8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M945" s="17"/>
      <c r="AN945" s="17"/>
      <c r="AO945" s="17"/>
      <c r="AP945" s="17"/>
      <c r="AQ945" s="17"/>
    </row>
    <row r="946" spans="1:43" s="84" customFormat="1" ht="15" x14ac:dyDescent="0.35">
      <c r="A946" s="80"/>
      <c r="B946" s="81"/>
      <c r="C946" s="82"/>
      <c r="D946" s="82"/>
      <c r="E946" s="82"/>
      <c r="F946" s="82"/>
      <c r="G946" s="83"/>
      <c r="H946" s="82"/>
      <c r="I946" s="82"/>
      <c r="J946" s="82"/>
      <c r="K946" s="82"/>
      <c r="L946" s="76"/>
      <c r="M946" s="82"/>
      <c r="N946" s="82"/>
      <c r="O946" s="82"/>
      <c r="P946" s="82"/>
      <c r="Q946" s="82"/>
      <c r="R946" s="82"/>
      <c r="S946" s="82"/>
      <c r="T946" s="82"/>
      <c r="U946" s="82"/>
      <c r="V946" s="82"/>
      <c r="W946" s="82"/>
      <c r="X946" s="82"/>
      <c r="Y946" s="76"/>
      <c r="Z946" s="82"/>
      <c r="AA946" s="82"/>
      <c r="AB946" s="82"/>
      <c r="AC946" s="82"/>
      <c r="AD946" s="82"/>
      <c r="AE946" s="82"/>
      <c r="AF946" s="82"/>
      <c r="AG946" s="82"/>
      <c r="AH946" s="82"/>
      <c r="AI946" s="82"/>
      <c r="AJ946" s="82"/>
      <c r="AK946" s="82"/>
      <c r="AL946" s="76"/>
      <c r="AM946" s="82"/>
      <c r="AN946" s="82"/>
      <c r="AO946" s="82"/>
      <c r="AP946" s="82"/>
      <c r="AQ946" s="82"/>
    </row>
    <row r="947" spans="1:43" ht="15" x14ac:dyDescent="0.35">
      <c r="A947" s="85"/>
      <c r="B947" s="86"/>
      <c r="C947" s="87"/>
      <c r="D947" s="87"/>
      <c r="E947" s="87"/>
      <c r="F947" s="87"/>
      <c r="G947" s="88"/>
      <c r="H947" s="87"/>
      <c r="I947" s="87"/>
      <c r="J947" s="87"/>
      <c r="K947" s="8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M947" s="17"/>
      <c r="AN947" s="17"/>
      <c r="AO947" s="17"/>
      <c r="AP947" s="17"/>
      <c r="AQ947" s="17"/>
    </row>
    <row r="948" spans="1:43" s="84" customFormat="1" ht="15" x14ac:dyDescent="0.35">
      <c r="A948" s="80"/>
      <c r="B948" s="81"/>
      <c r="C948" s="82"/>
      <c r="D948" s="82"/>
      <c r="E948" s="82"/>
      <c r="F948" s="82"/>
      <c r="G948" s="83"/>
      <c r="H948" s="82"/>
      <c r="I948" s="82"/>
      <c r="J948" s="82"/>
      <c r="K948" s="82"/>
      <c r="L948" s="76"/>
      <c r="M948" s="82"/>
      <c r="N948" s="82"/>
      <c r="O948" s="82"/>
      <c r="P948" s="82"/>
      <c r="Q948" s="82"/>
      <c r="R948" s="82"/>
      <c r="S948" s="82"/>
      <c r="T948" s="82"/>
      <c r="U948" s="82"/>
      <c r="V948" s="82"/>
      <c r="W948" s="82"/>
      <c r="X948" s="82"/>
      <c r="Y948" s="76"/>
      <c r="Z948" s="82"/>
      <c r="AA948" s="82"/>
      <c r="AB948" s="82"/>
      <c r="AC948" s="82"/>
      <c r="AD948" s="82"/>
      <c r="AE948" s="82"/>
      <c r="AF948" s="82"/>
      <c r="AG948" s="82"/>
      <c r="AH948" s="82"/>
      <c r="AI948" s="82"/>
      <c r="AJ948" s="82"/>
      <c r="AK948" s="82"/>
      <c r="AL948" s="76"/>
      <c r="AM948" s="82"/>
      <c r="AN948" s="82"/>
      <c r="AO948" s="82"/>
      <c r="AP948" s="82"/>
      <c r="AQ948" s="82"/>
    </row>
    <row r="949" spans="1:43" ht="15" x14ac:dyDescent="0.35">
      <c r="A949" s="85"/>
      <c r="B949" s="86"/>
      <c r="C949" s="87"/>
      <c r="D949" s="87"/>
      <c r="E949" s="87"/>
      <c r="F949" s="87"/>
      <c r="G949" s="88"/>
      <c r="H949" s="87"/>
      <c r="I949" s="87"/>
      <c r="J949" s="87"/>
      <c r="K949" s="8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M949" s="17"/>
      <c r="AN949" s="17"/>
      <c r="AO949" s="17"/>
      <c r="AP949" s="17"/>
      <c r="AQ949" s="17"/>
    </row>
    <row r="950" spans="1:43" s="84" customFormat="1" ht="15" x14ac:dyDescent="0.35">
      <c r="A950" s="80"/>
      <c r="B950" s="81"/>
      <c r="C950" s="82"/>
      <c r="D950" s="82"/>
      <c r="E950" s="82"/>
      <c r="F950" s="82"/>
      <c r="G950" s="83"/>
      <c r="H950" s="82"/>
      <c r="I950" s="82"/>
      <c r="J950" s="82"/>
      <c r="K950" s="82"/>
      <c r="L950" s="76"/>
      <c r="M950" s="82"/>
      <c r="N950" s="82"/>
      <c r="O950" s="82"/>
      <c r="P950" s="82"/>
      <c r="Q950" s="82"/>
      <c r="R950" s="82"/>
      <c r="S950" s="82"/>
      <c r="T950" s="82"/>
      <c r="U950" s="82"/>
      <c r="V950" s="82"/>
      <c r="W950" s="82"/>
      <c r="X950" s="82"/>
      <c r="Y950" s="76"/>
      <c r="Z950" s="82"/>
      <c r="AA950" s="82"/>
      <c r="AB950" s="82"/>
      <c r="AC950" s="82"/>
      <c r="AD950" s="82"/>
      <c r="AE950" s="82"/>
      <c r="AF950" s="82"/>
      <c r="AG950" s="82"/>
      <c r="AH950" s="82"/>
      <c r="AI950" s="82"/>
      <c r="AJ950" s="82"/>
      <c r="AK950" s="82"/>
      <c r="AL950" s="76"/>
      <c r="AM950" s="82"/>
      <c r="AN950" s="82"/>
      <c r="AO950" s="82"/>
      <c r="AP950" s="82"/>
      <c r="AQ950" s="82"/>
    </row>
    <row r="951" spans="1:43" ht="15" x14ac:dyDescent="0.35">
      <c r="A951" s="85"/>
      <c r="B951" s="86"/>
      <c r="C951" s="87"/>
      <c r="D951" s="87"/>
      <c r="E951" s="87"/>
      <c r="F951" s="87"/>
      <c r="G951" s="88"/>
      <c r="H951" s="87"/>
      <c r="I951" s="87"/>
      <c r="J951" s="87"/>
      <c r="K951" s="8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M951" s="17"/>
      <c r="AN951" s="17"/>
      <c r="AO951" s="17"/>
      <c r="AP951" s="17"/>
      <c r="AQ951" s="17"/>
    </row>
    <row r="952" spans="1:43" s="84" customFormat="1" ht="15" x14ac:dyDescent="0.35">
      <c r="A952" s="80"/>
      <c r="B952" s="81"/>
      <c r="C952" s="82"/>
      <c r="D952" s="82"/>
      <c r="E952" s="82"/>
      <c r="F952" s="82"/>
      <c r="G952" s="83"/>
      <c r="H952" s="82"/>
      <c r="I952" s="82"/>
      <c r="J952" s="82"/>
      <c r="K952" s="82"/>
      <c r="L952" s="76"/>
      <c r="M952" s="82"/>
      <c r="N952" s="82"/>
      <c r="O952" s="82"/>
      <c r="P952" s="82"/>
      <c r="Q952" s="82"/>
      <c r="R952" s="82"/>
      <c r="S952" s="82"/>
      <c r="T952" s="82"/>
      <c r="U952" s="82"/>
      <c r="V952" s="82"/>
      <c r="W952" s="82"/>
      <c r="X952" s="82"/>
      <c r="Y952" s="76"/>
      <c r="Z952" s="82"/>
      <c r="AA952" s="82"/>
      <c r="AB952" s="82"/>
      <c r="AC952" s="82"/>
      <c r="AD952" s="82"/>
      <c r="AE952" s="82"/>
      <c r="AF952" s="82"/>
      <c r="AG952" s="82"/>
      <c r="AH952" s="82"/>
      <c r="AI952" s="82"/>
      <c r="AJ952" s="82"/>
      <c r="AK952" s="82"/>
      <c r="AL952" s="76"/>
      <c r="AM952" s="82"/>
      <c r="AN952" s="82"/>
      <c r="AO952" s="82"/>
      <c r="AP952" s="82"/>
      <c r="AQ952" s="82"/>
    </row>
    <row r="953" spans="1:43" ht="15" x14ac:dyDescent="0.35">
      <c r="A953" s="85"/>
      <c r="B953" s="86"/>
      <c r="C953" s="87"/>
      <c r="D953" s="87"/>
      <c r="E953" s="87"/>
      <c r="F953" s="87"/>
      <c r="G953" s="88"/>
      <c r="H953" s="87"/>
      <c r="I953" s="87"/>
      <c r="J953" s="87"/>
      <c r="K953" s="8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M953" s="17"/>
      <c r="AN953" s="17"/>
      <c r="AO953" s="17"/>
      <c r="AP953" s="17"/>
      <c r="AQ953" s="17"/>
    </row>
    <row r="954" spans="1:43" s="84" customFormat="1" ht="15" x14ac:dyDescent="0.35">
      <c r="A954" s="80"/>
      <c r="B954" s="81"/>
      <c r="C954" s="82"/>
      <c r="D954" s="82"/>
      <c r="E954" s="82"/>
      <c r="F954" s="82"/>
      <c r="G954" s="83"/>
      <c r="H954" s="82"/>
      <c r="I954" s="82"/>
      <c r="J954" s="82"/>
      <c r="K954" s="82"/>
      <c r="L954" s="76"/>
      <c r="M954" s="82"/>
      <c r="N954" s="82"/>
      <c r="O954" s="82"/>
      <c r="P954" s="82"/>
      <c r="Q954" s="82"/>
      <c r="R954" s="82"/>
      <c r="S954" s="82"/>
      <c r="T954" s="82"/>
      <c r="U954" s="82"/>
      <c r="V954" s="82"/>
      <c r="W954" s="82"/>
      <c r="X954" s="82"/>
      <c r="Y954" s="76"/>
      <c r="Z954" s="82"/>
      <c r="AA954" s="82"/>
      <c r="AB954" s="82"/>
      <c r="AC954" s="82"/>
      <c r="AD954" s="82"/>
      <c r="AE954" s="82"/>
      <c r="AF954" s="82"/>
      <c r="AG954" s="82"/>
      <c r="AH954" s="82"/>
      <c r="AI954" s="82"/>
      <c r="AJ954" s="82"/>
      <c r="AK954" s="82"/>
      <c r="AL954" s="76"/>
      <c r="AM954" s="82"/>
      <c r="AN954" s="82"/>
      <c r="AO954" s="82"/>
      <c r="AP954" s="82"/>
      <c r="AQ954" s="82"/>
    </row>
    <row r="955" spans="1:43" ht="15" x14ac:dyDescent="0.35">
      <c r="A955" s="85"/>
      <c r="B955" s="86"/>
      <c r="C955" s="87"/>
      <c r="D955" s="87"/>
      <c r="E955" s="87"/>
      <c r="F955" s="87"/>
      <c r="G955" s="88"/>
      <c r="H955" s="87"/>
      <c r="I955" s="87"/>
      <c r="J955" s="87"/>
      <c r="K955" s="8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M955" s="17"/>
      <c r="AN955" s="17"/>
      <c r="AO955" s="17"/>
      <c r="AP955" s="17"/>
      <c r="AQ955" s="17"/>
    </row>
    <row r="956" spans="1:43" s="84" customFormat="1" ht="15" x14ac:dyDescent="0.35">
      <c r="A956" s="80"/>
      <c r="B956" s="81"/>
      <c r="C956" s="82"/>
      <c r="D956" s="82"/>
      <c r="E956" s="82"/>
      <c r="F956" s="82"/>
      <c r="G956" s="83"/>
      <c r="H956" s="82"/>
      <c r="I956" s="82"/>
      <c r="J956" s="82"/>
      <c r="K956" s="82"/>
      <c r="L956" s="76"/>
      <c r="M956" s="82"/>
      <c r="N956" s="82"/>
      <c r="O956" s="82"/>
      <c r="P956" s="82"/>
      <c r="Q956" s="82"/>
      <c r="R956" s="82"/>
      <c r="S956" s="82"/>
      <c r="T956" s="82"/>
      <c r="U956" s="82"/>
      <c r="V956" s="82"/>
      <c r="W956" s="82"/>
      <c r="X956" s="82"/>
      <c r="Y956" s="76"/>
      <c r="Z956" s="82"/>
      <c r="AA956" s="82"/>
      <c r="AB956" s="82"/>
      <c r="AC956" s="82"/>
      <c r="AD956" s="82"/>
      <c r="AE956" s="82"/>
      <c r="AF956" s="82"/>
      <c r="AG956" s="82"/>
      <c r="AH956" s="82"/>
      <c r="AI956" s="82"/>
      <c r="AJ956" s="82"/>
      <c r="AK956" s="82"/>
      <c r="AL956" s="76"/>
      <c r="AM956" s="82"/>
      <c r="AN956" s="82"/>
      <c r="AO956" s="82"/>
      <c r="AP956" s="82"/>
      <c r="AQ956" s="82"/>
    </row>
    <row r="957" spans="1:43" ht="15" x14ac:dyDescent="0.35">
      <c r="A957" s="85"/>
      <c r="B957" s="86"/>
      <c r="C957" s="87"/>
      <c r="D957" s="87"/>
      <c r="E957" s="87"/>
      <c r="F957" s="87"/>
      <c r="G957" s="88"/>
      <c r="H957" s="87"/>
      <c r="I957" s="87"/>
      <c r="J957" s="87"/>
      <c r="K957" s="8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M957" s="17"/>
      <c r="AN957" s="17"/>
      <c r="AO957" s="17"/>
      <c r="AP957" s="17"/>
      <c r="AQ957" s="17"/>
    </row>
    <row r="958" spans="1:43" s="84" customFormat="1" ht="15" x14ac:dyDescent="0.35">
      <c r="A958" s="80"/>
      <c r="B958" s="81"/>
      <c r="C958" s="82"/>
      <c r="D958" s="82"/>
      <c r="E958" s="82"/>
      <c r="F958" s="82"/>
      <c r="G958" s="83"/>
      <c r="H958" s="82"/>
      <c r="I958" s="82"/>
      <c r="J958" s="82"/>
      <c r="K958" s="82"/>
      <c r="L958" s="76"/>
      <c r="M958" s="82"/>
      <c r="N958" s="82"/>
      <c r="O958" s="82"/>
      <c r="P958" s="82"/>
      <c r="Q958" s="82"/>
      <c r="R958" s="82"/>
      <c r="S958" s="82"/>
      <c r="T958" s="82"/>
      <c r="U958" s="82"/>
      <c r="V958" s="82"/>
      <c r="W958" s="82"/>
      <c r="X958" s="82"/>
      <c r="Y958" s="76"/>
      <c r="Z958" s="82"/>
      <c r="AA958" s="82"/>
      <c r="AB958" s="82"/>
      <c r="AC958" s="82"/>
      <c r="AD958" s="82"/>
      <c r="AE958" s="82"/>
      <c r="AF958" s="82"/>
      <c r="AG958" s="82"/>
      <c r="AH958" s="82"/>
      <c r="AI958" s="82"/>
      <c r="AJ958" s="82"/>
      <c r="AK958" s="82"/>
      <c r="AL958" s="76"/>
      <c r="AM958" s="82"/>
      <c r="AN958" s="82"/>
      <c r="AO958" s="82"/>
      <c r="AP958" s="82"/>
      <c r="AQ958" s="82"/>
    </row>
    <row r="959" spans="1:43" ht="15" x14ac:dyDescent="0.35">
      <c r="A959" s="85"/>
      <c r="B959" s="86"/>
      <c r="C959" s="87"/>
      <c r="D959" s="87"/>
      <c r="E959" s="87"/>
      <c r="F959" s="87"/>
      <c r="G959" s="88"/>
      <c r="H959" s="87"/>
      <c r="I959" s="87"/>
      <c r="J959" s="87"/>
      <c r="K959" s="8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M959" s="17"/>
      <c r="AN959" s="17"/>
      <c r="AO959" s="17"/>
      <c r="AP959" s="17"/>
      <c r="AQ959" s="17"/>
    </row>
    <row r="960" spans="1:43" s="84" customFormat="1" ht="15" x14ac:dyDescent="0.35">
      <c r="A960" s="80"/>
      <c r="B960" s="81"/>
      <c r="C960" s="82"/>
      <c r="D960" s="82"/>
      <c r="E960" s="82"/>
      <c r="F960" s="82"/>
      <c r="G960" s="83"/>
      <c r="H960" s="82"/>
      <c r="I960" s="82"/>
      <c r="J960" s="82"/>
      <c r="K960" s="82"/>
      <c r="L960" s="76"/>
      <c r="M960" s="82"/>
      <c r="N960" s="82"/>
      <c r="O960" s="82"/>
      <c r="P960" s="82"/>
      <c r="Q960" s="82"/>
      <c r="R960" s="82"/>
      <c r="S960" s="82"/>
      <c r="T960" s="82"/>
      <c r="U960" s="82"/>
      <c r="V960" s="82"/>
      <c r="W960" s="82"/>
      <c r="X960" s="82"/>
      <c r="Y960" s="76"/>
      <c r="Z960" s="82"/>
      <c r="AA960" s="82"/>
      <c r="AB960" s="82"/>
      <c r="AC960" s="82"/>
      <c r="AD960" s="82"/>
      <c r="AE960" s="82"/>
      <c r="AF960" s="82"/>
      <c r="AG960" s="82"/>
      <c r="AH960" s="82"/>
      <c r="AI960" s="82"/>
      <c r="AJ960" s="82"/>
      <c r="AK960" s="82"/>
      <c r="AL960" s="76"/>
      <c r="AM960" s="82"/>
      <c r="AN960" s="82"/>
      <c r="AO960" s="82"/>
      <c r="AP960" s="82"/>
      <c r="AQ960" s="82"/>
    </row>
    <row r="961" spans="1:43" ht="15" x14ac:dyDescent="0.35">
      <c r="A961" s="85"/>
      <c r="B961" s="86"/>
      <c r="C961" s="87"/>
      <c r="D961" s="87"/>
      <c r="E961" s="87"/>
      <c r="F961" s="87"/>
      <c r="G961" s="88"/>
      <c r="H961" s="87"/>
      <c r="I961" s="87"/>
      <c r="J961" s="87"/>
      <c r="K961" s="8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M961" s="17"/>
      <c r="AN961" s="17"/>
      <c r="AO961" s="17"/>
      <c r="AP961" s="17"/>
      <c r="AQ961" s="17"/>
    </row>
    <row r="962" spans="1:43" s="84" customFormat="1" ht="15" x14ac:dyDescent="0.35">
      <c r="A962" s="80"/>
      <c r="B962" s="81"/>
      <c r="C962" s="82"/>
      <c r="D962" s="82"/>
      <c r="E962" s="82"/>
      <c r="F962" s="82"/>
      <c r="G962" s="83"/>
      <c r="H962" s="82"/>
      <c r="I962" s="82"/>
      <c r="J962" s="82"/>
      <c r="K962" s="82"/>
      <c r="L962" s="76"/>
      <c r="M962" s="82"/>
      <c r="N962" s="82"/>
      <c r="O962" s="82"/>
      <c r="P962" s="82"/>
      <c r="Q962" s="82"/>
      <c r="R962" s="82"/>
      <c r="S962" s="82"/>
      <c r="T962" s="82"/>
      <c r="U962" s="82"/>
      <c r="V962" s="82"/>
      <c r="W962" s="82"/>
      <c r="X962" s="82"/>
      <c r="Y962" s="76"/>
      <c r="Z962" s="82"/>
      <c r="AA962" s="82"/>
      <c r="AB962" s="82"/>
      <c r="AC962" s="82"/>
      <c r="AD962" s="82"/>
      <c r="AE962" s="82"/>
      <c r="AF962" s="82"/>
      <c r="AG962" s="82"/>
      <c r="AH962" s="82"/>
      <c r="AI962" s="82"/>
      <c r="AJ962" s="82"/>
      <c r="AK962" s="82"/>
      <c r="AL962" s="76"/>
      <c r="AM962" s="82"/>
      <c r="AN962" s="82"/>
      <c r="AO962" s="82"/>
      <c r="AP962" s="82"/>
      <c r="AQ962" s="82"/>
    </row>
    <row r="963" spans="1:43" ht="15" x14ac:dyDescent="0.35">
      <c r="A963" s="85"/>
      <c r="B963" s="86"/>
      <c r="C963" s="87"/>
      <c r="D963" s="87"/>
      <c r="E963" s="87"/>
      <c r="F963" s="87"/>
      <c r="G963" s="88"/>
      <c r="H963" s="87"/>
      <c r="I963" s="87"/>
      <c r="J963" s="87"/>
      <c r="K963" s="8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M963" s="17"/>
      <c r="AN963" s="17"/>
      <c r="AO963" s="17"/>
      <c r="AP963" s="17"/>
      <c r="AQ963" s="17"/>
    </row>
    <row r="964" spans="1:43" s="84" customFormat="1" ht="15" x14ac:dyDescent="0.35">
      <c r="A964" s="80"/>
      <c r="B964" s="81"/>
      <c r="C964" s="82"/>
      <c r="D964" s="82"/>
      <c r="E964" s="82"/>
      <c r="F964" s="82"/>
      <c r="G964" s="83"/>
      <c r="H964" s="82"/>
      <c r="I964" s="82"/>
      <c r="J964" s="82"/>
      <c r="K964" s="82"/>
      <c r="L964" s="76"/>
      <c r="M964" s="82"/>
      <c r="N964" s="82"/>
      <c r="O964" s="82"/>
      <c r="P964" s="82"/>
      <c r="Q964" s="82"/>
      <c r="R964" s="82"/>
      <c r="S964" s="82"/>
      <c r="T964" s="82"/>
      <c r="U964" s="82"/>
      <c r="V964" s="82"/>
      <c r="W964" s="82"/>
      <c r="X964" s="82"/>
      <c r="Y964" s="76"/>
      <c r="Z964" s="82"/>
      <c r="AA964" s="82"/>
      <c r="AB964" s="82"/>
      <c r="AC964" s="82"/>
      <c r="AD964" s="82"/>
      <c r="AE964" s="82"/>
      <c r="AF964" s="82"/>
      <c r="AG964" s="82"/>
      <c r="AH964" s="82"/>
      <c r="AI964" s="82"/>
      <c r="AJ964" s="82"/>
      <c r="AK964" s="82"/>
      <c r="AL964" s="76"/>
      <c r="AM964" s="82"/>
      <c r="AN964" s="82"/>
      <c r="AO964" s="82"/>
      <c r="AP964" s="82"/>
      <c r="AQ964" s="82"/>
    </row>
    <row r="965" spans="1:43" ht="15" x14ac:dyDescent="0.35">
      <c r="A965" s="85"/>
      <c r="B965" s="86"/>
      <c r="C965" s="87"/>
      <c r="D965" s="87"/>
      <c r="E965" s="87"/>
      <c r="F965" s="87"/>
      <c r="G965" s="88"/>
      <c r="H965" s="87"/>
      <c r="I965" s="87"/>
      <c r="J965" s="87"/>
      <c r="K965" s="8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M965" s="17"/>
      <c r="AN965" s="17"/>
      <c r="AO965" s="17"/>
      <c r="AP965" s="17"/>
      <c r="AQ965" s="17"/>
    </row>
    <row r="966" spans="1:43" s="84" customFormat="1" ht="15" x14ac:dyDescent="0.35">
      <c r="A966" s="80"/>
      <c r="B966" s="81"/>
      <c r="C966" s="82"/>
      <c r="D966" s="82"/>
      <c r="E966" s="82"/>
      <c r="F966" s="82"/>
      <c r="G966" s="83"/>
      <c r="H966" s="82"/>
      <c r="I966" s="82"/>
      <c r="J966" s="82"/>
      <c r="K966" s="82"/>
      <c r="L966" s="76"/>
      <c r="M966" s="82"/>
      <c r="N966" s="82"/>
      <c r="O966" s="82"/>
      <c r="P966" s="82"/>
      <c r="Q966" s="82"/>
      <c r="R966" s="82"/>
      <c r="S966" s="82"/>
      <c r="T966" s="82"/>
      <c r="U966" s="82"/>
      <c r="V966" s="82"/>
      <c r="W966" s="82"/>
      <c r="X966" s="82"/>
      <c r="Y966" s="76"/>
      <c r="Z966" s="82"/>
      <c r="AA966" s="82"/>
      <c r="AB966" s="82"/>
      <c r="AC966" s="82"/>
      <c r="AD966" s="82"/>
      <c r="AE966" s="82"/>
      <c r="AF966" s="82"/>
      <c r="AG966" s="82"/>
      <c r="AH966" s="82"/>
      <c r="AI966" s="82"/>
      <c r="AJ966" s="82"/>
      <c r="AK966" s="82"/>
      <c r="AL966" s="76"/>
      <c r="AM966" s="82"/>
      <c r="AN966" s="82"/>
      <c r="AO966" s="82"/>
      <c r="AP966" s="82"/>
      <c r="AQ966" s="82"/>
    </row>
    <row r="967" spans="1:43" ht="15" x14ac:dyDescent="0.35">
      <c r="A967" s="85"/>
      <c r="B967" s="86"/>
      <c r="C967" s="87"/>
      <c r="D967" s="87"/>
      <c r="E967" s="87"/>
      <c r="F967" s="87"/>
      <c r="G967" s="88"/>
      <c r="H967" s="87"/>
      <c r="I967" s="87"/>
      <c r="J967" s="87"/>
      <c r="K967" s="8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M967" s="17"/>
      <c r="AN967" s="17"/>
      <c r="AO967" s="17"/>
      <c r="AP967" s="17"/>
      <c r="AQ967" s="17"/>
    </row>
    <row r="968" spans="1:43" s="84" customFormat="1" ht="15" x14ac:dyDescent="0.35">
      <c r="A968" s="80"/>
      <c r="B968" s="81"/>
      <c r="C968" s="82"/>
      <c r="D968" s="82"/>
      <c r="E968" s="82"/>
      <c r="F968" s="82"/>
      <c r="G968" s="83"/>
      <c r="H968" s="82"/>
      <c r="I968" s="82"/>
      <c r="J968" s="82"/>
      <c r="K968" s="82"/>
      <c r="L968" s="76"/>
      <c r="M968" s="82"/>
      <c r="N968" s="82"/>
      <c r="O968" s="82"/>
      <c r="P968" s="82"/>
      <c r="Q968" s="82"/>
      <c r="R968" s="82"/>
      <c r="S968" s="82"/>
      <c r="T968" s="82"/>
      <c r="U968" s="82"/>
      <c r="V968" s="82"/>
      <c r="W968" s="82"/>
      <c r="X968" s="82"/>
      <c r="Y968" s="76"/>
      <c r="Z968" s="82"/>
      <c r="AA968" s="82"/>
      <c r="AB968" s="82"/>
      <c r="AC968" s="82"/>
      <c r="AD968" s="82"/>
      <c r="AE968" s="82"/>
      <c r="AF968" s="82"/>
      <c r="AG968" s="82"/>
      <c r="AH968" s="82"/>
      <c r="AI968" s="82"/>
      <c r="AJ968" s="82"/>
      <c r="AK968" s="82"/>
      <c r="AL968" s="76"/>
      <c r="AM968" s="82"/>
      <c r="AN968" s="82"/>
      <c r="AO968" s="82"/>
      <c r="AP968" s="82"/>
      <c r="AQ968" s="82"/>
    </row>
    <row r="969" spans="1:43" ht="15" x14ac:dyDescent="0.35">
      <c r="A969" s="85"/>
      <c r="B969" s="86"/>
      <c r="C969" s="87"/>
      <c r="D969" s="87"/>
      <c r="E969" s="87"/>
      <c r="F969" s="87"/>
      <c r="G969" s="88"/>
      <c r="H969" s="87"/>
      <c r="I969" s="87"/>
      <c r="J969" s="87"/>
      <c r="K969" s="8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M969" s="17"/>
      <c r="AN969" s="17"/>
      <c r="AO969" s="17"/>
      <c r="AP969" s="17"/>
      <c r="AQ969" s="17"/>
    </row>
    <row r="970" spans="1:43" s="84" customFormat="1" ht="15" x14ac:dyDescent="0.35">
      <c r="A970" s="80"/>
      <c r="B970" s="81"/>
      <c r="C970" s="82"/>
      <c r="D970" s="82"/>
      <c r="E970" s="82"/>
      <c r="F970" s="82"/>
      <c r="G970" s="83"/>
      <c r="H970" s="82"/>
      <c r="I970" s="82"/>
      <c r="J970" s="82"/>
      <c r="K970" s="82"/>
      <c r="L970" s="76"/>
      <c r="M970" s="82"/>
      <c r="N970" s="82"/>
      <c r="O970" s="82"/>
      <c r="P970" s="82"/>
      <c r="Q970" s="82"/>
      <c r="R970" s="82"/>
      <c r="S970" s="82"/>
      <c r="T970" s="82"/>
      <c r="U970" s="82"/>
      <c r="V970" s="82"/>
      <c r="W970" s="82"/>
      <c r="X970" s="82"/>
      <c r="Y970" s="76"/>
      <c r="Z970" s="82"/>
      <c r="AA970" s="82"/>
      <c r="AB970" s="82"/>
      <c r="AC970" s="82"/>
      <c r="AD970" s="82"/>
      <c r="AE970" s="82"/>
      <c r="AF970" s="82"/>
      <c r="AG970" s="82"/>
      <c r="AH970" s="82"/>
      <c r="AI970" s="82"/>
      <c r="AJ970" s="82"/>
      <c r="AK970" s="82"/>
      <c r="AL970" s="76"/>
      <c r="AM970" s="82"/>
      <c r="AN970" s="82"/>
      <c r="AO970" s="82"/>
      <c r="AP970" s="82"/>
      <c r="AQ970" s="82"/>
    </row>
    <row r="971" spans="1:43" ht="15" x14ac:dyDescent="0.35">
      <c r="A971" s="85"/>
      <c r="B971" s="86"/>
      <c r="C971" s="87"/>
      <c r="D971" s="87"/>
      <c r="E971" s="87"/>
      <c r="F971" s="87"/>
      <c r="G971" s="88"/>
      <c r="H971" s="87"/>
      <c r="I971" s="87"/>
      <c r="J971" s="87"/>
      <c r="K971" s="8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M971" s="17"/>
      <c r="AN971" s="17"/>
      <c r="AO971" s="17"/>
      <c r="AP971" s="17"/>
      <c r="AQ971" s="17"/>
    </row>
    <row r="972" spans="1:43" s="84" customFormat="1" ht="15" x14ac:dyDescent="0.35">
      <c r="A972" s="80"/>
      <c r="B972" s="81"/>
      <c r="C972" s="82"/>
      <c r="D972" s="82"/>
      <c r="E972" s="82"/>
      <c r="F972" s="82"/>
      <c r="G972" s="83"/>
      <c r="H972" s="82"/>
      <c r="I972" s="82"/>
      <c r="J972" s="82"/>
      <c r="K972" s="82"/>
      <c r="L972" s="76"/>
      <c r="M972" s="82"/>
      <c r="N972" s="82"/>
      <c r="O972" s="82"/>
      <c r="P972" s="82"/>
      <c r="Q972" s="82"/>
      <c r="R972" s="82"/>
      <c r="S972" s="82"/>
      <c r="T972" s="82"/>
      <c r="U972" s="82"/>
      <c r="V972" s="82"/>
      <c r="W972" s="82"/>
      <c r="X972" s="82"/>
      <c r="Y972" s="76"/>
      <c r="Z972" s="82"/>
      <c r="AA972" s="82"/>
      <c r="AB972" s="82"/>
      <c r="AC972" s="82"/>
      <c r="AD972" s="82"/>
      <c r="AE972" s="82"/>
      <c r="AF972" s="82"/>
      <c r="AG972" s="82"/>
      <c r="AH972" s="82"/>
      <c r="AI972" s="82"/>
      <c r="AJ972" s="82"/>
      <c r="AK972" s="82"/>
      <c r="AL972" s="76"/>
      <c r="AM972" s="82"/>
      <c r="AN972" s="82"/>
      <c r="AO972" s="82"/>
      <c r="AP972" s="82"/>
      <c r="AQ972" s="82"/>
    </row>
    <row r="973" spans="1:43" ht="15" x14ac:dyDescent="0.35">
      <c r="A973" s="85"/>
      <c r="B973" s="86"/>
      <c r="C973" s="87"/>
      <c r="D973" s="87"/>
      <c r="E973" s="87"/>
      <c r="F973" s="87"/>
      <c r="G973" s="88"/>
      <c r="H973" s="87"/>
      <c r="I973" s="87"/>
      <c r="J973" s="87"/>
      <c r="K973" s="8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M973" s="17"/>
      <c r="AN973" s="17"/>
      <c r="AO973" s="17"/>
      <c r="AP973" s="17"/>
      <c r="AQ973" s="17"/>
    </row>
    <row r="974" spans="1:43" s="84" customFormat="1" ht="15" x14ac:dyDescent="0.35">
      <c r="A974" s="80"/>
      <c r="B974" s="81"/>
      <c r="C974" s="82"/>
      <c r="D974" s="82"/>
      <c r="E974" s="82"/>
      <c r="F974" s="82"/>
      <c r="G974" s="83"/>
      <c r="H974" s="82"/>
      <c r="I974" s="82"/>
      <c r="J974" s="82"/>
      <c r="K974" s="82"/>
      <c r="L974" s="76"/>
      <c r="M974" s="82"/>
      <c r="N974" s="82"/>
      <c r="O974" s="82"/>
      <c r="P974" s="82"/>
      <c r="Q974" s="82"/>
      <c r="R974" s="82"/>
      <c r="S974" s="82"/>
      <c r="T974" s="82"/>
      <c r="U974" s="82"/>
      <c r="V974" s="82"/>
      <c r="W974" s="82"/>
      <c r="X974" s="82"/>
      <c r="Y974" s="76"/>
      <c r="Z974" s="82"/>
      <c r="AA974" s="82"/>
      <c r="AB974" s="82"/>
      <c r="AC974" s="82"/>
      <c r="AD974" s="82"/>
      <c r="AE974" s="82"/>
      <c r="AF974" s="82"/>
      <c r="AG974" s="82"/>
      <c r="AH974" s="82"/>
      <c r="AI974" s="82"/>
      <c r="AJ974" s="82"/>
      <c r="AK974" s="82"/>
      <c r="AL974" s="76"/>
      <c r="AM974" s="82"/>
      <c r="AN974" s="82"/>
      <c r="AO974" s="82"/>
      <c r="AP974" s="82"/>
      <c r="AQ974" s="82"/>
    </row>
    <row r="975" spans="1:43" ht="15" x14ac:dyDescent="0.35">
      <c r="A975" s="85"/>
      <c r="B975" s="86"/>
      <c r="C975" s="87"/>
      <c r="D975" s="87"/>
      <c r="E975" s="87"/>
      <c r="F975" s="87"/>
      <c r="G975" s="88"/>
      <c r="H975" s="87"/>
      <c r="I975" s="87"/>
      <c r="J975" s="87"/>
      <c r="K975" s="8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M975" s="17"/>
      <c r="AN975" s="17"/>
      <c r="AO975" s="17"/>
      <c r="AP975" s="17"/>
      <c r="AQ975" s="17"/>
    </row>
    <row r="976" spans="1:43" s="84" customFormat="1" ht="15" x14ac:dyDescent="0.35">
      <c r="A976" s="80"/>
      <c r="B976" s="81"/>
      <c r="C976" s="82"/>
      <c r="D976" s="82"/>
      <c r="E976" s="82"/>
      <c r="F976" s="82"/>
      <c r="G976" s="83"/>
      <c r="H976" s="82"/>
      <c r="I976" s="82"/>
      <c r="J976" s="82"/>
      <c r="K976" s="82"/>
      <c r="L976" s="76"/>
      <c r="M976" s="82"/>
      <c r="N976" s="82"/>
      <c r="O976" s="82"/>
      <c r="P976" s="82"/>
      <c r="Q976" s="82"/>
      <c r="R976" s="82"/>
      <c r="S976" s="82"/>
      <c r="T976" s="82"/>
      <c r="U976" s="82"/>
      <c r="V976" s="82"/>
      <c r="W976" s="82"/>
      <c r="X976" s="82"/>
      <c r="Y976" s="76"/>
      <c r="Z976" s="82"/>
      <c r="AA976" s="82"/>
      <c r="AB976" s="82"/>
      <c r="AC976" s="82"/>
      <c r="AD976" s="82"/>
      <c r="AE976" s="82"/>
      <c r="AF976" s="82"/>
      <c r="AG976" s="82"/>
      <c r="AH976" s="82"/>
      <c r="AI976" s="82"/>
      <c r="AJ976" s="82"/>
      <c r="AK976" s="82"/>
      <c r="AL976" s="76"/>
      <c r="AM976" s="82"/>
      <c r="AN976" s="82"/>
      <c r="AO976" s="82"/>
      <c r="AP976" s="82"/>
      <c r="AQ976" s="82"/>
    </row>
    <row r="977" spans="1:43" ht="15" x14ac:dyDescent="0.35">
      <c r="A977" s="85"/>
      <c r="B977" s="86"/>
      <c r="C977" s="87"/>
      <c r="D977" s="87"/>
      <c r="E977" s="87"/>
      <c r="F977" s="87"/>
      <c r="G977" s="88"/>
      <c r="H977" s="87"/>
      <c r="I977" s="87"/>
      <c r="J977" s="87"/>
      <c r="K977" s="8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M977" s="17"/>
      <c r="AN977" s="17"/>
      <c r="AO977" s="17"/>
      <c r="AP977" s="17"/>
      <c r="AQ977" s="17"/>
    </row>
    <row r="978" spans="1:43" s="84" customFormat="1" ht="15" x14ac:dyDescent="0.35">
      <c r="A978" s="80"/>
      <c r="B978" s="81"/>
      <c r="C978" s="82"/>
      <c r="D978" s="82"/>
      <c r="E978" s="82"/>
      <c r="F978" s="82"/>
      <c r="G978" s="83"/>
      <c r="H978" s="82"/>
      <c r="I978" s="82"/>
      <c r="J978" s="82"/>
      <c r="K978" s="82"/>
      <c r="L978" s="76"/>
      <c r="M978" s="82"/>
      <c r="N978" s="82"/>
      <c r="O978" s="82"/>
      <c r="P978" s="82"/>
      <c r="Q978" s="82"/>
      <c r="R978" s="82"/>
      <c r="S978" s="82"/>
      <c r="T978" s="82"/>
      <c r="U978" s="82"/>
      <c r="V978" s="82"/>
      <c r="W978" s="82"/>
      <c r="X978" s="82"/>
      <c r="Y978" s="76"/>
      <c r="Z978" s="82"/>
      <c r="AA978" s="82"/>
      <c r="AB978" s="82"/>
      <c r="AC978" s="82"/>
      <c r="AD978" s="82"/>
      <c r="AE978" s="82"/>
      <c r="AF978" s="82"/>
      <c r="AG978" s="82"/>
      <c r="AH978" s="82"/>
      <c r="AI978" s="82"/>
      <c r="AJ978" s="82"/>
      <c r="AK978" s="82"/>
      <c r="AL978" s="76"/>
      <c r="AM978" s="82"/>
      <c r="AN978" s="82"/>
      <c r="AO978" s="82"/>
      <c r="AP978" s="82"/>
      <c r="AQ978" s="82"/>
    </row>
    <row r="979" spans="1:43" ht="15" x14ac:dyDescent="0.35">
      <c r="A979" s="85"/>
      <c r="B979" s="86"/>
      <c r="C979" s="87"/>
      <c r="D979" s="87"/>
      <c r="E979" s="87"/>
      <c r="F979" s="87"/>
      <c r="G979" s="88"/>
      <c r="H979" s="87"/>
      <c r="I979" s="87"/>
      <c r="J979" s="87"/>
      <c r="K979" s="8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M979" s="17"/>
      <c r="AN979" s="17"/>
      <c r="AO979" s="17"/>
      <c r="AP979" s="17"/>
      <c r="AQ979" s="17"/>
    </row>
    <row r="980" spans="1:43" s="84" customFormat="1" ht="15" x14ac:dyDescent="0.35">
      <c r="A980" s="80"/>
      <c r="B980" s="81"/>
      <c r="C980" s="82"/>
      <c r="D980" s="82"/>
      <c r="E980" s="82"/>
      <c r="F980" s="82"/>
      <c r="G980" s="83"/>
      <c r="H980" s="82"/>
      <c r="I980" s="82"/>
      <c r="J980" s="82"/>
      <c r="K980" s="82"/>
      <c r="L980" s="76"/>
      <c r="M980" s="82"/>
      <c r="N980" s="82"/>
      <c r="O980" s="82"/>
      <c r="P980" s="82"/>
      <c r="Q980" s="82"/>
      <c r="R980" s="82"/>
      <c r="S980" s="82"/>
      <c r="T980" s="82"/>
      <c r="U980" s="82"/>
      <c r="V980" s="82"/>
      <c r="W980" s="82"/>
      <c r="X980" s="82"/>
      <c r="Y980" s="76"/>
      <c r="Z980" s="82"/>
      <c r="AA980" s="82"/>
      <c r="AB980" s="82"/>
      <c r="AC980" s="82"/>
      <c r="AD980" s="82"/>
      <c r="AE980" s="82"/>
      <c r="AF980" s="82"/>
      <c r="AG980" s="82"/>
      <c r="AH980" s="82"/>
      <c r="AI980" s="82"/>
      <c r="AJ980" s="82"/>
      <c r="AK980" s="82"/>
      <c r="AL980" s="76"/>
      <c r="AM980" s="82"/>
      <c r="AN980" s="82"/>
      <c r="AO980" s="82"/>
      <c r="AP980" s="82"/>
      <c r="AQ980" s="82"/>
    </row>
    <row r="981" spans="1:43" ht="15" x14ac:dyDescent="0.35">
      <c r="A981" s="85"/>
      <c r="B981" s="86"/>
      <c r="C981" s="87"/>
      <c r="D981" s="87"/>
      <c r="E981" s="87"/>
      <c r="F981" s="87"/>
      <c r="G981" s="88"/>
      <c r="H981" s="87"/>
      <c r="I981" s="87"/>
      <c r="J981" s="87"/>
      <c r="K981" s="8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M981" s="17"/>
      <c r="AN981" s="17"/>
      <c r="AO981" s="17"/>
      <c r="AP981" s="17"/>
      <c r="AQ981" s="17"/>
    </row>
    <row r="982" spans="1:43" s="84" customFormat="1" ht="15" x14ac:dyDescent="0.35">
      <c r="A982" s="80"/>
      <c r="B982" s="81"/>
      <c r="C982" s="82"/>
      <c r="D982" s="82"/>
      <c r="E982" s="82"/>
      <c r="F982" s="82"/>
      <c r="G982" s="83"/>
      <c r="H982" s="82"/>
      <c r="I982" s="82"/>
      <c r="J982" s="82"/>
      <c r="K982" s="82"/>
      <c r="L982" s="76"/>
      <c r="M982" s="82"/>
      <c r="N982" s="82"/>
      <c r="O982" s="82"/>
      <c r="P982" s="82"/>
      <c r="Q982" s="82"/>
      <c r="R982" s="82"/>
      <c r="S982" s="82"/>
      <c r="T982" s="82"/>
      <c r="U982" s="82"/>
      <c r="V982" s="82"/>
      <c r="W982" s="82"/>
      <c r="X982" s="82"/>
      <c r="Y982" s="76"/>
      <c r="Z982" s="82"/>
      <c r="AA982" s="82"/>
      <c r="AB982" s="82"/>
      <c r="AC982" s="82"/>
      <c r="AD982" s="82"/>
      <c r="AE982" s="82"/>
      <c r="AF982" s="82"/>
      <c r="AG982" s="82"/>
      <c r="AH982" s="82"/>
      <c r="AI982" s="82"/>
      <c r="AJ982" s="82"/>
      <c r="AK982" s="82"/>
      <c r="AL982" s="76"/>
      <c r="AM982" s="82"/>
      <c r="AN982" s="82"/>
      <c r="AO982" s="82"/>
      <c r="AP982" s="82"/>
      <c r="AQ982" s="82"/>
    </row>
    <row r="983" spans="1:43" ht="15" x14ac:dyDescent="0.35">
      <c r="A983" s="85"/>
      <c r="B983" s="86"/>
      <c r="C983" s="87"/>
      <c r="D983" s="87"/>
      <c r="E983" s="87"/>
      <c r="F983" s="87"/>
      <c r="G983" s="88"/>
      <c r="H983" s="87"/>
      <c r="I983" s="87"/>
      <c r="J983" s="87"/>
      <c r="K983" s="8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M983" s="17"/>
      <c r="AN983" s="17"/>
      <c r="AO983" s="17"/>
      <c r="AP983" s="17"/>
      <c r="AQ983" s="17"/>
    </row>
    <row r="984" spans="1:43" s="84" customFormat="1" ht="15" x14ac:dyDescent="0.35">
      <c r="A984" s="80"/>
      <c r="B984" s="81"/>
      <c r="C984" s="82"/>
      <c r="D984" s="82"/>
      <c r="E984" s="82"/>
      <c r="F984" s="82"/>
      <c r="G984" s="83"/>
      <c r="H984" s="82"/>
      <c r="I984" s="82"/>
      <c r="J984" s="82"/>
      <c r="K984" s="82"/>
      <c r="L984" s="76"/>
      <c r="M984" s="82"/>
      <c r="N984" s="82"/>
      <c r="O984" s="82"/>
      <c r="P984" s="82"/>
      <c r="Q984" s="82"/>
      <c r="R984" s="82"/>
      <c r="S984" s="82"/>
      <c r="T984" s="82"/>
      <c r="U984" s="82"/>
      <c r="V984" s="82"/>
      <c r="W984" s="82"/>
      <c r="X984" s="82"/>
      <c r="Y984" s="76"/>
      <c r="Z984" s="82"/>
      <c r="AA984" s="82"/>
      <c r="AB984" s="82"/>
      <c r="AC984" s="82"/>
      <c r="AD984" s="82"/>
      <c r="AE984" s="82"/>
      <c r="AF984" s="82"/>
      <c r="AG984" s="82"/>
      <c r="AH984" s="82"/>
      <c r="AI984" s="82"/>
      <c r="AJ984" s="82"/>
      <c r="AK984" s="82"/>
      <c r="AL984" s="76"/>
      <c r="AM984" s="82"/>
      <c r="AN984" s="82"/>
      <c r="AO984" s="82"/>
      <c r="AP984" s="82"/>
      <c r="AQ984" s="82"/>
    </row>
    <row r="985" spans="1:43" ht="15" x14ac:dyDescent="0.35">
      <c r="A985" s="85"/>
      <c r="B985" s="86"/>
      <c r="C985" s="87"/>
      <c r="D985" s="87"/>
      <c r="E985" s="87"/>
      <c r="F985" s="87"/>
      <c r="G985" s="88"/>
      <c r="H985" s="87"/>
      <c r="I985" s="87"/>
      <c r="J985" s="87"/>
      <c r="K985" s="8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M985" s="17"/>
      <c r="AN985" s="17"/>
      <c r="AO985" s="17"/>
      <c r="AP985" s="17"/>
      <c r="AQ985" s="17"/>
    </row>
    <row r="986" spans="1:43" s="84" customFormat="1" ht="15" x14ac:dyDescent="0.35">
      <c r="A986" s="80"/>
      <c r="B986" s="81"/>
      <c r="C986" s="82"/>
      <c r="D986" s="82"/>
      <c r="E986" s="82"/>
      <c r="F986" s="82"/>
      <c r="G986" s="83"/>
      <c r="H986" s="82"/>
      <c r="I986" s="82"/>
      <c r="J986" s="82"/>
      <c r="K986" s="82"/>
      <c r="L986" s="76"/>
      <c r="M986" s="82"/>
      <c r="N986" s="82"/>
      <c r="O986" s="82"/>
      <c r="P986" s="82"/>
      <c r="Q986" s="82"/>
      <c r="R986" s="82"/>
      <c r="S986" s="82"/>
      <c r="T986" s="82"/>
      <c r="U986" s="82"/>
      <c r="V986" s="82"/>
      <c r="W986" s="82"/>
      <c r="X986" s="82"/>
      <c r="Y986" s="76"/>
      <c r="Z986" s="82"/>
      <c r="AA986" s="82"/>
      <c r="AB986" s="82"/>
      <c r="AC986" s="82"/>
      <c r="AD986" s="82"/>
      <c r="AE986" s="82"/>
      <c r="AF986" s="82"/>
      <c r="AG986" s="82"/>
      <c r="AH986" s="82"/>
      <c r="AI986" s="82"/>
      <c r="AJ986" s="82"/>
      <c r="AK986" s="82"/>
      <c r="AL986" s="76"/>
      <c r="AM986" s="82"/>
      <c r="AN986" s="82"/>
      <c r="AO986" s="82"/>
      <c r="AP986" s="82"/>
      <c r="AQ986" s="82"/>
    </row>
    <row r="987" spans="1:43" ht="15" x14ac:dyDescent="0.35">
      <c r="A987" s="85"/>
      <c r="B987" s="86"/>
      <c r="C987" s="87"/>
      <c r="D987" s="87"/>
      <c r="E987" s="87"/>
      <c r="F987" s="87"/>
      <c r="G987" s="88"/>
      <c r="H987" s="87"/>
      <c r="I987" s="87"/>
      <c r="J987" s="87"/>
      <c r="K987" s="8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M987" s="17"/>
      <c r="AN987" s="17"/>
      <c r="AO987" s="17"/>
      <c r="AP987" s="17"/>
      <c r="AQ987" s="17"/>
    </row>
    <row r="988" spans="1:43" s="84" customFormat="1" ht="15" x14ac:dyDescent="0.35">
      <c r="A988" s="80"/>
      <c r="B988" s="81"/>
      <c r="C988" s="82"/>
      <c r="D988" s="82"/>
      <c r="E988" s="82"/>
      <c r="F988" s="82"/>
      <c r="G988" s="83"/>
      <c r="H988" s="82"/>
      <c r="I988" s="82"/>
      <c r="J988" s="82"/>
      <c r="K988" s="82"/>
      <c r="L988" s="76"/>
      <c r="M988" s="82"/>
      <c r="N988" s="82"/>
      <c r="O988" s="82"/>
      <c r="P988" s="82"/>
      <c r="Q988" s="82"/>
      <c r="R988" s="82"/>
      <c r="S988" s="82"/>
      <c r="T988" s="82"/>
      <c r="U988" s="82"/>
      <c r="V988" s="82"/>
      <c r="W988" s="82"/>
      <c r="X988" s="82"/>
      <c r="Y988" s="76"/>
      <c r="Z988" s="82"/>
      <c r="AA988" s="82"/>
      <c r="AB988" s="82"/>
      <c r="AC988" s="82"/>
      <c r="AD988" s="82"/>
      <c r="AE988" s="82"/>
      <c r="AF988" s="82"/>
      <c r="AG988" s="82"/>
      <c r="AH988" s="82"/>
      <c r="AI988" s="82"/>
      <c r="AJ988" s="82"/>
      <c r="AK988" s="82"/>
      <c r="AL988" s="76"/>
      <c r="AM988" s="82"/>
      <c r="AN988" s="82"/>
      <c r="AO988" s="82"/>
      <c r="AP988" s="82"/>
      <c r="AQ988" s="82"/>
    </row>
    <row r="989" spans="1:43" ht="15" x14ac:dyDescent="0.35">
      <c r="A989" s="85"/>
      <c r="B989" s="86"/>
      <c r="C989" s="87"/>
      <c r="D989" s="87"/>
      <c r="E989" s="87"/>
      <c r="F989" s="87"/>
      <c r="G989" s="88"/>
      <c r="H989" s="87"/>
      <c r="I989" s="87"/>
      <c r="J989" s="87"/>
      <c r="K989" s="8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M989" s="17"/>
      <c r="AN989" s="17"/>
      <c r="AO989" s="17"/>
      <c r="AP989" s="17"/>
      <c r="AQ989" s="17"/>
    </row>
    <row r="990" spans="1:43" s="84" customFormat="1" ht="15" x14ac:dyDescent="0.35">
      <c r="A990" s="80"/>
      <c r="B990" s="81"/>
      <c r="C990" s="82"/>
      <c r="D990" s="82"/>
      <c r="E990" s="82"/>
      <c r="F990" s="82"/>
      <c r="G990" s="83"/>
      <c r="H990" s="82"/>
      <c r="I990" s="82"/>
      <c r="J990" s="82"/>
      <c r="K990" s="82"/>
      <c r="L990" s="76"/>
      <c r="M990" s="82"/>
      <c r="N990" s="82"/>
      <c r="O990" s="82"/>
      <c r="P990" s="82"/>
      <c r="Q990" s="82"/>
      <c r="R990" s="82"/>
      <c r="S990" s="82"/>
      <c r="T990" s="82"/>
      <c r="U990" s="82"/>
      <c r="V990" s="82"/>
      <c r="W990" s="82"/>
      <c r="X990" s="82"/>
      <c r="Y990" s="76"/>
      <c r="Z990" s="82"/>
      <c r="AA990" s="82"/>
      <c r="AB990" s="82"/>
      <c r="AC990" s="82"/>
      <c r="AD990" s="82"/>
      <c r="AE990" s="82"/>
      <c r="AF990" s="82"/>
      <c r="AG990" s="82"/>
      <c r="AH990" s="82"/>
      <c r="AI990" s="82"/>
      <c r="AJ990" s="82"/>
      <c r="AK990" s="82"/>
      <c r="AL990" s="76"/>
      <c r="AM990" s="82"/>
      <c r="AN990" s="82"/>
      <c r="AO990" s="82"/>
      <c r="AP990" s="82"/>
      <c r="AQ990" s="82"/>
    </row>
    <row r="991" spans="1:43" ht="15" x14ac:dyDescent="0.35">
      <c r="A991" s="85"/>
      <c r="B991" s="86"/>
      <c r="C991" s="87"/>
      <c r="D991" s="87"/>
      <c r="E991" s="87"/>
      <c r="F991" s="87"/>
      <c r="G991" s="88"/>
      <c r="H991" s="87"/>
      <c r="I991" s="87"/>
      <c r="J991" s="87"/>
      <c r="K991" s="8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M991" s="17"/>
      <c r="AN991" s="17"/>
      <c r="AO991" s="17"/>
      <c r="AP991" s="17"/>
      <c r="AQ991" s="17"/>
    </row>
    <row r="992" spans="1:43" s="84" customFormat="1" ht="15" x14ac:dyDescent="0.35">
      <c r="A992" s="80"/>
      <c r="B992" s="81"/>
      <c r="C992" s="82"/>
      <c r="D992" s="82"/>
      <c r="E992" s="82"/>
      <c r="F992" s="82"/>
      <c r="G992" s="83"/>
      <c r="H992" s="82"/>
      <c r="I992" s="82"/>
      <c r="J992" s="82"/>
      <c r="K992" s="82"/>
      <c r="L992" s="76"/>
      <c r="M992" s="82"/>
      <c r="N992" s="82"/>
      <c r="O992" s="82"/>
      <c r="P992" s="82"/>
      <c r="Q992" s="82"/>
      <c r="R992" s="82"/>
      <c r="S992" s="82"/>
      <c r="T992" s="82"/>
      <c r="U992" s="82"/>
      <c r="V992" s="82"/>
      <c r="W992" s="82"/>
      <c r="X992" s="82"/>
      <c r="Y992" s="76"/>
      <c r="Z992" s="82"/>
      <c r="AA992" s="82"/>
      <c r="AB992" s="82"/>
      <c r="AC992" s="82"/>
      <c r="AD992" s="82"/>
      <c r="AE992" s="82"/>
      <c r="AF992" s="82"/>
      <c r="AG992" s="82"/>
      <c r="AH992" s="82"/>
      <c r="AI992" s="82"/>
      <c r="AJ992" s="82"/>
      <c r="AK992" s="82"/>
      <c r="AL992" s="76"/>
      <c r="AM992" s="82"/>
      <c r="AN992" s="82"/>
      <c r="AO992" s="82"/>
      <c r="AP992" s="82"/>
      <c r="AQ992" s="82"/>
    </row>
    <row r="993" spans="1:43" ht="15" x14ac:dyDescent="0.35">
      <c r="A993" s="85"/>
      <c r="B993" s="86"/>
      <c r="C993" s="87"/>
      <c r="D993" s="87"/>
      <c r="E993" s="87"/>
      <c r="F993" s="87"/>
      <c r="G993" s="88"/>
      <c r="H993" s="87"/>
      <c r="I993" s="87"/>
      <c r="J993" s="87"/>
      <c r="K993" s="8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M993" s="17"/>
      <c r="AN993" s="17"/>
      <c r="AO993" s="17"/>
      <c r="AP993" s="17"/>
      <c r="AQ993" s="17"/>
    </row>
    <row r="994" spans="1:43" s="84" customFormat="1" ht="15" x14ac:dyDescent="0.35">
      <c r="A994" s="80"/>
      <c r="B994" s="81"/>
      <c r="C994" s="82"/>
      <c r="D994" s="82"/>
      <c r="E994" s="82"/>
      <c r="F994" s="82"/>
      <c r="G994" s="83"/>
      <c r="H994" s="82"/>
      <c r="I994" s="82"/>
      <c r="J994" s="82"/>
      <c r="K994" s="82"/>
      <c r="L994" s="76"/>
      <c r="M994" s="82"/>
      <c r="N994" s="82"/>
      <c r="O994" s="82"/>
      <c r="P994" s="82"/>
      <c r="Q994" s="82"/>
      <c r="R994" s="82"/>
      <c r="S994" s="82"/>
      <c r="T994" s="82"/>
      <c r="U994" s="82"/>
      <c r="V994" s="82"/>
      <c r="W994" s="82"/>
      <c r="X994" s="82"/>
      <c r="Y994" s="76"/>
      <c r="Z994" s="82"/>
      <c r="AA994" s="82"/>
      <c r="AB994" s="82"/>
      <c r="AC994" s="82"/>
      <c r="AD994" s="82"/>
      <c r="AE994" s="82"/>
      <c r="AF994" s="82"/>
      <c r="AG994" s="82"/>
      <c r="AH994" s="82"/>
      <c r="AI994" s="82"/>
      <c r="AJ994" s="82"/>
      <c r="AK994" s="82"/>
      <c r="AL994" s="76"/>
      <c r="AM994" s="82"/>
      <c r="AN994" s="82"/>
      <c r="AO994" s="82"/>
      <c r="AP994" s="82"/>
      <c r="AQ994" s="82"/>
    </row>
    <row r="995" spans="1:43" ht="15" x14ac:dyDescent="0.35">
      <c r="A995" s="85"/>
      <c r="B995" s="86"/>
      <c r="C995" s="87"/>
      <c r="D995" s="87"/>
      <c r="E995" s="87"/>
      <c r="F995" s="87"/>
      <c r="G995" s="88"/>
      <c r="H995" s="87"/>
      <c r="I995" s="87"/>
      <c r="J995" s="87"/>
      <c r="K995" s="8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M995" s="17"/>
      <c r="AN995" s="17"/>
      <c r="AO995" s="17"/>
      <c r="AP995" s="17"/>
      <c r="AQ995" s="17"/>
    </row>
    <row r="996" spans="1:43" s="84" customFormat="1" ht="15" x14ac:dyDescent="0.35">
      <c r="A996" s="80"/>
      <c r="B996" s="81"/>
      <c r="C996" s="82"/>
      <c r="D996" s="82"/>
      <c r="E996" s="82"/>
      <c r="F996" s="82"/>
      <c r="G996" s="83"/>
      <c r="H996" s="82"/>
      <c r="I996" s="82"/>
      <c r="J996" s="82"/>
      <c r="K996" s="82"/>
      <c r="L996" s="76"/>
      <c r="M996" s="82"/>
      <c r="N996" s="82"/>
      <c r="O996" s="82"/>
      <c r="P996" s="82"/>
      <c r="Q996" s="82"/>
      <c r="R996" s="82"/>
      <c r="S996" s="82"/>
      <c r="T996" s="82"/>
      <c r="U996" s="82"/>
      <c r="V996" s="82"/>
      <c r="W996" s="82"/>
      <c r="X996" s="82"/>
      <c r="Y996" s="76"/>
      <c r="Z996" s="82"/>
      <c r="AA996" s="82"/>
      <c r="AB996" s="82"/>
      <c r="AC996" s="82"/>
      <c r="AD996" s="82"/>
      <c r="AE996" s="82"/>
      <c r="AF996" s="82"/>
      <c r="AG996" s="82"/>
      <c r="AH996" s="82"/>
      <c r="AI996" s="82"/>
      <c r="AJ996" s="82"/>
      <c r="AK996" s="82"/>
      <c r="AL996" s="76"/>
      <c r="AM996" s="82"/>
      <c r="AN996" s="82"/>
      <c r="AO996" s="82"/>
      <c r="AP996" s="82"/>
      <c r="AQ996" s="82"/>
    </row>
    <row r="997" spans="1:43" ht="15" x14ac:dyDescent="0.35">
      <c r="A997" s="85"/>
      <c r="B997" s="86"/>
      <c r="C997" s="87"/>
      <c r="D997" s="87"/>
      <c r="E997" s="87"/>
      <c r="F997" s="87"/>
      <c r="G997" s="88"/>
      <c r="H997" s="87"/>
      <c r="I997" s="87"/>
      <c r="J997" s="87"/>
      <c r="K997" s="8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M997" s="17"/>
      <c r="AN997" s="17"/>
      <c r="AO997" s="17"/>
      <c r="AP997" s="17"/>
      <c r="AQ997" s="17"/>
    </row>
    <row r="998" spans="1:43" s="84" customFormat="1" ht="15" x14ac:dyDescent="0.35">
      <c r="A998" s="80"/>
      <c r="B998" s="81"/>
      <c r="C998" s="82"/>
      <c r="D998" s="82"/>
      <c r="E998" s="82"/>
      <c r="F998" s="82"/>
      <c r="G998" s="83"/>
      <c r="H998" s="82"/>
      <c r="I998" s="82"/>
      <c r="J998" s="82"/>
      <c r="K998" s="82"/>
      <c r="L998" s="76"/>
      <c r="M998" s="82"/>
      <c r="N998" s="82"/>
      <c r="O998" s="82"/>
      <c r="P998" s="82"/>
      <c r="Q998" s="82"/>
      <c r="R998" s="82"/>
      <c r="S998" s="82"/>
      <c r="T998" s="82"/>
      <c r="U998" s="82"/>
      <c r="V998" s="82"/>
      <c r="W998" s="82"/>
      <c r="X998" s="82"/>
      <c r="Y998" s="76"/>
      <c r="Z998" s="82"/>
      <c r="AA998" s="82"/>
      <c r="AB998" s="82"/>
      <c r="AC998" s="82"/>
      <c r="AD998" s="82"/>
      <c r="AE998" s="82"/>
      <c r="AF998" s="82"/>
      <c r="AG998" s="82"/>
      <c r="AH998" s="82"/>
      <c r="AI998" s="82"/>
      <c r="AJ998" s="82"/>
      <c r="AK998" s="82"/>
      <c r="AL998" s="76"/>
      <c r="AM998" s="82"/>
      <c r="AN998" s="82"/>
      <c r="AO998" s="82"/>
      <c r="AP998" s="82"/>
      <c r="AQ998" s="82"/>
    </row>
    <row r="999" spans="1:43" ht="15" x14ac:dyDescent="0.35">
      <c r="A999" s="85"/>
      <c r="B999" s="86"/>
      <c r="C999" s="87"/>
      <c r="D999" s="87"/>
      <c r="E999" s="87"/>
      <c r="F999" s="87"/>
      <c r="G999" s="88"/>
      <c r="H999" s="87"/>
      <c r="I999" s="87"/>
      <c r="J999" s="87"/>
      <c r="K999" s="8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M999" s="17"/>
      <c r="AN999" s="17"/>
      <c r="AO999" s="17"/>
      <c r="AP999" s="17"/>
      <c r="AQ999" s="17"/>
    </row>
    <row r="1000" spans="1:43" s="84" customFormat="1" ht="15" x14ac:dyDescent="0.35">
      <c r="A1000" s="80"/>
      <c r="B1000" s="81"/>
      <c r="C1000" s="82"/>
      <c r="D1000" s="82"/>
      <c r="E1000" s="82"/>
      <c r="F1000" s="82"/>
      <c r="G1000" s="83"/>
      <c r="H1000" s="82"/>
      <c r="I1000" s="82"/>
      <c r="J1000" s="82"/>
      <c r="K1000" s="82"/>
      <c r="L1000" s="76"/>
      <c r="M1000" s="82"/>
      <c r="N1000" s="82"/>
      <c r="O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76"/>
      <c r="Z1000" s="82"/>
      <c r="AA1000" s="82"/>
      <c r="AB1000" s="82"/>
      <c r="AC1000" s="82"/>
      <c r="AD1000" s="82"/>
      <c r="AE1000" s="82"/>
      <c r="AF1000" s="82"/>
      <c r="AG1000" s="82"/>
      <c r="AH1000" s="82"/>
      <c r="AI1000" s="82"/>
      <c r="AJ1000" s="82"/>
      <c r="AK1000" s="82"/>
      <c r="AL1000" s="76"/>
      <c r="AM1000" s="82"/>
      <c r="AN1000" s="82"/>
      <c r="AO1000" s="82"/>
      <c r="AP1000" s="82"/>
      <c r="AQ1000" s="82"/>
    </row>
    <row r="1001" spans="1:43" ht="15" x14ac:dyDescent="0.35">
      <c r="A1001" s="85"/>
      <c r="B1001" s="86"/>
      <c r="C1001" s="87"/>
      <c r="D1001" s="87"/>
      <c r="E1001" s="87"/>
      <c r="F1001" s="87"/>
      <c r="G1001" s="88"/>
      <c r="H1001" s="87"/>
      <c r="I1001" s="87"/>
      <c r="J1001" s="87"/>
      <c r="K1001" s="8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M1001" s="17"/>
      <c r="AN1001" s="17"/>
      <c r="AO1001" s="17"/>
      <c r="AP1001" s="17"/>
      <c r="AQ1001" s="17"/>
    </row>
    <row r="1002" spans="1:43" s="84" customFormat="1" ht="15" x14ac:dyDescent="0.35">
      <c r="A1002" s="80"/>
      <c r="B1002" s="81"/>
      <c r="C1002" s="82"/>
      <c r="D1002" s="82"/>
      <c r="E1002" s="82"/>
      <c r="F1002" s="82"/>
      <c r="G1002" s="83"/>
      <c r="H1002" s="82"/>
      <c r="I1002" s="82"/>
      <c r="J1002" s="82"/>
      <c r="K1002" s="82"/>
      <c r="L1002" s="76"/>
      <c r="M1002" s="82"/>
      <c r="N1002" s="82"/>
      <c r="O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76"/>
      <c r="Z1002" s="82"/>
      <c r="AA1002" s="82"/>
      <c r="AB1002" s="82"/>
      <c r="AC1002" s="82"/>
      <c r="AD1002" s="82"/>
      <c r="AE1002" s="82"/>
      <c r="AF1002" s="82"/>
      <c r="AG1002" s="82"/>
      <c r="AH1002" s="82"/>
      <c r="AI1002" s="82"/>
      <c r="AJ1002" s="82"/>
      <c r="AK1002" s="82"/>
      <c r="AL1002" s="76"/>
      <c r="AM1002" s="82"/>
      <c r="AN1002" s="82"/>
      <c r="AO1002" s="82"/>
      <c r="AP1002" s="82"/>
      <c r="AQ1002" s="82"/>
    </row>
    <row r="1003" spans="1:43" ht="15" x14ac:dyDescent="0.35">
      <c r="A1003" s="85"/>
      <c r="B1003" s="86"/>
      <c r="C1003" s="87"/>
      <c r="D1003" s="87"/>
      <c r="E1003" s="87"/>
      <c r="F1003" s="87"/>
      <c r="G1003" s="88"/>
      <c r="H1003" s="87"/>
      <c r="I1003" s="87"/>
      <c r="J1003" s="87"/>
      <c r="K1003" s="8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M1003" s="17"/>
      <c r="AN1003" s="17"/>
      <c r="AO1003" s="17"/>
      <c r="AP1003" s="17"/>
      <c r="AQ1003" s="17"/>
    </row>
    <row r="1004" spans="1:43" s="84" customFormat="1" ht="15" x14ac:dyDescent="0.35">
      <c r="A1004" s="80"/>
      <c r="B1004" s="81"/>
      <c r="C1004" s="82"/>
      <c r="D1004" s="82"/>
      <c r="E1004" s="82"/>
      <c r="F1004" s="82"/>
      <c r="G1004" s="83"/>
      <c r="H1004" s="82"/>
      <c r="I1004" s="82"/>
      <c r="J1004" s="82"/>
      <c r="K1004" s="82"/>
      <c r="L1004" s="76"/>
      <c r="M1004" s="82"/>
      <c r="N1004" s="82"/>
      <c r="O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76"/>
      <c r="Z1004" s="82"/>
      <c r="AA1004" s="82"/>
      <c r="AB1004" s="82"/>
      <c r="AC1004" s="82"/>
      <c r="AD1004" s="82"/>
      <c r="AE1004" s="82"/>
      <c r="AF1004" s="82"/>
      <c r="AG1004" s="82"/>
      <c r="AH1004" s="82"/>
      <c r="AI1004" s="82"/>
      <c r="AJ1004" s="82"/>
      <c r="AK1004" s="82"/>
      <c r="AL1004" s="76"/>
      <c r="AM1004" s="82"/>
      <c r="AN1004" s="82"/>
      <c r="AO1004" s="82"/>
      <c r="AP1004" s="82"/>
      <c r="AQ1004" s="82"/>
    </row>
    <row r="1005" spans="1:43" ht="15" x14ac:dyDescent="0.35">
      <c r="A1005" s="85"/>
      <c r="B1005" s="86"/>
      <c r="C1005" s="87"/>
      <c r="D1005" s="87"/>
      <c r="E1005" s="87"/>
      <c r="F1005" s="87"/>
      <c r="G1005" s="88"/>
      <c r="H1005" s="87"/>
      <c r="I1005" s="87"/>
      <c r="J1005" s="87"/>
      <c r="K1005" s="8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M1005" s="17"/>
      <c r="AN1005" s="17"/>
      <c r="AO1005" s="17"/>
      <c r="AP1005" s="17"/>
      <c r="AQ1005" s="17"/>
    </row>
    <row r="1006" spans="1:43" s="84" customFormat="1" ht="15" x14ac:dyDescent="0.35">
      <c r="A1006" s="80"/>
      <c r="B1006" s="81"/>
      <c r="C1006" s="82"/>
      <c r="D1006" s="82"/>
      <c r="E1006" s="82"/>
      <c r="F1006" s="82"/>
      <c r="G1006" s="83"/>
      <c r="H1006" s="82"/>
      <c r="I1006" s="82"/>
      <c r="J1006" s="82"/>
      <c r="K1006" s="82"/>
      <c r="L1006" s="76"/>
      <c r="M1006" s="82"/>
      <c r="N1006" s="82"/>
      <c r="O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76"/>
      <c r="Z1006" s="82"/>
      <c r="AA1006" s="82"/>
      <c r="AB1006" s="82"/>
      <c r="AC1006" s="82"/>
      <c r="AD1006" s="82"/>
      <c r="AE1006" s="82"/>
      <c r="AF1006" s="82"/>
      <c r="AG1006" s="82"/>
      <c r="AH1006" s="82"/>
      <c r="AI1006" s="82"/>
      <c r="AJ1006" s="82"/>
      <c r="AK1006" s="82"/>
      <c r="AL1006" s="76"/>
      <c r="AM1006" s="82"/>
      <c r="AN1006" s="82"/>
      <c r="AO1006" s="82"/>
      <c r="AP1006" s="82"/>
      <c r="AQ1006" s="82"/>
    </row>
    <row r="1007" spans="1:43" ht="15" x14ac:dyDescent="0.35">
      <c r="A1007" s="85"/>
      <c r="B1007" s="86"/>
      <c r="C1007" s="87"/>
      <c r="D1007" s="87"/>
      <c r="E1007" s="87"/>
      <c r="F1007" s="87"/>
      <c r="G1007" s="88"/>
      <c r="H1007" s="87"/>
      <c r="I1007" s="87"/>
      <c r="J1007" s="87"/>
      <c r="K1007" s="8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M1007" s="17"/>
      <c r="AN1007" s="17"/>
      <c r="AO1007" s="17"/>
      <c r="AP1007" s="17"/>
      <c r="AQ1007" s="17"/>
    </row>
    <row r="1008" spans="1:43" s="84" customFormat="1" ht="15" x14ac:dyDescent="0.35">
      <c r="A1008" s="80"/>
      <c r="B1008" s="81"/>
      <c r="C1008" s="82"/>
      <c r="D1008" s="82"/>
      <c r="E1008" s="82"/>
      <c r="F1008" s="82"/>
      <c r="G1008" s="83"/>
      <c r="H1008" s="82"/>
      <c r="I1008" s="82"/>
      <c r="J1008" s="82"/>
      <c r="K1008" s="82"/>
      <c r="L1008" s="76"/>
      <c r="M1008" s="82"/>
      <c r="N1008" s="82"/>
      <c r="O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76"/>
      <c r="Z1008" s="82"/>
      <c r="AA1008" s="82"/>
      <c r="AB1008" s="82"/>
      <c r="AC1008" s="82"/>
      <c r="AD1008" s="82"/>
      <c r="AE1008" s="82"/>
      <c r="AF1008" s="82"/>
      <c r="AG1008" s="82"/>
      <c r="AH1008" s="82"/>
      <c r="AI1008" s="82"/>
      <c r="AJ1008" s="82"/>
      <c r="AK1008" s="82"/>
      <c r="AL1008" s="76"/>
      <c r="AM1008" s="82"/>
      <c r="AN1008" s="82"/>
      <c r="AO1008" s="82"/>
      <c r="AP1008" s="82"/>
      <c r="AQ1008" s="82"/>
    </row>
    <row r="1009" spans="1:43" ht="15" x14ac:dyDescent="0.35">
      <c r="A1009" s="85"/>
      <c r="B1009" s="86"/>
      <c r="C1009" s="87"/>
      <c r="D1009" s="87"/>
      <c r="E1009" s="87"/>
      <c r="F1009" s="87"/>
      <c r="G1009" s="88"/>
      <c r="H1009" s="87"/>
      <c r="I1009" s="87"/>
      <c r="J1009" s="87"/>
      <c r="K1009" s="8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M1009" s="17"/>
      <c r="AN1009" s="17"/>
      <c r="AO1009" s="17"/>
      <c r="AP1009" s="17"/>
      <c r="AQ1009" s="17"/>
    </row>
    <row r="1010" spans="1:43" s="84" customFormat="1" ht="15" x14ac:dyDescent="0.35">
      <c r="A1010" s="80"/>
      <c r="B1010" s="81"/>
      <c r="C1010" s="82"/>
      <c r="D1010" s="82"/>
      <c r="E1010" s="82"/>
      <c r="F1010" s="82"/>
      <c r="G1010" s="83"/>
      <c r="H1010" s="82"/>
      <c r="I1010" s="82"/>
      <c r="J1010" s="82"/>
      <c r="K1010" s="82"/>
      <c r="L1010" s="76"/>
      <c r="M1010" s="82"/>
      <c r="N1010" s="82"/>
      <c r="O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76"/>
      <c r="Z1010" s="82"/>
      <c r="AA1010" s="82"/>
      <c r="AB1010" s="82"/>
      <c r="AC1010" s="82"/>
      <c r="AD1010" s="82"/>
      <c r="AE1010" s="82"/>
      <c r="AF1010" s="82"/>
      <c r="AG1010" s="82"/>
      <c r="AH1010" s="82"/>
      <c r="AI1010" s="82"/>
      <c r="AJ1010" s="82"/>
      <c r="AK1010" s="82"/>
      <c r="AL1010" s="76"/>
      <c r="AM1010" s="82"/>
      <c r="AN1010" s="82"/>
      <c r="AO1010" s="82"/>
      <c r="AP1010" s="82"/>
      <c r="AQ1010" s="82"/>
    </row>
  </sheetData>
  <autoFilter ref="A3:AQ21" xr:uid="{9131447E-038F-4FF3-A8C1-18F65626D6AC}"/>
  <mergeCells count="4">
    <mergeCell ref="G1:H1"/>
    <mergeCell ref="M1:X1"/>
    <mergeCell ref="Z1:AK1"/>
    <mergeCell ref="AM1:AQ1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PET</vt:lpstr>
      <vt:lpstr>PET 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Nassereddine, Hala</dc:creator>
  <cp:lastModifiedBy>Tom Ewing</cp:lastModifiedBy>
  <cp:lastPrinted>2025-04-06T22:57:43Z</cp:lastPrinted>
  <dcterms:created xsi:type="dcterms:W3CDTF">2023-09-04T00:37:38Z</dcterms:created>
  <dcterms:modified xsi:type="dcterms:W3CDTF">2025-04-29T16:51:22Z</dcterms:modified>
</cp:coreProperties>
</file>