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capell\Desktop\Precon Docs\3 Week Training\To Present\"/>
    </mc:Choice>
  </mc:AlternateContent>
  <xr:revisionPtr revIDLastSave="0" documentId="13_ncr:1_{CE9B4773-872F-466D-8273-5E41DF3A090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3 WEEK" sheetId="3" r:id="rId1"/>
    <sheet name="MATERIAL PLANNING" sheetId="5" r:id="rId2"/>
    <sheet name="EQUIP-TOOL PLANNING" sheetId="6" r:id="rId3"/>
    <sheet name="BACKUP PLAN" sheetId="7" r:id="rId4"/>
    <sheet name="LABOR CALCULATOR" sheetId="8" r:id="rId5"/>
  </sheets>
  <definedNames>
    <definedName name="_xlnm.Print_Area" localSheetId="0">'3 WEEK'!$A$1:$W$32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C6" i="3" s="1"/>
  <c r="D6" i="3" s="1"/>
  <c r="E6" i="3" s="1"/>
  <c r="F6" i="3" s="1"/>
  <c r="G6" i="3" s="1"/>
  <c r="H6" i="3" s="1"/>
  <c r="I6" i="3" s="1"/>
  <c r="J6" i="3" s="1"/>
  <c r="K6" i="3" s="1"/>
  <c r="L6" i="3" s="1"/>
  <c r="M6" i="3" s="1"/>
  <c r="N6" i="3" s="1"/>
  <c r="O6" i="3" s="1"/>
  <c r="P6" i="3" s="1"/>
  <c r="Q6" i="3" s="1"/>
  <c r="R6" i="3" s="1"/>
  <c r="S6" i="3" s="1"/>
  <c r="T6" i="3" s="1"/>
  <c r="U6" i="3" s="1"/>
  <c r="V6" i="3" s="1"/>
  <c r="T2" i="3" s="1"/>
  <c r="A95" i="7"/>
  <c r="A85" i="7"/>
  <c r="A75" i="7"/>
  <c r="A65" i="7"/>
  <c r="A55" i="7"/>
  <c r="A45" i="7"/>
  <c r="A35" i="7"/>
  <c r="A25" i="7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22" i="8"/>
  <c r="D23" i="8"/>
  <c r="D24" i="8"/>
  <c r="D25" i="8"/>
  <c r="D26" i="8"/>
  <c r="D27" i="8"/>
  <c r="D28" i="8"/>
  <c r="D29" i="8"/>
  <c r="D30" i="8"/>
  <c r="D31" i="8"/>
  <c r="D8" i="8"/>
  <c r="D9" i="8"/>
  <c r="D10" i="8"/>
  <c r="D11" i="8"/>
  <c r="D12" i="8"/>
  <c r="D13" i="8"/>
  <c r="D14" i="8"/>
  <c r="D15" i="8"/>
  <c r="D37" i="8"/>
  <c r="D36" i="8"/>
  <c r="D51" i="8" s="1"/>
  <c r="D21" i="8"/>
  <c r="D20" i="8"/>
  <c r="D7" i="8"/>
  <c r="D6" i="8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A15" i="7"/>
  <c r="A5" i="7"/>
  <c r="A59" i="6"/>
  <c r="A53" i="6"/>
  <c r="A47" i="6"/>
  <c r="A41" i="6"/>
  <c r="A35" i="6"/>
  <c r="A29" i="6"/>
  <c r="A23" i="6"/>
  <c r="A17" i="6"/>
  <c r="A11" i="6"/>
  <c r="A5" i="6"/>
  <c r="A59" i="5"/>
  <c r="A53" i="5"/>
  <c r="A47" i="5"/>
  <c r="A41" i="5"/>
  <c r="A35" i="5"/>
  <c r="A29" i="5"/>
  <c r="A23" i="5"/>
  <c r="A17" i="5"/>
  <c r="A11" i="5"/>
  <c r="A5" i="5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D32" i="8" l="1"/>
  <c r="D16" i="8"/>
  <c r="D53" i="8" l="1"/>
  <c r="D56" i="8" s="1"/>
</calcChain>
</file>

<file path=xl/sharedStrings.xml><?xml version="1.0" encoding="utf-8"?>
<sst xmlns="http://schemas.openxmlformats.org/spreadsheetml/2006/main" count="136" uniqueCount="82">
  <si>
    <t>S</t>
  </si>
  <si>
    <t>M</t>
  </si>
  <si>
    <t>T</t>
  </si>
  <si>
    <t>W</t>
  </si>
  <si>
    <t>F</t>
  </si>
  <si>
    <t>\</t>
  </si>
  <si>
    <t>Manpower Total</t>
  </si>
  <si>
    <t>Apprentices</t>
  </si>
  <si>
    <t>Journeyman</t>
  </si>
  <si>
    <t xml:space="preserve">  Project Name :</t>
  </si>
  <si>
    <t>To:</t>
  </si>
  <si>
    <t>From:</t>
  </si>
  <si>
    <t>Total Scheduled Crew Size</t>
  </si>
  <si>
    <t>Total Actual Crew Size</t>
  </si>
  <si>
    <t>Project Supervisor</t>
  </si>
  <si>
    <t>ACTIVITY #5</t>
  </si>
  <si>
    <t>ACTIVITY #6</t>
  </si>
  <si>
    <t>ACTIVITY #7</t>
  </si>
  <si>
    <t>ACTIVITY #8</t>
  </si>
  <si>
    <t>ACTIVITY #9</t>
  </si>
  <si>
    <t>ACTIVITY #10</t>
  </si>
  <si>
    <t>3 WEEK LOOK AHEAD SCHEDULE</t>
  </si>
  <si>
    <t>TH</t>
  </si>
  <si>
    <t>SU</t>
  </si>
  <si>
    <t xml:space="preserve">T </t>
  </si>
  <si>
    <t>XXXX</t>
  </si>
  <si>
    <t>ACTIVITY</t>
  </si>
  <si>
    <t>MATERIAL LIST</t>
  </si>
  <si>
    <t>QTY</t>
  </si>
  <si>
    <t>Project No:</t>
  </si>
  <si>
    <t>MATERIAL</t>
  </si>
  <si>
    <t>DATE NEEDED</t>
  </si>
  <si>
    <t>NOTES</t>
  </si>
  <si>
    <t>Notes/Comments</t>
  </si>
  <si>
    <t>BACKUP ACTIVITIES</t>
  </si>
  <si>
    <t>PLANNED ACTIVITY</t>
  </si>
  <si>
    <t>BACKUP PLAN ACTIVITY</t>
  </si>
  <si>
    <t>ACTIVITY #2</t>
  </si>
  <si>
    <t>ACTIVITY #3</t>
  </si>
  <si>
    <t>ACTIVITY #4</t>
  </si>
  <si>
    <t>CREWSIZE</t>
  </si>
  <si>
    <t>BACKUP PLAN 1</t>
  </si>
  <si>
    <t>BACKUP PLAN 2</t>
  </si>
  <si>
    <t>BACKUP PLAN 3</t>
  </si>
  <si>
    <t>MATERIAL A1</t>
  </si>
  <si>
    <t>MATERIAL A2</t>
  </si>
  <si>
    <t>MATERIAL A3</t>
  </si>
  <si>
    <t>MATERIAL B1</t>
  </si>
  <si>
    <t>MATERIAL B2</t>
  </si>
  <si>
    <t>MATERIAL B3</t>
  </si>
  <si>
    <t>MATERIAL C1</t>
  </si>
  <si>
    <t>MATERIAL C2</t>
  </si>
  <si>
    <t>MATERIAL C3</t>
  </si>
  <si>
    <t>EQUIPMENT A1</t>
  </si>
  <si>
    <t>EQUIPMENT A2</t>
  </si>
  <si>
    <t>EQUIPMENT A3</t>
  </si>
  <si>
    <t>EQUIPMENT B1</t>
  </si>
  <si>
    <t>EQUIPMENT B2</t>
  </si>
  <si>
    <t>EQUIPMENT B3</t>
  </si>
  <si>
    <t>EQUIPMENT C1</t>
  </si>
  <si>
    <t>EQUIPMENT C2</t>
  </si>
  <si>
    <t>EQUIPMENT C3</t>
  </si>
  <si>
    <t>SAMPLE</t>
  </si>
  <si>
    <t>FOREMAN</t>
  </si>
  <si>
    <t>LABOR CALCULATOR</t>
  </si>
  <si>
    <t>EST RATE</t>
  </si>
  <si>
    <t>EST HRS</t>
  </si>
  <si>
    <t>MATERIAL - PER HUNDRED (C) (CONDUIT, TRAY, ETC)</t>
  </si>
  <si>
    <t>MATERIAL - PER THOUSAND (M) (WIRE/CABLE ETC)</t>
  </si>
  <si>
    <t>SUBTOTAL</t>
  </si>
  <si>
    <t>TOTAL HRS</t>
  </si>
  <si>
    <t>HRS / DAY</t>
  </si>
  <si>
    <t>PROJECTED CREWSIZE</t>
  </si>
  <si>
    <t>*DO NOT TYPE IN GREEN CELLS</t>
  </si>
  <si>
    <t>WORKING DAYS TO COMPLETE WORK ABOVE</t>
  </si>
  <si>
    <t>MATERIAL - PER EA. (E) (DEVICES, DISC, GEAR, FIXTURES, ETC)</t>
  </si>
  <si>
    <t>EQUIPMENT/TOOL LIST</t>
  </si>
  <si>
    <t>EQUIPMENT/TOOLS</t>
  </si>
  <si>
    <t>CREW SIZE</t>
  </si>
  <si>
    <t>EQUIPMENT / TOOLS</t>
  </si>
  <si>
    <t>ACTIVITY #1</t>
  </si>
  <si>
    <t xml:space="preserve">Notes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</si>
</sst>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/d"/>
    <numFmt numFmtId="165" formatCode="mm/dd/yy;@"/>
  </numFmts>
  <fonts count="15" x14ac:knownFonts="1">
    <font>
      <sz val="10"/>
      <name val="Arial"/>
    </font>
    <font>
      <sz val="10"/>
      <name val="Arial"/>
    </font>
    <font>
      <sz val="14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24"/>
      <name val="Arial"/>
      <family val="2"/>
    </font>
    <font>
      <b/>
      <sz val="24"/>
      <name val="Arial"/>
      <family val="2"/>
    </font>
    <font>
      <b/>
      <sz val="26"/>
      <name val="Arial"/>
      <family val="2"/>
    </font>
    <font>
      <sz val="16"/>
      <color indexed="8"/>
      <name val="Arial"/>
      <family val="2"/>
    </font>
    <font>
      <sz val="20"/>
      <name val="Arial"/>
      <family val="2"/>
    </font>
    <font>
      <sz val="18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14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2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4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13" xfId="0" applyFont="1" applyBorder="1" applyAlignment="1">
      <alignment horizontal="right"/>
    </xf>
    <xf numFmtId="0" fontId="8" fillId="0" borderId="14" xfId="0" applyFont="1" applyBorder="1" applyAlignment="1">
      <alignment horizontal="center"/>
    </xf>
    <xf numFmtId="20" fontId="10" fillId="0" borderId="2" xfId="0" applyNumberFormat="1" applyFont="1" applyBorder="1" applyAlignment="1">
      <alignment horizontal="center"/>
    </xf>
    <xf numFmtId="0" fontId="3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left"/>
    </xf>
    <xf numFmtId="0" fontId="7" fillId="0" borderId="18" xfId="0" applyFont="1" applyBorder="1" applyAlignment="1">
      <alignment horizontal="right" wrapText="1"/>
    </xf>
    <xf numFmtId="0" fontId="7" fillId="0" borderId="19" xfId="0" applyFont="1" applyBorder="1" applyAlignment="1">
      <alignment horizontal="right"/>
    </xf>
    <xf numFmtId="0" fontId="7" fillId="0" borderId="18" xfId="0" applyFont="1" applyBorder="1" applyAlignment="1">
      <alignment horizontal="right"/>
    </xf>
    <xf numFmtId="0" fontId="7" fillId="0" borderId="19" xfId="0" applyFont="1" applyBorder="1" applyAlignment="1">
      <alignment horizontal="left"/>
    </xf>
    <xf numFmtId="0" fontId="7" fillId="2" borderId="1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21" xfId="0" applyFont="1" applyFill="1" applyBorder="1" applyAlignment="1">
      <alignment horizontal="center" wrapText="1"/>
    </xf>
    <xf numFmtId="20" fontId="10" fillId="3" borderId="2" xfId="0" applyNumberFormat="1" applyFont="1" applyFill="1" applyBorder="1" applyAlignment="1">
      <alignment horizontal="center"/>
    </xf>
    <xf numFmtId="164" fontId="3" fillId="3" borderId="3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wrapText="1"/>
    </xf>
    <xf numFmtId="0" fontId="4" fillId="3" borderId="10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3" fillId="0" borderId="1" xfId="0" applyFont="1" applyBorder="1"/>
    <xf numFmtId="165" fontId="9" fillId="0" borderId="0" xfId="0" applyNumberFormat="1" applyFont="1"/>
    <xf numFmtId="0" fontId="9" fillId="0" borderId="20" xfId="0" applyFont="1" applyBorder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2" xfId="0" applyFont="1" applyBorder="1" applyAlignment="1">
      <alignment horizontal="center" wrapText="1"/>
    </xf>
    <xf numFmtId="0" fontId="0" fillId="0" borderId="2" xfId="0" applyBorder="1"/>
    <xf numFmtId="14" fontId="0" fillId="0" borderId="2" xfId="0" applyNumberFormat="1" applyBorder="1"/>
    <xf numFmtId="0" fontId="13" fillId="4" borderId="23" xfId="0" applyFont="1" applyFill="1" applyBorder="1" applyAlignment="1">
      <alignment horizontal="center"/>
    </xf>
    <xf numFmtId="0" fontId="13" fillId="4" borderId="23" xfId="0" applyFont="1" applyFill="1" applyBorder="1" applyAlignment="1">
      <alignment horizontal="center" wrapText="1"/>
    </xf>
    <xf numFmtId="0" fontId="0" fillId="0" borderId="2" xfId="0" applyBorder="1" applyAlignment="1">
      <alignment wrapText="1"/>
    </xf>
    <xf numFmtId="20" fontId="10" fillId="0" borderId="15" xfId="0" applyNumberFormat="1" applyFont="1" applyBorder="1" applyAlignment="1">
      <alignment horizontal="center"/>
    </xf>
    <xf numFmtId="20" fontId="10" fillId="3" borderId="15" xfId="0" applyNumberFormat="1" applyFont="1" applyFill="1" applyBorder="1" applyAlignment="1">
      <alignment horizontal="center"/>
    </xf>
    <xf numFmtId="0" fontId="3" fillId="0" borderId="24" xfId="0" applyFont="1" applyBorder="1"/>
    <xf numFmtId="20" fontId="10" fillId="0" borderId="7" xfId="0" applyNumberFormat="1" applyFont="1" applyBorder="1" applyAlignment="1">
      <alignment horizontal="center"/>
    </xf>
    <xf numFmtId="164" fontId="3" fillId="0" borderId="22" xfId="0" applyNumberFormat="1" applyFont="1" applyBorder="1" applyAlignment="1">
      <alignment horizontal="center"/>
    </xf>
    <xf numFmtId="0" fontId="0" fillId="2" borderId="2" xfId="0" applyFill="1" applyBorder="1"/>
    <xf numFmtId="14" fontId="0" fillId="2" borderId="2" xfId="0" applyNumberFormat="1" applyFill="1" applyBorder="1"/>
    <xf numFmtId="0" fontId="0" fillId="2" borderId="2" xfId="0" applyFill="1" applyBorder="1" applyAlignment="1">
      <alignment wrapText="1"/>
    </xf>
    <xf numFmtId="0" fontId="11" fillId="0" borderId="0" xfId="0" applyFont="1" applyAlignment="1">
      <alignment horizontal="center"/>
    </xf>
    <xf numFmtId="43" fontId="11" fillId="0" borderId="0" xfId="1" applyFont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43" fontId="11" fillId="5" borderId="16" xfId="1" applyFont="1" applyFill="1" applyBorder="1" applyAlignment="1">
      <alignment horizontal="left"/>
    </xf>
    <xf numFmtId="0" fontId="14" fillId="0" borderId="2" xfId="0" applyFont="1" applyBorder="1"/>
    <xf numFmtId="0" fontId="0" fillId="0" borderId="2" xfId="0" applyBorder="1" applyAlignment="1">
      <alignment horizontal="center"/>
    </xf>
    <xf numFmtId="0" fontId="0" fillId="4" borderId="2" xfId="0" applyFill="1" applyBorder="1"/>
    <xf numFmtId="43" fontId="11" fillId="4" borderId="2" xfId="1" applyFont="1" applyFill="1" applyBorder="1" applyAlignment="1">
      <alignment horizontal="center"/>
    </xf>
    <xf numFmtId="43" fontId="11" fillId="4" borderId="26" xfId="1" applyFont="1" applyFill="1" applyBorder="1" applyAlignment="1">
      <alignment horizontal="center"/>
    </xf>
    <xf numFmtId="0" fontId="11" fillId="6" borderId="15" xfId="0" applyFont="1" applyFill="1" applyBorder="1"/>
    <xf numFmtId="0" fontId="0" fillId="6" borderId="15" xfId="0" applyFill="1" applyBorder="1"/>
    <xf numFmtId="14" fontId="0" fillId="6" borderId="15" xfId="0" applyNumberFormat="1" applyFill="1" applyBorder="1"/>
    <xf numFmtId="0" fontId="0" fillId="6" borderId="15" xfId="0" applyFill="1" applyBorder="1" applyAlignment="1">
      <alignment wrapText="1"/>
    </xf>
    <xf numFmtId="0" fontId="11" fillId="6" borderId="2" xfId="0" applyFont="1" applyFill="1" applyBorder="1"/>
    <xf numFmtId="0" fontId="0" fillId="6" borderId="2" xfId="0" applyFill="1" applyBorder="1"/>
    <xf numFmtId="14" fontId="0" fillId="6" borderId="2" xfId="0" applyNumberFormat="1" applyFill="1" applyBorder="1"/>
    <xf numFmtId="0" fontId="0" fillId="6" borderId="2" xfId="0" applyFill="1" applyBorder="1" applyAlignment="1">
      <alignment wrapText="1"/>
    </xf>
    <xf numFmtId="0" fontId="7" fillId="2" borderId="39" xfId="0" applyFont="1" applyFill="1" applyBorder="1" applyAlignment="1">
      <alignment horizontal="center"/>
    </xf>
    <xf numFmtId="0" fontId="9" fillId="2" borderId="40" xfId="0" applyFont="1" applyFill="1" applyBorder="1" applyAlignment="1">
      <alignment horizontal="center" wrapText="1"/>
    </xf>
    <xf numFmtId="0" fontId="2" fillId="0" borderId="29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0" fontId="3" fillId="0" borderId="27" xfId="0" applyFont="1" applyBorder="1" applyAlignment="1">
      <alignment horizontal="left" vertical="top" wrapText="1"/>
    </xf>
    <xf numFmtId="0" fontId="3" fillId="0" borderId="28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  <xf numFmtId="0" fontId="3" fillId="2" borderId="27" xfId="0" applyFont="1" applyFill="1" applyBorder="1" applyAlignment="1">
      <alignment horizontal="left" vertical="top" wrapText="1"/>
    </xf>
    <xf numFmtId="0" fontId="3" fillId="2" borderId="28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12" fillId="7" borderId="31" xfId="0" applyFont="1" applyFill="1" applyBorder="1" applyAlignment="1">
      <alignment horizontal="center"/>
    </xf>
    <xf numFmtId="0" fontId="12" fillId="7" borderId="29" xfId="0" applyFont="1" applyFill="1" applyBorder="1" applyAlignment="1">
      <alignment horizontal="center"/>
    </xf>
    <xf numFmtId="0" fontId="12" fillId="7" borderId="32" xfId="0" applyFont="1" applyFill="1" applyBorder="1" applyAlignment="1">
      <alignment horizontal="center"/>
    </xf>
    <xf numFmtId="0" fontId="12" fillId="7" borderId="19" xfId="0" applyFont="1" applyFill="1" applyBorder="1" applyAlignment="1">
      <alignment horizontal="center"/>
    </xf>
    <xf numFmtId="0" fontId="12" fillId="7" borderId="33" xfId="0" applyFont="1" applyFill="1" applyBorder="1" applyAlignment="1">
      <alignment horizontal="center"/>
    </xf>
    <xf numFmtId="0" fontId="12" fillId="7" borderId="34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5" borderId="37" xfId="0" applyFont="1" applyFill="1" applyBorder="1" applyAlignment="1">
      <alignment horizontal="center"/>
    </xf>
    <xf numFmtId="0" fontId="11" fillId="5" borderId="38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 wrapText="1"/>
    </xf>
    <xf numFmtId="0" fontId="11" fillId="4" borderId="0" xfId="0" applyFont="1" applyFill="1" applyAlignment="1">
      <alignment horizontal="center"/>
    </xf>
    <xf numFmtId="0" fontId="4" fillId="7" borderId="31" xfId="0" applyFont="1" applyFill="1" applyBorder="1" applyAlignment="1">
      <alignment horizontal="center"/>
    </xf>
    <xf numFmtId="0" fontId="4" fillId="7" borderId="29" xfId="0" applyFont="1" applyFill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19" xfId="0" applyFont="1" applyFill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7" borderId="34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3</xdr:row>
      <xdr:rowOff>76200</xdr:rowOff>
    </xdr:from>
    <xdr:to>
      <xdr:col>0</xdr:col>
      <xdr:colOff>3352800</xdr:colOff>
      <xdr:row>5</xdr:row>
      <xdr:rowOff>406400</xdr:rowOff>
    </xdr:to>
    <xdr:pic>
      <xdr:nvPicPr>
        <xdr:cNvPr id="3102" name="Picture 3">
          <a:extLst>
            <a:ext uri="{FF2B5EF4-FFF2-40B4-BE49-F238E27FC236}">
              <a16:creationId xmlns:a16="http://schemas.microsoft.com/office/drawing/2014/main" id="{B5B5EA4F-C846-0466-46A6-D1D5CC64B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1219200"/>
          <a:ext cx="262890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32"/>
  <sheetViews>
    <sheetView tabSelected="1" zoomScale="55" zoomScaleNormal="55" zoomScaleSheetLayoutView="36" workbookViewId="0">
      <selection activeCell="F9" sqref="F9"/>
    </sheetView>
  </sheetViews>
  <sheetFormatPr defaultRowHeight="12.75" x14ac:dyDescent="0.2"/>
  <cols>
    <col min="1" max="1" width="95" style="1" customWidth="1"/>
    <col min="2" max="2" width="10.42578125" style="1" customWidth="1"/>
    <col min="3" max="3" width="10.28515625" style="1" customWidth="1"/>
    <col min="4" max="11" width="10.42578125" style="1" customWidth="1"/>
    <col min="12" max="22" width="10.42578125" customWidth="1"/>
    <col min="23" max="23" width="80.7109375" customWidth="1"/>
    <col min="24" max="24" width="20.5703125" style="1" customWidth="1"/>
  </cols>
  <sheetData>
    <row r="1" spans="1:24" ht="43.5" customHeight="1" x14ac:dyDescent="0.3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4" s="6" customFormat="1" ht="33" customHeight="1" x14ac:dyDescent="0.35">
      <c r="A2" s="24"/>
      <c r="B2" s="89" t="s">
        <v>9</v>
      </c>
      <c r="C2" s="89"/>
      <c r="D2" s="89"/>
      <c r="E2" s="90" t="s">
        <v>62</v>
      </c>
      <c r="F2" s="90"/>
      <c r="G2" s="90"/>
      <c r="H2" s="90"/>
      <c r="J2" s="6" t="s">
        <v>29</v>
      </c>
      <c r="L2" s="90" t="s">
        <v>25</v>
      </c>
      <c r="M2" s="90"/>
      <c r="N2" s="50"/>
      <c r="O2" s="3" t="s">
        <v>11</v>
      </c>
      <c r="P2" s="91">
        <v>45320</v>
      </c>
      <c r="Q2" s="91"/>
      <c r="R2" s="50"/>
      <c r="S2" s="2" t="s">
        <v>10</v>
      </c>
      <c r="T2" s="91">
        <f>V6</f>
        <v>45340</v>
      </c>
      <c r="U2" s="91"/>
      <c r="V2" s="24"/>
      <c r="W2" s="97" t="s">
        <v>21</v>
      </c>
      <c r="X2" s="3"/>
    </row>
    <row r="3" spans="1:24" s="6" customFormat="1" ht="13.5" customHeight="1" thickBot="1" x14ac:dyDescent="0.35">
      <c r="A3" s="26"/>
      <c r="W3" s="97"/>
      <c r="X3" s="4"/>
    </row>
    <row r="4" spans="1:24" s="6" customFormat="1" ht="33" customHeight="1" thickTop="1" x14ac:dyDescent="0.3">
      <c r="A4" s="25"/>
      <c r="B4" s="62"/>
      <c r="C4" s="49"/>
      <c r="D4" s="5"/>
      <c r="E4" s="49"/>
      <c r="F4" s="49"/>
      <c r="G4" s="5"/>
      <c r="H4" s="90"/>
      <c r="I4" s="90"/>
      <c r="J4" s="5"/>
      <c r="L4" s="4"/>
      <c r="M4" s="89" t="s">
        <v>14</v>
      </c>
      <c r="N4" s="89"/>
      <c r="O4" s="89"/>
      <c r="P4" s="94" t="s">
        <v>63</v>
      </c>
      <c r="Q4" s="94"/>
      <c r="R4" s="94"/>
      <c r="S4" s="94"/>
      <c r="T4" s="94"/>
      <c r="U4" s="94"/>
      <c r="V4" s="94"/>
      <c r="W4" s="97"/>
    </row>
    <row r="5" spans="1:24" s="12" customFormat="1" ht="45.75" customHeight="1" x14ac:dyDescent="0.4">
      <c r="A5" s="23"/>
      <c r="B5" s="63" t="s">
        <v>1</v>
      </c>
      <c r="C5" s="60" t="s">
        <v>2</v>
      </c>
      <c r="D5" s="60" t="s">
        <v>3</v>
      </c>
      <c r="E5" s="60" t="s">
        <v>22</v>
      </c>
      <c r="F5" s="60" t="s">
        <v>4</v>
      </c>
      <c r="G5" s="61" t="s">
        <v>0</v>
      </c>
      <c r="H5" s="61" t="s">
        <v>23</v>
      </c>
      <c r="I5" s="60" t="s">
        <v>1</v>
      </c>
      <c r="J5" s="60" t="s">
        <v>2</v>
      </c>
      <c r="K5" s="27" t="s">
        <v>3</v>
      </c>
      <c r="L5" s="27" t="s">
        <v>22</v>
      </c>
      <c r="M5" s="27" t="s">
        <v>4</v>
      </c>
      <c r="N5" s="42" t="s">
        <v>0</v>
      </c>
      <c r="O5" s="42" t="s">
        <v>23</v>
      </c>
      <c r="P5" s="27" t="s">
        <v>1</v>
      </c>
      <c r="Q5" s="27" t="s">
        <v>24</v>
      </c>
      <c r="R5" s="27" t="s">
        <v>3</v>
      </c>
      <c r="S5" s="27" t="s">
        <v>22</v>
      </c>
      <c r="T5" s="27" t="s">
        <v>4</v>
      </c>
      <c r="U5" s="42" t="s">
        <v>0</v>
      </c>
      <c r="V5" s="42" t="s">
        <v>23</v>
      </c>
      <c r="W5" s="98" t="s">
        <v>33</v>
      </c>
      <c r="X5" s="11"/>
    </row>
    <row r="6" spans="1:24" s="4" customFormat="1" ht="38.25" customHeight="1" thickBot="1" x14ac:dyDescent="0.35">
      <c r="A6" s="22"/>
      <c r="B6" s="64">
        <f>P2</f>
        <v>45320</v>
      </c>
      <c r="C6" s="8">
        <f t="shared" ref="C6:V6" si="0">B6+1</f>
        <v>45321</v>
      </c>
      <c r="D6" s="8">
        <f t="shared" si="0"/>
        <v>45322</v>
      </c>
      <c r="E6" s="8">
        <f t="shared" si="0"/>
        <v>45323</v>
      </c>
      <c r="F6" s="8">
        <f t="shared" si="0"/>
        <v>45324</v>
      </c>
      <c r="G6" s="43">
        <f t="shared" si="0"/>
        <v>45325</v>
      </c>
      <c r="H6" s="43">
        <f t="shared" si="0"/>
        <v>45326</v>
      </c>
      <c r="I6" s="8">
        <f t="shared" si="0"/>
        <v>45327</v>
      </c>
      <c r="J6" s="8">
        <f t="shared" si="0"/>
        <v>45328</v>
      </c>
      <c r="K6" s="8">
        <f t="shared" si="0"/>
        <v>45329</v>
      </c>
      <c r="L6" s="8">
        <f t="shared" si="0"/>
        <v>45330</v>
      </c>
      <c r="M6" s="8">
        <f t="shared" si="0"/>
        <v>45331</v>
      </c>
      <c r="N6" s="43">
        <f t="shared" si="0"/>
        <v>45332</v>
      </c>
      <c r="O6" s="43">
        <f t="shared" si="0"/>
        <v>45333</v>
      </c>
      <c r="P6" s="8">
        <f t="shared" si="0"/>
        <v>45334</v>
      </c>
      <c r="Q6" s="8">
        <f t="shared" si="0"/>
        <v>45335</v>
      </c>
      <c r="R6" s="8">
        <f t="shared" si="0"/>
        <v>45336</v>
      </c>
      <c r="S6" s="8">
        <f t="shared" si="0"/>
        <v>45337</v>
      </c>
      <c r="T6" s="8">
        <f t="shared" si="0"/>
        <v>45338</v>
      </c>
      <c r="U6" s="43">
        <f t="shared" si="0"/>
        <v>45339</v>
      </c>
      <c r="V6" s="43">
        <f t="shared" si="0"/>
        <v>45340</v>
      </c>
      <c r="W6" s="99"/>
    </row>
    <row r="7" spans="1:24" s="6" customFormat="1" ht="45" customHeight="1" x14ac:dyDescent="0.5">
      <c r="A7" s="86" t="s">
        <v>80</v>
      </c>
      <c r="B7" s="37" t="s">
        <v>5</v>
      </c>
      <c r="C7" s="37" t="s">
        <v>5</v>
      </c>
      <c r="D7" s="37" t="s">
        <v>5</v>
      </c>
      <c r="E7" s="37" t="s">
        <v>5</v>
      </c>
      <c r="F7" s="37" t="s">
        <v>5</v>
      </c>
      <c r="G7" s="44"/>
      <c r="H7" s="44"/>
      <c r="I7" s="37" t="s">
        <v>5</v>
      </c>
      <c r="J7" s="37" t="s">
        <v>5</v>
      </c>
      <c r="K7" s="37" t="s">
        <v>5</v>
      </c>
      <c r="L7" s="37" t="s">
        <v>5</v>
      </c>
      <c r="M7" s="37" t="s">
        <v>5</v>
      </c>
      <c r="N7" s="44"/>
      <c r="O7" s="44"/>
      <c r="P7" s="37" t="s">
        <v>5</v>
      </c>
      <c r="Q7" s="37" t="s">
        <v>5</v>
      </c>
      <c r="R7" s="37" t="s">
        <v>5</v>
      </c>
      <c r="S7" s="37" t="s">
        <v>5</v>
      </c>
      <c r="T7" s="37" t="s">
        <v>5</v>
      </c>
      <c r="U7" s="44"/>
      <c r="V7" s="44"/>
      <c r="W7" s="95" t="s">
        <v>81</v>
      </c>
      <c r="X7" s="4"/>
    </row>
    <row r="8" spans="1:24" s="15" customFormat="1" ht="45" customHeight="1" thickBot="1" x14ac:dyDescent="0.4">
      <c r="A8" s="87" t="s">
        <v>78</v>
      </c>
      <c r="B8" s="41">
        <v>6</v>
      </c>
      <c r="C8" s="40">
        <v>6</v>
      </c>
      <c r="D8" s="40">
        <v>6</v>
      </c>
      <c r="E8" s="40">
        <v>6</v>
      </c>
      <c r="F8" s="40">
        <v>6</v>
      </c>
      <c r="G8" s="45"/>
      <c r="H8" s="45"/>
      <c r="I8" s="40">
        <v>4</v>
      </c>
      <c r="J8" s="40">
        <v>4</v>
      </c>
      <c r="K8" s="40">
        <v>4</v>
      </c>
      <c r="L8" s="40">
        <v>4</v>
      </c>
      <c r="M8" s="40">
        <v>4</v>
      </c>
      <c r="N8" s="45"/>
      <c r="O8" s="45"/>
      <c r="P8" s="40">
        <v>4</v>
      </c>
      <c r="Q8" s="40">
        <v>4</v>
      </c>
      <c r="R8" s="40">
        <v>4</v>
      </c>
      <c r="S8" s="40">
        <v>4</v>
      </c>
      <c r="T8" s="40">
        <v>4</v>
      </c>
      <c r="U8" s="45"/>
      <c r="V8" s="45"/>
      <c r="W8" s="96"/>
      <c r="X8" s="14"/>
    </row>
    <row r="9" spans="1:24" s="6" customFormat="1" ht="45" customHeight="1" x14ac:dyDescent="0.5">
      <c r="A9" s="30" t="s">
        <v>37</v>
      </c>
      <c r="B9" s="53"/>
      <c r="C9" s="9"/>
      <c r="D9" s="9"/>
      <c r="E9" s="9"/>
      <c r="F9" s="9"/>
      <c r="G9" s="44"/>
      <c r="H9" s="44"/>
      <c r="I9" s="9"/>
      <c r="J9" s="9"/>
      <c r="K9" s="9"/>
      <c r="L9" s="9"/>
      <c r="M9" s="9"/>
      <c r="N9" s="44"/>
      <c r="O9" s="44"/>
      <c r="P9" s="9"/>
      <c r="Q9" s="9"/>
      <c r="R9" s="9"/>
      <c r="S9" s="9"/>
      <c r="T9" s="9"/>
      <c r="U9" s="44"/>
      <c r="V9" s="44"/>
      <c r="W9" s="92"/>
      <c r="X9" s="4"/>
    </row>
    <row r="10" spans="1:24" s="15" customFormat="1" ht="45" customHeight="1" thickBot="1" x14ac:dyDescent="0.4">
      <c r="A10" s="51" t="s">
        <v>78</v>
      </c>
      <c r="B10" s="17"/>
      <c r="C10" s="13"/>
      <c r="D10" s="13"/>
      <c r="E10" s="13"/>
      <c r="F10" s="13"/>
      <c r="G10" s="45"/>
      <c r="H10" s="45"/>
      <c r="I10" s="13"/>
      <c r="J10" s="13"/>
      <c r="K10" s="13"/>
      <c r="L10" s="13"/>
      <c r="M10" s="13"/>
      <c r="N10" s="45"/>
      <c r="O10" s="45"/>
      <c r="P10" s="13"/>
      <c r="Q10" s="13"/>
      <c r="R10" s="13"/>
      <c r="S10" s="13"/>
      <c r="T10" s="13"/>
      <c r="U10" s="45"/>
      <c r="V10" s="45"/>
      <c r="W10" s="93"/>
      <c r="X10" s="14"/>
    </row>
    <row r="11" spans="1:24" s="6" customFormat="1" ht="45" customHeight="1" x14ac:dyDescent="0.5">
      <c r="A11" s="36" t="s">
        <v>38</v>
      </c>
      <c r="B11" s="52"/>
      <c r="C11" s="37"/>
      <c r="D11" s="37"/>
      <c r="E11" s="37"/>
      <c r="F11" s="37"/>
      <c r="G11" s="44"/>
      <c r="H11" s="44"/>
      <c r="I11" s="37"/>
      <c r="J11" s="37"/>
      <c r="K11" s="37"/>
      <c r="L11" s="37"/>
      <c r="M11" s="37"/>
      <c r="N11" s="44"/>
      <c r="O11" s="44"/>
      <c r="P11" s="37"/>
      <c r="Q11" s="37"/>
      <c r="R11" s="37"/>
      <c r="S11" s="37"/>
      <c r="T11" s="37"/>
      <c r="U11" s="44"/>
      <c r="V11" s="44"/>
      <c r="W11" s="95"/>
      <c r="X11" s="4"/>
    </row>
    <row r="12" spans="1:24" s="15" customFormat="1" ht="45" customHeight="1" thickBot="1" x14ac:dyDescent="0.4">
      <c r="A12" s="38" t="s">
        <v>78</v>
      </c>
      <c r="B12" s="39"/>
      <c r="C12" s="40"/>
      <c r="D12" s="40"/>
      <c r="E12" s="40"/>
      <c r="F12" s="40"/>
      <c r="G12" s="45"/>
      <c r="H12" s="45"/>
      <c r="I12" s="40"/>
      <c r="J12" s="40"/>
      <c r="K12" s="40"/>
      <c r="L12" s="40"/>
      <c r="M12" s="40"/>
      <c r="N12" s="45"/>
      <c r="O12" s="45"/>
      <c r="P12" s="40"/>
      <c r="Q12" s="40"/>
      <c r="R12" s="40"/>
      <c r="S12" s="40"/>
      <c r="T12" s="40"/>
      <c r="U12" s="45"/>
      <c r="V12" s="45"/>
      <c r="W12" s="96"/>
      <c r="X12" s="14"/>
    </row>
    <row r="13" spans="1:24" s="6" customFormat="1" ht="45" customHeight="1" x14ac:dyDescent="0.5">
      <c r="A13" s="30" t="s">
        <v>39</v>
      </c>
      <c r="B13" s="53"/>
      <c r="C13" s="9"/>
      <c r="D13" s="9"/>
      <c r="E13" s="9"/>
      <c r="F13" s="9"/>
      <c r="G13" s="44"/>
      <c r="H13" s="44"/>
      <c r="I13" s="9"/>
      <c r="J13" s="9"/>
      <c r="K13" s="9"/>
      <c r="L13" s="9"/>
      <c r="M13" s="9"/>
      <c r="N13" s="44"/>
      <c r="O13" s="44"/>
      <c r="P13" s="9"/>
      <c r="Q13" s="9"/>
      <c r="R13" s="9"/>
      <c r="S13" s="9"/>
      <c r="T13" s="9"/>
      <c r="U13" s="44"/>
      <c r="V13" s="44"/>
      <c r="W13" s="92"/>
      <c r="X13" s="4"/>
    </row>
    <row r="14" spans="1:24" s="15" customFormat="1" ht="45" customHeight="1" thickBot="1" x14ac:dyDescent="0.4">
      <c r="A14" s="51" t="s">
        <v>40</v>
      </c>
      <c r="B14" s="17"/>
      <c r="C14" s="13"/>
      <c r="D14" s="13"/>
      <c r="E14" s="13"/>
      <c r="F14" s="13"/>
      <c r="G14" s="45"/>
      <c r="H14" s="45"/>
      <c r="I14" s="13"/>
      <c r="J14" s="13"/>
      <c r="K14" s="13"/>
      <c r="L14" s="13"/>
      <c r="M14" s="13"/>
      <c r="N14" s="45"/>
      <c r="O14" s="45"/>
      <c r="P14" s="13"/>
      <c r="Q14" s="13"/>
      <c r="R14" s="13"/>
      <c r="S14" s="13"/>
      <c r="T14" s="13"/>
      <c r="U14" s="45"/>
      <c r="V14" s="45"/>
      <c r="W14" s="93"/>
      <c r="X14" s="14"/>
    </row>
    <row r="15" spans="1:24" s="6" customFormat="1" ht="45" customHeight="1" x14ac:dyDescent="0.5">
      <c r="A15" s="36" t="s">
        <v>15</v>
      </c>
      <c r="B15" s="52"/>
      <c r="C15" s="37"/>
      <c r="D15" s="37"/>
      <c r="E15" s="37"/>
      <c r="F15" s="37"/>
      <c r="G15" s="44"/>
      <c r="H15" s="44"/>
      <c r="I15" s="37"/>
      <c r="J15" s="37"/>
      <c r="K15" s="37"/>
      <c r="L15" s="37"/>
      <c r="M15" s="37"/>
      <c r="N15" s="44"/>
      <c r="O15" s="44"/>
      <c r="P15" s="37"/>
      <c r="Q15" s="37"/>
      <c r="R15" s="37"/>
      <c r="S15" s="37"/>
      <c r="T15" s="37"/>
      <c r="U15" s="44"/>
      <c r="V15" s="44"/>
      <c r="W15" s="95"/>
      <c r="X15" s="4"/>
    </row>
    <row r="16" spans="1:24" s="15" customFormat="1" ht="45" customHeight="1" thickBot="1" x14ac:dyDescent="0.4">
      <c r="A16" s="38" t="s">
        <v>78</v>
      </c>
      <c r="B16" s="39"/>
      <c r="C16" s="40"/>
      <c r="D16" s="40"/>
      <c r="E16" s="40"/>
      <c r="F16" s="40"/>
      <c r="G16" s="45"/>
      <c r="H16" s="45"/>
      <c r="I16" s="40"/>
      <c r="J16" s="40"/>
      <c r="K16" s="40"/>
      <c r="L16" s="40"/>
      <c r="M16" s="40"/>
      <c r="N16" s="45"/>
      <c r="O16" s="45"/>
      <c r="P16" s="40"/>
      <c r="Q16" s="40"/>
      <c r="R16" s="40"/>
      <c r="S16" s="40"/>
      <c r="T16" s="40"/>
      <c r="U16" s="45"/>
      <c r="V16" s="45"/>
      <c r="W16" s="96"/>
      <c r="X16" s="14"/>
    </row>
    <row r="17" spans="1:24" s="6" customFormat="1" ht="45" customHeight="1" x14ac:dyDescent="0.5">
      <c r="A17" s="30" t="s">
        <v>16</v>
      </c>
      <c r="B17" s="53"/>
      <c r="C17" s="9"/>
      <c r="D17" s="9"/>
      <c r="E17" s="9"/>
      <c r="F17" s="9"/>
      <c r="G17" s="44"/>
      <c r="H17" s="44"/>
      <c r="I17" s="9"/>
      <c r="J17" s="9"/>
      <c r="K17" s="9"/>
      <c r="L17" s="9"/>
      <c r="M17" s="9"/>
      <c r="N17" s="44"/>
      <c r="O17" s="44"/>
      <c r="P17" s="9"/>
      <c r="Q17" s="9"/>
      <c r="R17" s="9"/>
      <c r="S17" s="9"/>
      <c r="T17" s="9"/>
      <c r="U17" s="44"/>
      <c r="V17" s="44"/>
      <c r="W17" s="92"/>
      <c r="X17" s="4"/>
    </row>
    <row r="18" spans="1:24" s="15" customFormat="1" ht="45" customHeight="1" thickBot="1" x14ac:dyDescent="0.4">
      <c r="A18" s="51" t="s">
        <v>78</v>
      </c>
      <c r="B18" s="17"/>
      <c r="C18" s="13"/>
      <c r="D18" s="13"/>
      <c r="E18" s="13"/>
      <c r="F18" s="13"/>
      <c r="G18" s="45"/>
      <c r="H18" s="45"/>
      <c r="I18" s="13"/>
      <c r="J18" s="13"/>
      <c r="K18" s="13"/>
      <c r="L18" s="13"/>
      <c r="M18" s="13"/>
      <c r="N18" s="45"/>
      <c r="O18" s="45"/>
      <c r="P18" s="13"/>
      <c r="Q18" s="13"/>
      <c r="R18" s="13"/>
      <c r="S18" s="13"/>
      <c r="T18" s="13"/>
      <c r="U18" s="45"/>
      <c r="V18" s="45"/>
      <c r="W18" s="93"/>
      <c r="X18" s="14"/>
    </row>
    <row r="19" spans="1:24" s="6" customFormat="1" ht="45" customHeight="1" x14ac:dyDescent="0.5">
      <c r="A19" s="36" t="s">
        <v>17</v>
      </c>
      <c r="B19" s="52"/>
      <c r="C19" s="37"/>
      <c r="D19" s="37"/>
      <c r="E19" s="37"/>
      <c r="F19" s="37"/>
      <c r="G19" s="44"/>
      <c r="H19" s="44"/>
      <c r="I19" s="37"/>
      <c r="J19" s="37"/>
      <c r="K19" s="37"/>
      <c r="L19" s="37"/>
      <c r="M19" s="37"/>
      <c r="N19" s="44"/>
      <c r="O19" s="44"/>
      <c r="P19" s="37"/>
      <c r="Q19" s="37"/>
      <c r="R19" s="37"/>
      <c r="S19" s="37"/>
      <c r="T19" s="37"/>
      <c r="U19" s="44"/>
      <c r="V19" s="44"/>
      <c r="W19" s="95"/>
      <c r="X19" s="4"/>
    </row>
    <row r="20" spans="1:24" s="15" customFormat="1" ht="45" customHeight="1" thickBot="1" x14ac:dyDescent="0.4">
      <c r="A20" s="38" t="s">
        <v>78</v>
      </c>
      <c r="B20" s="39"/>
      <c r="C20" s="40"/>
      <c r="D20" s="40"/>
      <c r="E20" s="40"/>
      <c r="F20" s="40"/>
      <c r="G20" s="45"/>
      <c r="H20" s="45"/>
      <c r="I20" s="40"/>
      <c r="J20" s="40"/>
      <c r="K20" s="40"/>
      <c r="L20" s="40"/>
      <c r="M20" s="40"/>
      <c r="N20" s="45"/>
      <c r="O20" s="45"/>
      <c r="P20" s="40"/>
      <c r="Q20" s="40"/>
      <c r="R20" s="40"/>
      <c r="S20" s="40"/>
      <c r="T20" s="40"/>
      <c r="U20" s="45"/>
      <c r="V20" s="45"/>
      <c r="W20" s="96"/>
      <c r="X20" s="14"/>
    </row>
    <row r="21" spans="1:24" s="6" customFormat="1" ht="45" customHeight="1" x14ac:dyDescent="0.5">
      <c r="A21" s="30" t="s">
        <v>18</v>
      </c>
      <c r="B21" s="16"/>
      <c r="C21" s="20"/>
      <c r="D21" s="20"/>
      <c r="E21" s="20"/>
      <c r="F21" s="20"/>
      <c r="G21" s="46"/>
      <c r="H21" s="46"/>
      <c r="I21" s="20"/>
      <c r="J21" s="20"/>
      <c r="K21" s="20"/>
      <c r="L21" s="20"/>
      <c r="M21" s="20"/>
      <c r="N21" s="46"/>
      <c r="O21" s="46"/>
      <c r="P21" s="20"/>
      <c r="Q21" s="20"/>
      <c r="R21" s="20"/>
      <c r="S21" s="20"/>
      <c r="T21" s="20"/>
      <c r="U21" s="46"/>
      <c r="V21" s="46"/>
      <c r="W21" s="92"/>
      <c r="X21" s="4"/>
    </row>
    <row r="22" spans="1:24" s="15" customFormat="1" ht="45" customHeight="1" thickBot="1" x14ac:dyDescent="0.4">
      <c r="A22" s="51" t="s">
        <v>78</v>
      </c>
      <c r="B22" s="17"/>
      <c r="C22" s="13"/>
      <c r="D22" s="13"/>
      <c r="E22" s="13"/>
      <c r="F22" s="13"/>
      <c r="G22" s="45"/>
      <c r="H22" s="45"/>
      <c r="I22" s="13"/>
      <c r="J22" s="13"/>
      <c r="K22" s="13"/>
      <c r="L22" s="13"/>
      <c r="M22" s="13"/>
      <c r="N22" s="45"/>
      <c r="O22" s="45"/>
      <c r="P22" s="13"/>
      <c r="Q22" s="13"/>
      <c r="R22" s="13"/>
      <c r="S22" s="13"/>
      <c r="T22" s="13"/>
      <c r="U22" s="45"/>
      <c r="V22" s="45"/>
      <c r="W22" s="93"/>
      <c r="X22" s="14"/>
    </row>
    <row r="23" spans="1:24" s="6" customFormat="1" ht="45" customHeight="1" x14ac:dyDescent="0.5">
      <c r="A23" s="36" t="s">
        <v>19</v>
      </c>
      <c r="B23" s="47"/>
      <c r="C23" s="48"/>
      <c r="D23" s="48"/>
      <c r="E23" s="48"/>
      <c r="F23" s="48"/>
      <c r="G23" s="46"/>
      <c r="H23" s="46"/>
      <c r="I23" s="48"/>
      <c r="J23" s="48"/>
      <c r="K23" s="48"/>
      <c r="L23" s="48"/>
      <c r="M23" s="48"/>
      <c r="N23" s="46"/>
      <c r="O23" s="46"/>
      <c r="P23" s="48"/>
      <c r="Q23" s="48"/>
      <c r="R23" s="48"/>
      <c r="S23" s="48"/>
      <c r="T23" s="48"/>
      <c r="U23" s="46"/>
      <c r="V23" s="46"/>
      <c r="W23" s="95"/>
      <c r="X23" s="4"/>
    </row>
    <row r="24" spans="1:24" s="6" customFormat="1" ht="45" customHeight="1" thickBot="1" x14ac:dyDescent="0.4">
      <c r="A24" s="38" t="s">
        <v>78</v>
      </c>
      <c r="B24" s="39"/>
      <c r="C24" s="40"/>
      <c r="D24" s="40"/>
      <c r="E24" s="40"/>
      <c r="F24" s="40"/>
      <c r="G24" s="45"/>
      <c r="H24" s="45"/>
      <c r="I24" s="40"/>
      <c r="J24" s="40"/>
      <c r="K24" s="40"/>
      <c r="L24" s="40"/>
      <c r="M24" s="40"/>
      <c r="N24" s="45"/>
      <c r="O24" s="45"/>
      <c r="P24" s="40"/>
      <c r="Q24" s="40"/>
      <c r="R24" s="40"/>
      <c r="S24" s="40"/>
      <c r="T24" s="40"/>
      <c r="U24" s="45"/>
      <c r="V24" s="45"/>
      <c r="W24" s="96"/>
      <c r="X24" s="4"/>
    </row>
    <row r="25" spans="1:24" s="6" customFormat="1" ht="45" customHeight="1" x14ac:dyDescent="0.5">
      <c r="A25" s="30" t="s">
        <v>20</v>
      </c>
      <c r="B25" s="16"/>
      <c r="C25" s="20"/>
      <c r="D25" s="20"/>
      <c r="E25" s="20"/>
      <c r="F25" s="20"/>
      <c r="G25" s="46"/>
      <c r="H25" s="46"/>
      <c r="I25" s="20"/>
      <c r="J25" s="20"/>
      <c r="K25" s="20"/>
      <c r="L25" s="20"/>
      <c r="M25" s="20"/>
      <c r="N25" s="46"/>
      <c r="O25" s="46"/>
      <c r="P25" s="20"/>
      <c r="Q25" s="20"/>
      <c r="R25" s="20"/>
      <c r="S25" s="20"/>
      <c r="T25" s="20"/>
      <c r="U25" s="46"/>
      <c r="V25" s="46"/>
      <c r="W25" s="92"/>
      <c r="X25" s="4"/>
    </row>
    <row r="26" spans="1:24" s="6" customFormat="1" ht="45" customHeight="1" thickBot="1" x14ac:dyDescent="0.4">
      <c r="A26" s="51" t="s">
        <v>78</v>
      </c>
      <c r="B26" s="54"/>
      <c r="C26" s="13"/>
      <c r="D26" s="13"/>
      <c r="E26" s="13"/>
      <c r="F26" s="13"/>
      <c r="G26" s="45"/>
      <c r="H26" s="45"/>
      <c r="I26" s="13"/>
      <c r="J26" s="13"/>
      <c r="K26" s="13"/>
      <c r="L26" s="13"/>
      <c r="M26" s="13"/>
      <c r="N26" s="45"/>
      <c r="O26" s="45"/>
      <c r="P26" s="13"/>
      <c r="Q26" s="13"/>
      <c r="R26" s="13"/>
      <c r="S26" s="13"/>
      <c r="T26" s="13"/>
      <c r="U26" s="45"/>
      <c r="V26" s="45"/>
      <c r="W26" s="93"/>
      <c r="X26" s="4"/>
    </row>
    <row r="27" spans="1:24" s="6" customFormat="1" ht="39.950000000000003" customHeight="1" thickBot="1" x14ac:dyDescent="0.55000000000000004">
      <c r="A27" s="31" t="s">
        <v>12</v>
      </c>
      <c r="B27" s="18">
        <f t="shared" ref="B27:V27" si="1">SUM(B8+B10+B12+B14+B16+B18+B20+B22+B24+B26)</f>
        <v>6</v>
      </c>
      <c r="C27" s="19">
        <f t="shared" si="1"/>
        <v>6</v>
      </c>
      <c r="D27" s="19">
        <f t="shared" si="1"/>
        <v>6</v>
      </c>
      <c r="E27" s="19">
        <f t="shared" si="1"/>
        <v>6</v>
      </c>
      <c r="F27" s="19">
        <f t="shared" si="1"/>
        <v>6</v>
      </c>
      <c r="G27" s="19">
        <f t="shared" si="1"/>
        <v>0</v>
      </c>
      <c r="H27" s="19">
        <f t="shared" si="1"/>
        <v>0</v>
      </c>
      <c r="I27" s="19">
        <f t="shared" si="1"/>
        <v>4</v>
      </c>
      <c r="J27" s="19">
        <f t="shared" si="1"/>
        <v>4</v>
      </c>
      <c r="K27" s="19">
        <f t="shared" si="1"/>
        <v>4</v>
      </c>
      <c r="L27" s="19">
        <f t="shared" si="1"/>
        <v>4</v>
      </c>
      <c r="M27" s="19">
        <f t="shared" si="1"/>
        <v>4</v>
      </c>
      <c r="N27" s="19">
        <f t="shared" si="1"/>
        <v>0</v>
      </c>
      <c r="O27" s="19">
        <f t="shared" si="1"/>
        <v>0</v>
      </c>
      <c r="P27" s="19">
        <f t="shared" si="1"/>
        <v>4</v>
      </c>
      <c r="Q27" s="19">
        <f t="shared" si="1"/>
        <v>4</v>
      </c>
      <c r="R27" s="19">
        <f t="shared" si="1"/>
        <v>4</v>
      </c>
      <c r="S27" s="19">
        <f t="shared" si="1"/>
        <v>4</v>
      </c>
      <c r="T27" s="19">
        <f t="shared" si="1"/>
        <v>4</v>
      </c>
      <c r="U27" s="19">
        <f t="shared" si="1"/>
        <v>0</v>
      </c>
      <c r="V27" s="19">
        <f t="shared" si="1"/>
        <v>0</v>
      </c>
      <c r="W27" s="29"/>
      <c r="X27" s="4"/>
    </row>
    <row r="28" spans="1:24" s="15" customFormat="1" ht="39.950000000000003" hidden="1" customHeight="1" thickBot="1" x14ac:dyDescent="0.55000000000000004">
      <c r="A28" s="35" t="s">
        <v>13</v>
      </c>
      <c r="B28" s="21" t="e">
        <f>SUM(#REF!+#REF!+#REF!+#REF!+#REF!+#REF!+#REF!+#REF!+#REF!)</f>
        <v>#REF!</v>
      </c>
      <c r="C28" s="21" t="e">
        <f>SUM(#REF!+#REF!+#REF!+#REF!+#REF!+#REF!+#REF!+#REF!+#REF!)</f>
        <v>#REF!</v>
      </c>
      <c r="D28" s="21" t="e">
        <f>SUM(#REF!+#REF!+#REF!+#REF!+#REF!+#REF!+#REF!+#REF!+#REF!)</f>
        <v>#REF!</v>
      </c>
      <c r="E28" s="21" t="e">
        <f>SUM(#REF!+#REF!+#REF!+#REF!+#REF!+#REF!+#REF!+#REF!+#REF!)</f>
        <v>#REF!</v>
      </c>
      <c r="F28" s="21" t="e">
        <f>SUM(#REF!+#REF!+#REF!+#REF!+#REF!+#REF!+#REF!+#REF!+#REF!)</f>
        <v>#REF!</v>
      </c>
      <c r="G28" s="21" t="e">
        <f>SUM(#REF!+#REF!+#REF!+#REF!+#REF!+#REF!+#REF!+#REF!+#REF!)</f>
        <v>#REF!</v>
      </c>
      <c r="H28" s="21" t="e">
        <f>SUM(#REF!+#REF!+#REF!+#REF!+#REF!+#REF!+#REF!+#REF!+#REF!)</f>
        <v>#REF!</v>
      </c>
      <c r="I28" s="21" t="e">
        <f>SUM(#REF!+#REF!+#REF!+#REF!+#REF!+#REF!+#REF!+#REF!+#REF!)</f>
        <v>#REF!</v>
      </c>
      <c r="J28" s="21" t="e">
        <f>SUM(#REF!+#REF!+#REF!+#REF!+#REF!+#REF!+#REF!+#REF!+#REF!)</f>
        <v>#REF!</v>
      </c>
      <c r="K28" s="21" t="e">
        <f>SUM(#REF!+#REF!+#REF!+#REF!+#REF!+#REF!+#REF!+#REF!+#REF!)</f>
        <v>#REF!</v>
      </c>
      <c r="L28" s="21" t="e">
        <f>SUM(#REF!+#REF!+#REF!+#REF!+#REF!+#REF!+#REF!+#REF!+#REF!)</f>
        <v>#REF!</v>
      </c>
      <c r="M28" s="21" t="e">
        <f>SUM(#REF!+#REF!+#REF!+#REF!+#REF!+#REF!+#REF!+#REF!+#REF!)</f>
        <v>#REF!</v>
      </c>
      <c r="N28" s="21" t="e">
        <f>SUM(#REF!+#REF!+#REF!+#REF!+#REF!+#REF!+#REF!+#REF!+#REF!)</f>
        <v>#REF!</v>
      </c>
      <c r="O28" s="21" t="e">
        <f>SUM(#REF!+#REF!+#REF!+#REF!+#REF!+#REF!+#REF!+#REF!+#REF!)</f>
        <v>#REF!</v>
      </c>
      <c r="P28" s="21" t="e">
        <f>SUM(#REF!+#REF!+#REF!+#REF!+#REF!+#REF!+#REF!+#REF!+#REF!)</f>
        <v>#REF!</v>
      </c>
      <c r="Q28" s="21" t="e">
        <f>SUM(#REF!+#REF!+#REF!+#REF!+#REF!+#REF!+#REF!+#REF!+#REF!)</f>
        <v>#REF!</v>
      </c>
      <c r="R28" s="21" t="e">
        <f>SUM(#REF!+#REF!+#REF!+#REF!+#REF!+#REF!+#REF!+#REF!+#REF!)</f>
        <v>#REF!</v>
      </c>
      <c r="S28" s="21" t="e">
        <f>SUM(#REF!+#REF!+#REF!+#REF!+#REF!+#REF!+#REF!+#REF!+#REF!)</f>
        <v>#REF!</v>
      </c>
      <c r="T28" s="21" t="e">
        <f>SUM(#REF!+#REF!+#REF!+#REF!+#REF!+#REF!+#REF!+#REF!+#REF!)</f>
        <v>#REF!</v>
      </c>
      <c r="U28" s="21" t="e">
        <f>SUM(#REF!+#REF!+#REF!+#REF!+#REF!+#REF!+#REF!+#REF!+#REF!)</f>
        <v>#REF!</v>
      </c>
      <c r="V28" s="21" t="e">
        <f>SUM(#REF!+#REF!+#REF!+#REF!+#REF!+#REF!+#REF!+#REF!+#REF!)</f>
        <v>#REF!</v>
      </c>
      <c r="W28" s="28"/>
      <c r="X28" s="14"/>
    </row>
    <row r="29" spans="1:24" s="6" customFormat="1" ht="29.25" hidden="1" customHeight="1" x14ac:dyDescent="0.5">
      <c r="A29" s="34" t="s">
        <v>8</v>
      </c>
      <c r="B29" s="18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7"/>
      <c r="X29" s="4"/>
    </row>
    <row r="30" spans="1:24" s="6" customFormat="1" ht="39.950000000000003" hidden="1" customHeight="1" x14ac:dyDescent="0.5">
      <c r="A30" s="32" t="s">
        <v>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7"/>
      <c r="X30" s="4"/>
    </row>
    <row r="31" spans="1:24" s="6" customFormat="1" ht="39.950000000000003" hidden="1" customHeight="1" x14ac:dyDescent="0.5">
      <c r="A31" s="33" t="s">
        <v>6</v>
      </c>
      <c r="B31" s="10">
        <f t="shared" ref="B31:V31" si="2">SUM(B29+B30)</f>
        <v>0</v>
      </c>
      <c r="C31" s="10">
        <f t="shared" si="2"/>
        <v>0</v>
      </c>
      <c r="D31" s="10">
        <f t="shared" si="2"/>
        <v>0</v>
      </c>
      <c r="E31" s="10">
        <f t="shared" si="2"/>
        <v>0</v>
      </c>
      <c r="F31" s="10">
        <f t="shared" si="2"/>
        <v>0</v>
      </c>
      <c r="G31" s="10">
        <f t="shared" si="2"/>
        <v>0</v>
      </c>
      <c r="H31" s="10">
        <f t="shared" si="2"/>
        <v>0</v>
      </c>
      <c r="I31" s="10">
        <f t="shared" si="2"/>
        <v>0</v>
      </c>
      <c r="J31" s="10">
        <f t="shared" si="2"/>
        <v>0</v>
      </c>
      <c r="K31" s="10">
        <f t="shared" si="2"/>
        <v>0</v>
      </c>
      <c r="L31" s="10">
        <f t="shared" si="2"/>
        <v>0</v>
      </c>
      <c r="M31" s="10">
        <f t="shared" si="2"/>
        <v>0</v>
      </c>
      <c r="N31" s="10">
        <f t="shared" si="2"/>
        <v>0</v>
      </c>
      <c r="O31" s="10">
        <f t="shared" si="2"/>
        <v>0</v>
      </c>
      <c r="P31" s="10">
        <f t="shared" si="2"/>
        <v>0</v>
      </c>
      <c r="Q31" s="10">
        <f t="shared" si="2"/>
        <v>0</v>
      </c>
      <c r="R31" s="10">
        <f t="shared" si="2"/>
        <v>0</v>
      </c>
      <c r="S31" s="10">
        <f t="shared" si="2"/>
        <v>0</v>
      </c>
      <c r="T31" s="10">
        <f t="shared" si="2"/>
        <v>0</v>
      </c>
      <c r="U31" s="10">
        <f t="shared" si="2"/>
        <v>0</v>
      </c>
      <c r="V31" s="10">
        <f t="shared" si="2"/>
        <v>0</v>
      </c>
      <c r="W31" s="7"/>
      <c r="X31" s="4"/>
    </row>
    <row r="32" spans="1:24" ht="39.950000000000003" customHeight="1" x14ac:dyDescent="0.25">
      <c r="A32" s="88"/>
      <c r="B32" s="88"/>
      <c r="C32" s="88"/>
      <c r="D32" s="88"/>
      <c r="E32" s="88"/>
      <c r="F32" s="88"/>
      <c r="G32" s="88"/>
      <c r="H32" s="88"/>
      <c r="I32" s="88"/>
    </row>
  </sheetData>
  <mergeCells count="21">
    <mergeCell ref="W25:W26"/>
    <mergeCell ref="P4:V4"/>
    <mergeCell ref="H4:I4"/>
    <mergeCell ref="W13:W14"/>
    <mergeCell ref="W15:W16"/>
    <mergeCell ref="W17:W18"/>
    <mergeCell ref="W19:W20"/>
    <mergeCell ref="W21:W22"/>
    <mergeCell ref="W23:W24"/>
    <mergeCell ref="W11:W12"/>
    <mergeCell ref="W2:W4"/>
    <mergeCell ref="W5:W6"/>
    <mergeCell ref="W9:W10"/>
    <mergeCell ref="W7:W8"/>
    <mergeCell ref="A32:I32"/>
    <mergeCell ref="B2:D2"/>
    <mergeCell ref="L2:M2"/>
    <mergeCell ref="P2:Q2"/>
    <mergeCell ref="T2:U2"/>
    <mergeCell ref="M4:O4"/>
    <mergeCell ref="E2:H2"/>
  </mergeCells>
  <phoneticPr fontId="0" type="noConversion"/>
  <printOptions horizontalCentered="1"/>
  <pageMargins left="0.17" right="0.16" top="0.16" bottom="0.17" header="0.16" footer="0.17"/>
  <pageSetup scale="35" orientation="landscape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4"/>
  <sheetViews>
    <sheetView zoomScale="106" zoomScaleNormal="106" workbookViewId="0">
      <selection activeCell="B6" sqref="B6"/>
    </sheetView>
  </sheetViews>
  <sheetFormatPr defaultRowHeight="12.75" x14ac:dyDescent="0.2"/>
  <cols>
    <col min="1" max="1" width="37.140625" customWidth="1"/>
    <col min="2" max="2" width="38.140625" customWidth="1"/>
    <col min="3" max="3" width="12" customWidth="1"/>
    <col min="4" max="4" width="14.28515625" bestFit="1" customWidth="1"/>
    <col min="5" max="5" width="59.28515625" customWidth="1"/>
  </cols>
  <sheetData>
    <row r="1" spans="1:5" ht="12.75" customHeight="1" x14ac:dyDescent="0.2">
      <c r="A1" s="100" t="s">
        <v>27</v>
      </c>
      <c r="B1" s="101"/>
      <c r="C1" s="101"/>
      <c r="D1" s="101"/>
      <c r="E1" s="102"/>
    </row>
    <row r="2" spans="1:5" ht="12.75" customHeight="1" thickBot="1" x14ac:dyDescent="0.25">
      <c r="A2" s="103"/>
      <c r="B2" s="104"/>
      <c r="C2" s="104"/>
      <c r="D2" s="104"/>
      <c r="E2" s="105"/>
    </row>
    <row r="3" spans="1:5" ht="13.5" thickBot="1" x14ac:dyDescent="0.25"/>
    <row r="4" spans="1:5" ht="36.75" thickBot="1" x14ac:dyDescent="0.3">
      <c r="A4" s="57" t="s">
        <v>26</v>
      </c>
      <c r="B4" s="57" t="s">
        <v>30</v>
      </c>
      <c r="C4" s="57" t="s">
        <v>28</v>
      </c>
      <c r="D4" s="58" t="s">
        <v>31</v>
      </c>
      <c r="E4" s="57" t="s">
        <v>32</v>
      </c>
    </row>
    <row r="5" spans="1:5" ht="14.25" customHeight="1" x14ac:dyDescent="0.2">
      <c r="A5" s="78" t="str">
        <f>'3 WEEK'!A7</f>
        <v>ACTIVITY #1</v>
      </c>
      <c r="B5" s="79"/>
      <c r="C5" s="79"/>
      <c r="D5" s="80"/>
      <c r="E5" s="81"/>
    </row>
    <row r="6" spans="1:5" x14ac:dyDescent="0.2">
      <c r="A6" s="55">
        <v>1</v>
      </c>
      <c r="B6" s="55"/>
      <c r="C6" s="55"/>
      <c r="D6" s="56"/>
      <c r="E6" s="59"/>
    </row>
    <row r="7" spans="1:5" x14ac:dyDescent="0.2">
      <c r="A7" s="55">
        <v>2</v>
      </c>
      <c r="B7" s="55"/>
      <c r="C7" s="55"/>
      <c r="D7" s="56"/>
      <c r="E7" s="59"/>
    </row>
    <row r="8" spans="1:5" x14ac:dyDescent="0.2">
      <c r="A8" s="55">
        <v>3</v>
      </c>
      <c r="B8" s="55"/>
      <c r="C8" s="55"/>
      <c r="D8" s="56"/>
      <c r="E8" s="59"/>
    </row>
    <row r="9" spans="1:5" x14ac:dyDescent="0.2">
      <c r="A9" s="55">
        <v>4</v>
      </c>
      <c r="B9" s="55"/>
      <c r="C9" s="55"/>
      <c r="D9" s="56"/>
      <c r="E9" s="59"/>
    </row>
    <row r="10" spans="1:5" x14ac:dyDescent="0.2">
      <c r="A10" s="55">
        <v>5</v>
      </c>
      <c r="B10" s="55"/>
      <c r="C10" s="55"/>
      <c r="D10" s="56"/>
      <c r="E10" s="59"/>
    </row>
    <row r="11" spans="1:5" x14ac:dyDescent="0.2">
      <c r="A11" s="82" t="str">
        <f>'3 WEEK'!A9</f>
        <v>ACTIVITY #2</v>
      </c>
      <c r="B11" s="83"/>
      <c r="C11" s="83"/>
      <c r="D11" s="84"/>
      <c r="E11" s="85"/>
    </row>
    <row r="12" spans="1:5" x14ac:dyDescent="0.2">
      <c r="A12" s="55">
        <v>1</v>
      </c>
      <c r="B12" s="55"/>
      <c r="C12" s="55"/>
      <c r="D12" s="56"/>
      <c r="E12" s="59"/>
    </row>
    <row r="13" spans="1:5" x14ac:dyDescent="0.2">
      <c r="A13" s="55">
        <v>2</v>
      </c>
      <c r="B13" s="55"/>
      <c r="C13" s="55"/>
      <c r="D13" s="56"/>
      <c r="E13" s="59"/>
    </row>
    <row r="14" spans="1:5" x14ac:dyDescent="0.2">
      <c r="A14" s="55">
        <v>3</v>
      </c>
      <c r="B14" s="55"/>
      <c r="C14" s="55"/>
      <c r="D14" s="56"/>
      <c r="E14" s="59"/>
    </row>
    <row r="15" spans="1:5" x14ac:dyDescent="0.2">
      <c r="A15" s="55">
        <v>4</v>
      </c>
      <c r="B15" s="55"/>
      <c r="C15" s="55"/>
      <c r="D15" s="56"/>
      <c r="E15" s="59"/>
    </row>
    <row r="16" spans="1:5" x14ac:dyDescent="0.2">
      <c r="A16" s="55">
        <v>5</v>
      </c>
      <c r="B16" s="55"/>
      <c r="C16" s="55"/>
      <c r="D16" s="56"/>
      <c r="E16" s="59"/>
    </row>
    <row r="17" spans="1:5" x14ac:dyDescent="0.2">
      <c r="A17" s="82" t="str">
        <f>'3 WEEK'!A11</f>
        <v>ACTIVITY #3</v>
      </c>
      <c r="B17" s="83"/>
      <c r="C17" s="83"/>
      <c r="D17" s="84"/>
      <c r="E17" s="85"/>
    </row>
    <row r="18" spans="1:5" x14ac:dyDescent="0.2">
      <c r="A18" s="55">
        <v>1</v>
      </c>
      <c r="B18" s="55"/>
      <c r="C18" s="55"/>
      <c r="D18" s="56"/>
      <c r="E18" s="59"/>
    </row>
    <row r="19" spans="1:5" x14ac:dyDescent="0.2">
      <c r="A19" s="55">
        <v>2</v>
      </c>
      <c r="B19" s="55"/>
      <c r="C19" s="55"/>
      <c r="D19" s="56"/>
      <c r="E19" s="59"/>
    </row>
    <row r="20" spans="1:5" x14ac:dyDescent="0.2">
      <c r="A20" s="55">
        <v>3</v>
      </c>
      <c r="B20" s="55"/>
      <c r="C20" s="55"/>
      <c r="D20" s="56"/>
      <c r="E20" s="59"/>
    </row>
    <row r="21" spans="1:5" x14ac:dyDescent="0.2">
      <c r="A21" s="55">
        <v>4</v>
      </c>
      <c r="B21" s="55"/>
      <c r="C21" s="55"/>
      <c r="D21" s="56"/>
      <c r="E21" s="59"/>
    </row>
    <row r="22" spans="1:5" x14ac:dyDescent="0.2">
      <c r="A22" s="55">
        <v>5</v>
      </c>
      <c r="B22" s="55"/>
      <c r="C22" s="55"/>
      <c r="D22" s="56"/>
      <c r="E22" s="59"/>
    </row>
    <row r="23" spans="1:5" x14ac:dyDescent="0.2">
      <c r="A23" s="82" t="str">
        <f>'3 WEEK'!A13</f>
        <v>ACTIVITY #4</v>
      </c>
      <c r="B23" s="83"/>
      <c r="C23" s="83"/>
      <c r="D23" s="84"/>
      <c r="E23" s="85"/>
    </row>
    <row r="24" spans="1:5" x14ac:dyDescent="0.2">
      <c r="A24" s="55">
        <v>1</v>
      </c>
      <c r="B24" s="55"/>
      <c r="C24" s="55"/>
      <c r="D24" s="56"/>
      <c r="E24" s="59"/>
    </row>
    <row r="25" spans="1:5" x14ac:dyDescent="0.2">
      <c r="A25" s="55">
        <v>2</v>
      </c>
      <c r="B25" s="55"/>
      <c r="C25" s="55"/>
      <c r="D25" s="56"/>
      <c r="E25" s="59"/>
    </row>
    <row r="26" spans="1:5" x14ac:dyDescent="0.2">
      <c r="A26" s="55">
        <v>3</v>
      </c>
      <c r="B26" s="55"/>
      <c r="C26" s="55"/>
      <c r="D26" s="56"/>
      <c r="E26" s="59"/>
    </row>
    <row r="27" spans="1:5" x14ac:dyDescent="0.2">
      <c r="A27" s="55">
        <v>4</v>
      </c>
      <c r="B27" s="55"/>
      <c r="C27" s="55"/>
      <c r="D27" s="56"/>
      <c r="E27" s="59"/>
    </row>
    <row r="28" spans="1:5" x14ac:dyDescent="0.2">
      <c r="A28" s="55">
        <v>5</v>
      </c>
      <c r="B28" s="55"/>
      <c r="C28" s="55"/>
      <c r="D28" s="56"/>
      <c r="E28" s="59"/>
    </row>
    <row r="29" spans="1:5" x14ac:dyDescent="0.2">
      <c r="A29" s="82" t="str">
        <f>'3 WEEK'!A15</f>
        <v>ACTIVITY #5</v>
      </c>
      <c r="B29" s="83"/>
      <c r="C29" s="83"/>
      <c r="D29" s="84"/>
      <c r="E29" s="85"/>
    </row>
    <row r="30" spans="1:5" x14ac:dyDescent="0.2">
      <c r="A30" s="55">
        <v>1</v>
      </c>
      <c r="B30" s="55"/>
      <c r="C30" s="55"/>
      <c r="D30" s="56"/>
      <c r="E30" s="59"/>
    </row>
    <row r="31" spans="1:5" x14ac:dyDescent="0.2">
      <c r="A31" s="55">
        <v>2</v>
      </c>
      <c r="B31" s="55"/>
      <c r="C31" s="55"/>
      <c r="D31" s="56"/>
      <c r="E31" s="59"/>
    </row>
    <row r="32" spans="1:5" x14ac:dyDescent="0.2">
      <c r="A32" s="55">
        <v>3</v>
      </c>
      <c r="B32" s="55"/>
      <c r="C32" s="55"/>
      <c r="D32" s="56"/>
      <c r="E32" s="59"/>
    </row>
    <row r="33" spans="1:5" x14ac:dyDescent="0.2">
      <c r="A33" s="55">
        <v>4</v>
      </c>
      <c r="B33" s="55"/>
      <c r="C33" s="55"/>
      <c r="D33" s="56"/>
      <c r="E33" s="59"/>
    </row>
    <row r="34" spans="1:5" x14ac:dyDescent="0.2">
      <c r="A34" s="55">
        <v>5</v>
      </c>
      <c r="B34" s="55"/>
      <c r="C34" s="55"/>
      <c r="D34" s="56"/>
      <c r="E34" s="59"/>
    </row>
    <row r="35" spans="1:5" x14ac:dyDescent="0.2">
      <c r="A35" s="82" t="str">
        <f>'3 WEEK'!A17</f>
        <v>ACTIVITY #6</v>
      </c>
      <c r="B35" s="83"/>
      <c r="C35" s="83"/>
      <c r="D35" s="84"/>
      <c r="E35" s="85"/>
    </row>
    <row r="36" spans="1:5" x14ac:dyDescent="0.2">
      <c r="A36" s="55">
        <v>1</v>
      </c>
      <c r="B36" s="55"/>
      <c r="C36" s="55"/>
      <c r="D36" s="56"/>
      <c r="E36" s="59"/>
    </row>
    <row r="37" spans="1:5" x14ac:dyDescent="0.2">
      <c r="A37" s="55">
        <v>2</v>
      </c>
      <c r="B37" s="55"/>
      <c r="C37" s="55"/>
      <c r="D37" s="56"/>
      <c r="E37" s="59"/>
    </row>
    <row r="38" spans="1:5" x14ac:dyDescent="0.2">
      <c r="A38" s="55">
        <v>3</v>
      </c>
      <c r="B38" s="55"/>
      <c r="C38" s="55"/>
      <c r="D38" s="56"/>
      <c r="E38" s="59"/>
    </row>
    <row r="39" spans="1:5" x14ac:dyDescent="0.2">
      <c r="A39" s="55">
        <v>4</v>
      </c>
      <c r="B39" s="55"/>
      <c r="C39" s="55"/>
      <c r="D39" s="56"/>
      <c r="E39" s="59"/>
    </row>
    <row r="40" spans="1:5" x14ac:dyDescent="0.2">
      <c r="A40" s="55">
        <v>5</v>
      </c>
      <c r="B40" s="55"/>
      <c r="C40" s="55"/>
      <c r="D40" s="56"/>
      <c r="E40" s="59"/>
    </row>
    <row r="41" spans="1:5" x14ac:dyDescent="0.2">
      <c r="A41" s="82" t="str">
        <f>'3 WEEK'!A19</f>
        <v>ACTIVITY #7</v>
      </c>
      <c r="B41" s="83"/>
      <c r="C41" s="83"/>
      <c r="D41" s="84"/>
      <c r="E41" s="85"/>
    </row>
    <row r="42" spans="1:5" x14ac:dyDescent="0.2">
      <c r="A42" s="55">
        <v>1</v>
      </c>
      <c r="B42" s="55"/>
      <c r="C42" s="55"/>
      <c r="D42" s="56"/>
      <c r="E42" s="59"/>
    </row>
    <row r="43" spans="1:5" x14ac:dyDescent="0.2">
      <c r="A43" s="55">
        <v>2</v>
      </c>
      <c r="B43" s="55"/>
      <c r="C43" s="55"/>
      <c r="D43" s="56"/>
      <c r="E43" s="59"/>
    </row>
    <row r="44" spans="1:5" x14ac:dyDescent="0.2">
      <c r="A44" s="55">
        <v>3</v>
      </c>
      <c r="B44" s="55"/>
      <c r="C44" s="55"/>
      <c r="D44" s="56"/>
      <c r="E44" s="59"/>
    </row>
    <row r="45" spans="1:5" x14ac:dyDescent="0.2">
      <c r="A45" s="55">
        <v>4</v>
      </c>
      <c r="B45" s="55"/>
      <c r="C45" s="55"/>
      <c r="D45" s="56"/>
      <c r="E45" s="59"/>
    </row>
    <row r="46" spans="1:5" x14ac:dyDescent="0.2">
      <c r="A46" s="55">
        <v>5</v>
      </c>
      <c r="B46" s="55"/>
      <c r="C46" s="55"/>
      <c r="D46" s="56"/>
      <c r="E46" s="59"/>
    </row>
    <row r="47" spans="1:5" x14ac:dyDescent="0.2">
      <c r="A47" s="82" t="str">
        <f>'3 WEEK'!A21</f>
        <v>ACTIVITY #8</v>
      </c>
      <c r="B47" s="83"/>
      <c r="C47" s="83"/>
      <c r="D47" s="83"/>
      <c r="E47" s="85"/>
    </row>
    <row r="48" spans="1:5" x14ac:dyDescent="0.2">
      <c r="A48" s="55">
        <v>1</v>
      </c>
      <c r="B48" s="55"/>
      <c r="C48" s="55"/>
      <c r="D48" s="56"/>
      <c r="E48" s="59"/>
    </row>
    <row r="49" spans="1:5" x14ac:dyDescent="0.2">
      <c r="A49" s="55">
        <v>2</v>
      </c>
      <c r="B49" s="55"/>
      <c r="C49" s="55"/>
      <c r="D49" s="56"/>
      <c r="E49" s="59"/>
    </row>
    <row r="50" spans="1:5" x14ac:dyDescent="0.2">
      <c r="A50" s="55">
        <v>3</v>
      </c>
      <c r="B50" s="55"/>
      <c r="C50" s="55"/>
      <c r="D50" s="56"/>
      <c r="E50" s="59"/>
    </row>
    <row r="51" spans="1:5" x14ac:dyDescent="0.2">
      <c r="A51" s="55">
        <v>4</v>
      </c>
      <c r="B51" s="55"/>
      <c r="C51" s="55"/>
      <c r="D51" s="56"/>
      <c r="E51" s="59"/>
    </row>
    <row r="52" spans="1:5" x14ac:dyDescent="0.2">
      <c r="A52" s="55">
        <v>5</v>
      </c>
      <c r="B52" s="55"/>
      <c r="C52" s="55"/>
      <c r="D52" s="56"/>
      <c r="E52" s="59"/>
    </row>
    <row r="53" spans="1:5" x14ac:dyDescent="0.2">
      <c r="A53" s="82" t="str">
        <f>'3 WEEK'!A23</f>
        <v>ACTIVITY #9</v>
      </c>
      <c r="B53" s="83"/>
      <c r="C53" s="83"/>
      <c r="D53" s="83"/>
      <c r="E53" s="85"/>
    </row>
    <row r="54" spans="1:5" x14ac:dyDescent="0.2">
      <c r="A54" s="55">
        <v>1</v>
      </c>
      <c r="B54" s="55"/>
      <c r="C54" s="55"/>
      <c r="D54" s="56"/>
      <c r="E54" s="59"/>
    </row>
    <row r="55" spans="1:5" x14ac:dyDescent="0.2">
      <c r="A55" s="55">
        <v>2</v>
      </c>
      <c r="B55" s="55"/>
      <c r="C55" s="55"/>
      <c r="D55" s="56"/>
      <c r="E55" s="59"/>
    </row>
    <row r="56" spans="1:5" x14ac:dyDescent="0.2">
      <c r="A56" s="55">
        <v>3</v>
      </c>
      <c r="B56" s="55"/>
      <c r="C56" s="55"/>
      <c r="D56" s="56"/>
      <c r="E56" s="59"/>
    </row>
    <row r="57" spans="1:5" x14ac:dyDescent="0.2">
      <c r="A57" s="55">
        <v>4</v>
      </c>
      <c r="B57" s="55"/>
      <c r="C57" s="55"/>
      <c r="D57" s="56"/>
      <c r="E57" s="59"/>
    </row>
    <row r="58" spans="1:5" x14ac:dyDescent="0.2">
      <c r="A58" s="55">
        <v>5</v>
      </c>
      <c r="B58" s="55"/>
      <c r="C58" s="55"/>
      <c r="D58" s="56"/>
      <c r="E58" s="59"/>
    </row>
    <row r="59" spans="1:5" x14ac:dyDescent="0.2">
      <c r="A59" s="82" t="str">
        <f>'3 WEEK'!A25</f>
        <v>ACTIVITY #10</v>
      </c>
      <c r="B59" s="83"/>
      <c r="C59" s="83"/>
      <c r="D59" s="83"/>
      <c r="E59" s="85"/>
    </row>
    <row r="60" spans="1:5" x14ac:dyDescent="0.2">
      <c r="A60" s="55">
        <v>1</v>
      </c>
      <c r="B60" s="55"/>
      <c r="C60" s="55"/>
      <c r="D60" s="56"/>
      <c r="E60" s="59"/>
    </row>
    <row r="61" spans="1:5" x14ac:dyDescent="0.2">
      <c r="A61" s="55">
        <v>2</v>
      </c>
      <c r="B61" s="55"/>
      <c r="C61" s="55"/>
      <c r="D61" s="56"/>
      <c r="E61" s="59"/>
    </row>
    <row r="62" spans="1:5" x14ac:dyDescent="0.2">
      <c r="A62" s="55">
        <v>3</v>
      </c>
      <c r="B62" s="55"/>
      <c r="C62" s="55"/>
      <c r="D62" s="56"/>
      <c r="E62" s="59"/>
    </row>
    <row r="63" spans="1:5" x14ac:dyDescent="0.2">
      <c r="A63" s="55">
        <v>4</v>
      </c>
      <c r="B63" s="55"/>
      <c r="C63" s="55"/>
      <c r="D63" s="56"/>
      <c r="E63" s="59"/>
    </row>
    <row r="64" spans="1:5" x14ac:dyDescent="0.2">
      <c r="A64" s="55">
        <v>5</v>
      </c>
      <c r="B64" s="55"/>
      <c r="C64" s="55"/>
      <c r="D64" s="56"/>
      <c r="E64" s="59"/>
    </row>
  </sheetData>
  <mergeCells count="1">
    <mergeCell ref="A1:E2"/>
  </mergeCells>
  <pageMargins left="0.7" right="0.7" top="0.75" bottom="0.75" header="0.3" footer="0.3"/>
  <pageSetup scale="57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4"/>
  <sheetViews>
    <sheetView zoomScaleNormal="100" workbookViewId="0">
      <selection activeCell="B10" sqref="B10"/>
    </sheetView>
  </sheetViews>
  <sheetFormatPr defaultRowHeight="12.75" x14ac:dyDescent="0.2"/>
  <cols>
    <col min="1" max="1" width="37.140625" customWidth="1"/>
    <col min="2" max="2" width="38.140625" customWidth="1"/>
    <col min="3" max="3" width="12" customWidth="1"/>
    <col min="4" max="4" width="14.28515625" bestFit="1" customWidth="1"/>
    <col min="5" max="5" width="59.28515625" customWidth="1"/>
  </cols>
  <sheetData>
    <row r="1" spans="1:5" ht="12.75" customHeight="1" x14ac:dyDescent="0.2">
      <c r="A1" s="100" t="s">
        <v>76</v>
      </c>
      <c r="B1" s="101"/>
      <c r="C1" s="101"/>
      <c r="D1" s="101"/>
      <c r="E1" s="102"/>
    </row>
    <row r="2" spans="1:5" ht="12.75" customHeight="1" thickBot="1" x14ac:dyDescent="0.25">
      <c r="A2" s="103"/>
      <c r="B2" s="104"/>
      <c r="C2" s="104"/>
      <c r="D2" s="104"/>
      <c r="E2" s="105"/>
    </row>
    <row r="3" spans="1:5" ht="13.5" thickBot="1" x14ac:dyDescent="0.25"/>
    <row r="4" spans="1:5" ht="36.75" thickBot="1" x14ac:dyDescent="0.3">
      <c r="A4" s="57" t="s">
        <v>26</v>
      </c>
      <c r="B4" s="57" t="s">
        <v>77</v>
      </c>
      <c r="C4" s="57" t="s">
        <v>28</v>
      </c>
      <c r="D4" s="58" t="s">
        <v>31</v>
      </c>
      <c r="E4" s="57" t="s">
        <v>32</v>
      </c>
    </row>
    <row r="5" spans="1:5" ht="14.25" customHeight="1" x14ac:dyDescent="0.2">
      <c r="A5" s="78" t="str">
        <f>'3 WEEK'!A7</f>
        <v>ACTIVITY #1</v>
      </c>
      <c r="B5" s="79"/>
      <c r="C5" s="79"/>
      <c r="D5" s="80"/>
      <c r="E5" s="81"/>
    </row>
    <row r="6" spans="1:5" x14ac:dyDescent="0.2">
      <c r="A6" s="55">
        <v>1</v>
      </c>
      <c r="B6" s="55"/>
      <c r="C6" s="55"/>
      <c r="D6" s="56"/>
      <c r="E6" s="59"/>
    </row>
    <row r="7" spans="1:5" x14ac:dyDescent="0.2">
      <c r="A7" s="55">
        <v>2</v>
      </c>
      <c r="B7" s="55"/>
      <c r="C7" s="55"/>
      <c r="D7" s="56"/>
      <c r="E7" s="59"/>
    </row>
    <row r="8" spans="1:5" x14ac:dyDescent="0.2">
      <c r="A8" s="55">
        <v>3</v>
      </c>
      <c r="B8" s="55"/>
      <c r="C8" s="55"/>
      <c r="D8" s="56"/>
      <c r="E8" s="59"/>
    </row>
    <row r="9" spans="1:5" x14ac:dyDescent="0.2">
      <c r="A9" s="55">
        <v>4</v>
      </c>
      <c r="B9" s="55"/>
      <c r="C9" s="55"/>
      <c r="D9" s="56"/>
      <c r="E9" s="59"/>
    </row>
    <row r="10" spans="1:5" x14ac:dyDescent="0.2">
      <c r="A10" s="55">
        <v>5</v>
      </c>
      <c r="B10" s="55"/>
      <c r="C10" s="55"/>
      <c r="D10" s="56"/>
      <c r="E10" s="59"/>
    </row>
    <row r="11" spans="1:5" x14ac:dyDescent="0.2">
      <c r="A11" s="82" t="str">
        <f>'3 WEEK'!A9</f>
        <v>ACTIVITY #2</v>
      </c>
      <c r="B11" s="83"/>
      <c r="C11" s="83"/>
      <c r="D11" s="84"/>
      <c r="E11" s="85"/>
    </row>
    <row r="12" spans="1:5" x14ac:dyDescent="0.2">
      <c r="A12" s="55">
        <v>1</v>
      </c>
      <c r="B12" s="55"/>
      <c r="C12" s="55"/>
      <c r="D12" s="56"/>
      <c r="E12" s="59"/>
    </row>
    <row r="13" spans="1:5" x14ac:dyDescent="0.2">
      <c r="A13" s="55">
        <v>2</v>
      </c>
      <c r="B13" s="55"/>
      <c r="C13" s="55"/>
      <c r="D13" s="56"/>
      <c r="E13" s="59"/>
    </row>
    <row r="14" spans="1:5" x14ac:dyDescent="0.2">
      <c r="A14" s="55">
        <v>3</v>
      </c>
      <c r="B14" s="55"/>
      <c r="C14" s="55"/>
      <c r="D14" s="56"/>
      <c r="E14" s="59"/>
    </row>
    <row r="15" spans="1:5" x14ac:dyDescent="0.2">
      <c r="A15" s="55">
        <v>4</v>
      </c>
      <c r="B15" s="55"/>
      <c r="C15" s="55"/>
      <c r="D15" s="56"/>
      <c r="E15" s="59"/>
    </row>
    <row r="16" spans="1:5" x14ac:dyDescent="0.2">
      <c r="A16" s="55">
        <v>5</v>
      </c>
      <c r="B16" s="55"/>
      <c r="C16" s="55"/>
      <c r="D16" s="56"/>
      <c r="E16" s="59"/>
    </row>
    <row r="17" spans="1:5" x14ac:dyDescent="0.2">
      <c r="A17" s="82" t="str">
        <f>'3 WEEK'!A11</f>
        <v>ACTIVITY #3</v>
      </c>
      <c r="B17" s="83"/>
      <c r="C17" s="83"/>
      <c r="D17" s="84"/>
      <c r="E17" s="85"/>
    </row>
    <row r="18" spans="1:5" x14ac:dyDescent="0.2">
      <c r="A18" s="55">
        <v>1</v>
      </c>
      <c r="B18" s="55"/>
      <c r="C18" s="55"/>
      <c r="D18" s="56"/>
      <c r="E18" s="59"/>
    </row>
    <row r="19" spans="1:5" x14ac:dyDescent="0.2">
      <c r="A19" s="55">
        <v>2</v>
      </c>
      <c r="B19" s="55"/>
      <c r="C19" s="55"/>
      <c r="D19" s="56"/>
      <c r="E19" s="59"/>
    </row>
    <row r="20" spans="1:5" x14ac:dyDescent="0.2">
      <c r="A20" s="55">
        <v>3</v>
      </c>
      <c r="B20" s="55"/>
      <c r="C20" s="55"/>
      <c r="D20" s="56"/>
      <c r="E20" s="59"/>
    </row>
    <row r="21" spans="1:5" x14ac:dyDescent="0.2">
      <c r="A21" s="55">
        <v>4</v>
      </c>
      <c r="B21" s="55"/>
      <c r="C21" s="55"/>
      <c r="D21" s="56"/>
      <c r="E21" s="59"/>
    </row>
    <row r="22" spans="1:5" x14ac:dyDescent="0.2">
      <c r="A22" s="55">
        <v>5</v>
      </c>
      <c r="B22" s="55"/>
      <c r="C22" s="55"/>
      <c r="D22" s="56"/>
      <c r="E22" s="59"/>
    </row>
    <row r="23" spans="1:5" x14ac:dyDescent="0.2">
      <c r="A23" s="82" t="str">
        <f>'3 WEEK'!A13</f>
        <v>ACTIVITY #4</v>
      </c>
      <c r="B23" s="83"/>
      <c r="C23" s="83"/>
      <c r="D23" s="84"/>
      <c r="E23" s="85"/>
    </row>
    <row r="24" spans="1:5" x14ac:dyDescent="0.2">
      <c r="A24" s="55">
        <v>1</v>
      </c>
      <c r="B24" s="55"/>
      <c r="C24" s="55"/>
      <c r="D24" s="56"/>
      <c r="E24" s="59"/>
    </row>
    <row r="25" spans="1:5" x14ac:dyDescent="0.2">
      <c r="A25" s="55">
        <v>2</v>
      </c>
      <c r="B25" s="55"/>
      <c r="C25" s="55"/>
      <c r="D25" s="56"/>
      <c r="E25" s="59"/>
    </row>
    <row r="26" spans="1:5" x14ac:dyDescent="0.2">
      <c r="A26" s="55">
        <v>3</v>
      </c>
      <c r="B26" s="55"/>
      <c r="C26" s="55"/>
      <c r="D26" s="56"/>
      <c r="E26" s="59"/>
    </row>
    <row r="27" spans="1:5" x14ac:dyDescent="0.2">
      <c r="A27" s="55">
        <v>4</v>
      </c>
      <c r="B27" s="55"/>
      <c r="C27" s="55"/>
      <c r="D27" s="56"/>
      <c r="E27" s="59"/>
    </row>
    <row r="28" spans="1:5" x14ac:dyDescent="0.2">
      <c r="A28" s="55">
        <v>5</v>
      </c>
      <c r="B28" s="55"/>
      <c r="C28" s="55"/>
      <c r="D28" s="56"/>
      <c r="E28" s="59"/>
    </row>
    <row r="29" spans="1:5" x14ac:dyDescent="0.2">
      <c r="A29" s="82" t="str">
        <f>'3 WEEK'!A15</f>
        <v>ACTIVITY #5</v>
      </c>
      <c r="B29" s="83"/>
      <c r="C29" s="83"/>
      <c r="D29" s="84"/>
      <c r="E29" s="85"/>
    </row>
    <row r="30" spans="1:5" x14ac:dyDescent="0.2">
      <c r="A30" s="55">
        <v>1</v>
      </c>
      <c r="B30" s="55"/>
      <c r="C30" s="55"/>
      <c r="D30" s="56"/>
      <c r="E30" s="59"/>
    </row>
    <row r="31" spans="1:5" x14ac:dyDescent="0.2">
      <c r="A31" s="55">
        <v>2</v>
      </c>
      <c r="B31" s="55"/>
      <c r="C31" s="55"/>
      <c r="D31" s="56"/>
      <c r="E31" s="59"/>
    </row>
    <row r="32" spans="1:5" x14ac:dyDescent="0.2">
      <c r="A32" s="55">
        <v>3</v>
      </c>
      <c r="B32" s="55"/>
      <c r="C32" s="55"/>
      <c r="D32" s="56"/>
      <c r="E32" s="59"/>
    </row>
    <row r="33" spans="1:5" x14ac:dyDescent="0.2">
      <c r="A33" s="55">
        <v>4</v>
      </c>
      <c r="B33" s="55"/>
      <c r="C33" s="55"/>
      <c r="D33" s="56"/>
      <c r="E33" s="59"/>
    </row>
    <row r="34" spans="1:5" x14ac:dyDescent="0.2">
      <c r="A34" s="55">
        <v>5</v>
      </c>
      <c r="B34" s="55"/>
      <c r="C34" s="55"/>
      <c r="D34" s="56"/>
      <c r="E34" s="59"/>
    </row>
    <row r="35" spans="1:5" x14ac:dyDescent="0.2">
      <c r="A35" s="82" t="str">
        <f>'3 WEEK'!A17</f>
        <v>ACTIVITY #6</v>
      </c>
      <c r="B35" s="83"/>
      <c r="C35" s="83"/>
      <c r="D35" s="84"/>
      <c r="E35" s="85"/>
    </row>
    <row r="36" spans="1:5" x14ac:dyDescent="0.2">
      <c r="A36" s="55">
        <v>1</v>
      </c>
      <c r="B36" s="55"/>
      <c r="C36" s="55"/>
      <c r="D36" s="56"/>
      <c r="E36" s="59"/>
    </row>
    <row r="37" spans="1:5" x14ac:dyDescent="0.2">
      <c r="A37" s="55">
        <v>2</v>
      </c>
      <c r="B37" s="55"/>
      <c r="C37" s="55"/>
      <c r="D37" s="56"/>
      <c r="E37" s="59"/>
    </row>
    <row r="38" spans="1:5" x14ac:dyDescent="0.2">
      <c r="A38" s="55">
        <v>3</v>
      </c>
      <c r="B38" s="55"/>
      <c r="C38" s="55"/>
      <c r="D38" s="56"/>
      <c r="E38" s="59"/>
    </row>
    <row r="39" spans="1:5" x14ac:dyDescent="0.2">
      <c r="A39" s="55">
        <v>4</v>
      </c>
      <c r="B39" s="55"/>
      <c r="C39" s="55"/>
      <c r="D39" s="56"/>
      <c r="E39" s="59"/>
    </row>
    <row r="40" spans="1:5" x14ac:dyDescent="0.2">
      <c r="A40" s="55">
        <v>5</v>
      </c>
      <c r="B40" s="55"/>
      <c r="C40" s="55"/>
      <c r="D40" s="56"/>
      <c r="E40" s="59"/>
    </row>
    <row r="41" spans="1:5" x14ac:dyDescent="0.2">
      <c r="A41" s="82" t="str">
        <f>'3 WEEK'!A19</f>
        <v>ACTIVITY #7</v>
      </c>
      <c r="B41" s="83"/>
      <c r="C41" s="83"/>
      <c r="D41" s="84"/>
      <c r="E41" s="85"/>
    </row>
    <row r="42" spans="1:5" x14ac:dyDescent="0.2">
      <c r="A42" s="55">
        <v>1</v>
      </c>
      <c r="B42" s="55"/>
      <c r="C42" s="55"/>
      <c r="D42" s="56"/>
      <c r="E42" s="59"/>
    </row>
    <row r="43" spans="1:5" x14ac:dyDescent="0.2">
      <c r="A43" s="55">
        <v>2</v>
      </c>
      <c r="B43" s="55"/>
      <c r="C43" s="55"/>
      <c r="D43" s="56"/>
      <c r="E43" s="59"/>
    </row>
    <row r="44" spans="1:5" x14ac:dyDescent="0.2">
      <c r="A44" s="55">
        <v>3</v>
      </c>
      <c r="B44" s="55"/>
      <c r="C44" s="55"/>
      <c r="D44" s="56"/>
      <c r="E44" s="59"/>
    </row>
    <row r="45" spans="1:5" x14ac:dyDescent="0.2">
      <c r="A45" s="55">
        <v>4</v>
      </c>
      <c r="B45" s="55"/>
      <c r="C45" s="55"/>
      <c r="D45" s="56"/>
      <c r="E45" s="59"/>
    </row>
    <row r="46" spans="1:5" x14ac:dyDescent="0.2">
      <c r="A46" s="55">
        <v>5</v>
      </c>
      <c r="B46" s="55"/>
      <c r="C46" s="55"/>
      <c r="D46" s="56"/>
      <c r="E46" s="59"/>
    </row>
    <row r="47" spans="1:5" x14ac:dyDescent="0.2">
      <c r="A47" s="82" t="str">
        <f>'3 WEEK'!A21</f>
        <v>ACTIVITY #8</v>
      </c>
      <c r="B47" s="83"/>
      <c r="C47" s="83"/>
      <c r="D47" s="83"/>
      <c r="E47" s="85"/>
    </row>
    <row r="48" spans="1:5" x14ac:dyDescent="0.2">
      <c r="A48" s="55">
        <v>1</v>
      </c>
      <c r="B48" s="55"/>
      <c r="C48" s="55"/>
      <c r="D48" s="56"/>
      <c r="E48" s="59"/>
    </row>
    <row r="49" spans="1:5" x14ac:dyDescent="0.2">
      <c r="A49" s="55">
        <v>2</v>
      </c>
      <c r="B49" s="55"/>
      <c r="C49" s="55"/>
      <c r="D49" s="56"/>
      <c r="E49" s="59"/>
    </row>
    <row r="50" spans="1:5" x14ac:dyDescent="0.2">
      <c r="A50" s="55">
        <v>3</v>
      </c>
      <c r="B50" s="55"/>
      <c r="C50" s="55"/>
      <c r="D50" s="56"/>
      <c r="E50" s="59"/>
    </row>
    <row r="51" spans="1:5" x14ac:dyDescent="0.2">
      <c r="A51" s="55">
        <v>4</v>
      </c>
      <c r="B51" s="55"/>
      <c r="C51" s="55"/>
      <c r="D51" s="56"/>
      <c r="E51" s="59"/>
    </row>
    <row r="52" spans="1:5" x14ac:dyDescent="0.2">
      <c r="A52" s="55">
        <v>5</v>
      </c>
      <c r="B52" s="55"/>
      <c r="C52" s="55"/>
      <c r="D52" s="56"/>
      <c r="E52" s="59"/>
    </row>
    <row r="53" spans="1:5" x14ac:dyDescent="0.2">
      <c r="A53" s="82" t="str">
        <f>'3 WEEK'!A23</f>
        <v>ACTIVITY #9</v>
      </c>
      <c r="B53" s="83"/>
      <c r="C53" s="83"/>
      <c r="D53" s="83"/>
      <c r="E53" s="85"/>
    </row>
    <row r="54" spans="1:5" x14ac:dyDescent="0.2">
      <c r="A54" s="55">
        <v>1</v>
      </c>
      <c r="B54" s="55"/>
      <c r="C54" s="55"/>
      <c r="D54" s="56"/>
      <c r="E54" s="59"/>
    </row>
    <row r="55" spans="1:5" x14ac:dyDescent="0.2">
      <c r="A55" s="55">
        <v>2</v>
      </c>
      <c r="B55" s="55"/>
      <c r="C55" s="55"/>
      <c r="D55" s="56"/>
      <c r="E55" s="59"/>
    </row>
    <row r="56" spans="1:5" x14ac:dyDescent="0.2">
      <c r="A56" s="55">
        <v>3</v>
      </c>
      <c r="B56" s="55"/>
      <c r="C56" s="55"/>
      <c r="D56" s="56"/>
      <c r="E56" s="59"/>
    </row>
    <row r="57" spans="1:5" x14ac:dyDescent="0.2">
      <c r="A57" s="55">
        <v>4</v>
      </c>
      <c r="B57" s="55"/>
      <c r="C57" s="55"/>
      <c r="D57" s="56"/>
      <c r="E57" s="59"/>
    </row>
    <row r="58" spans="1:5" x14ac:dyDescent="0.2">
      <c r="A58" s="55">
        <v>5</v>
      </c>
      <c r="B58" s="55"/>
      <c r="C58" s="55"/>
      <c r="D58" s="56"/>
      <c r="E58" s="59"/>
    </row>
    <row r="59" spans="1:5" x14ac:dyDescent="0.2">
      <c r="A59" s="82" t="str">
        <f>'3 WEEK'!A25</f>
        <v>ACTIVITY #10</v>
      </c>
      <c r="B59" s="83"/>
      <c r="C59" s="83"/>
      <c r="D59" s="83"/>
      <c r="E59" s="85"/>
    </row>
    <row r="60" spans="1:5" x14ac:dyDescent="0.2">
      <c r="A60" s="55">
        <v>1</v>
      </c>
      <c r="B60" s="55"/>
      <c r="C60" s="55"/>
      <c r="D60" s="56"/>
      <c r="E60" s="59"/>
    </row>
    <row r="61" spans="1:5" x14ac:dyDescent="0.2">
      <c r="A61" s="55">
        <v>2</v>
      </c>
      <c r="B61" s="55"/>
      <c r="C61" s="55"/>
      <c r="D61" s="56"/>
      <c r="E61" s="59"/>
    </row>
    <row r="62" spans="1:5" x14ac:dyDescent="0.2">
      <c r="A62" s="55">
        <v>3</v>
      </c>
      <c r="B62" s="55"/>
      <c r="C62" s="55"/>
      <c r="D62" s="56"/>
      <c r="E62" s="59"/>
    </row>
    <row r="63" spans="1:5" x14ac:dyDescent="0.2">
      <c r="A63" s="55">
        <v>4</v>
      </c>
      <c r="B63" s="55"/>
      <c r="C63" s="55"/>
      <c r="D63" s="56"/>
      <c r="E63" s="59"/>
    </row>
    <row r="64" spans="1:5" x14ac:dyDescent="0.2">
      <c r="A64" s="55">
        <v>5</v>
      </c>
      <c r="B64" s="55"/>
      <c r="C64" s="55"/>
      <c r="D64" s="56"/>
      <c r="E64" s="59"/>
    </row>
  </sheetData>
  <mergeCells count="1">
    <mergeCell ref="A1:E2"/>
  </mergeCells>
  <pageMargins left="0.7" right="0.7" top="0.75" bottom="0.75" header="0.3" footer="0.3"/>
  <pageSetup scale="57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4"/>
  <sheetViews>
    <sheetView zoomScaleNormal="100" workbookViewId="0">
      <selection activeCell="F67" sqref="F67"/>
    </sheetView>
  </sheetViews>
  <sheetFormatPr defaultRowHeight="12.75" x14ac:dyDescent="0.2"/>
  <cols>
    <col min="1" max="1" width="37.140625" customWidth="1"/>
    <col min="2" max="3" width="38.140625" customWidth="1"/>
    <col min="4" max="4" width="12" customWidth="1"/>
    <col min="5" max="5" width="14.28515625" bestFit="1" customWidth="1"/>
    <col min="6" max="6" width="38.140625" customWidth="1"/>
    <col min="7" max="7" width="12" customWidth="1"/>
    <col min="8" max="8" width="14.28515625" bestFit="1" customWidth="1"/>
    <col min="9" max="9" width="59.28515625" customWidth="1"/>
  </cols>
  <sheetData>
    <row r="1" spans="1:9" ht="12.75" customHeight="1" x14ac:dyDescent="0.2">
      <c r="A1" s="100" t="s">
        <v>34</v>
      </c>
      <c r="B1" s="101"/>
      <c r="C1" s="101"/>
      <c r="D1" s="101"/>
      <c r="E1" s="101"/>
      <c r="F1" s="101"/>
      <c r="G1" s="101"/>
      <c r="H1" s="101"/>
      <c r="I1" s="102"/>
    </row>
    <row r="2" spans="1:9" ht="12.75" customHeight="1" thickBot="1" x14ac:dyDescent="0.25">
      <c r="A2" s="103"/>
      <c r="B2" s="104"/>
      <c r="C2" s="104"/>
      <c r="D2" s="104"/>
      <c r="E2" s="104"/>
      <c r="F2" s="104"/>
      <c r="G2" s="104"/>
      <c r="H2" s="104"/>
      <c r="I2" s="105"/>
    </row>
    <row r="3" spans="1:9" ht="13.5" thickBot="1" x14ac:dyDescent="0.25"/>
    <row r="4" spans="1:9" ht="36.75" thickBot="1" x14ac:dyDescent="0.3">
      <c r="A4" s="57" t="s">
        <v>35</v>
      </c>
      <c r="B4" s="57" t="s">
        <v>36</v>
      </c>
      <c r="C4" s="57" t="s">
        <v>27</v>
      </c>
      <c r="D4" s="57" t="s">
        <v>28</v>
      </c>
      <c r="E4" s="58" t="s">
        <v>31</v>
      </c>
      <c r="F4" s="57" t="s">
        <v>79</v>
      </c>
      <c r="G4" s="57" t="s">
        <v>28</v>
      </c>
      <c r="H4" s="58" t="s">
        <v>31</v>
      </c>
      <c r="I4" s="57" t="s">
        <v>32</v>
      </c>
    </row>
    <row r="5" spans="1:9" ht="14.25" customHeight="1" x14ac:dyDescent="0.2">
      <c r="A5" s="78" t="str">
        <f>'3 WEEK'!A7</f>
        <v>ACTIVITY #1</v>
      </c>
      <c r="B5" s="79"/>
      <c r="C5" s="79"/>
      <c r="D5" s="79"/>
      <c r="E5" s="80"/>
      <c r="F5" s="79"/>
      <c r="G5" s="79"/>
      <c r="H5" s="80"/>
      <c r="I5" s="81"/>
    </row>
    <row r="6" spans="1:9" x14ac:dyDescent="0.2">
      <c r="A6" s="55">
        <v>1</v>
      </c>
      <c r="B6" s="55" t="s">
        <v>41</v>
      </c>
      <c r="C6" s="55" t="s">
        <v>44</v>
      </c>
      <c r="D6" s="55"/>
      <c r="E6" s="56"/>
      <c r="F6" s="55" t="s">
        <v>53</v>
      </c>
      <c r="G6" s="55"/>
      <c r="H6" s="56"/>
      <c r="I6" s="59"/>
    </row>
    <row r="7" spans="1:9" x14ac:dyDescent="0.2">
      <c r="A7" s="55"/>
      <c r="B7" s="55"/>
      <c r="C7" s="55" t="s">
        <v>45</v>
      </c>
      <c r="D7" s="55"/>
      <c r="E7" s="56"/>
      <c r="F7" s="55" t="s">
        <v>54</v>
      </c>
      <c r="G7" s="55"/>
      <c r="H7" s="56"/>
      <c r="I7" s="59"/>
    </row>
    <row r="8" spans="1:9" x14ac:dyDescent="0.2">
      <c r="A8" s="55"/>
      <c r="B8" s="55"/>
      <c r="C8" s="55" t="s">
        <v>46</v>
      </c>
      <c r="D8" s="55"/>
      <c r="E8" s="56"/>
      <c r="F8" s="55" t="s">
        <v>55</v>
      </c>
      <c r="G8" s="55"/>
      <c r="H8" s="56"/>
      <c r="I8" s="59"/>
    </row>
    <row r="9" spans="1:9" x14ac:dyDescent="0.2">
      <c r="A9" s="65">
        <v>2</v>
      </c>
      <c r="B9" s="65" t="s">
        <v>42</v>
      </c>
      <c r="C9" s="65" t="s">
        <v>47</v>
      </c>
      <c r="D9" s="65"/>
      <c r="E9" s="66"/>
      <c r="F9" s="65" t="s">
        <v>56</v>
      </c>
      <c r="G9" s="65"/>
      <c r="H9" s="66"/>
      <c r="I9" s="67"/>
    </row>
    <row r="10" spans="1:9" x14ac:dyDescent="0.2">
      <c r="A10" s="65"/>
      <c r="B10" s="65"/>
      <c r="C10" s="65" t="s">
        <v>48</v>
      </c>
      <c r="D10" s="65"/>
      <c r="E10" s="66"/>
      <c r="F10" s="65" t="s">
        <v>57</v>
      </c>
      <c r="G10" s="65"/>
      <c r="H10" s="66"/>
      <c r="I10" s="67"/>
    </row>
    <row r="11" spans="1:9" x14ac:dyDescent="0.2">
      <c r="A11" s="65"/>
      <c r="B11" s="65"/>
      <c r="C11" s="65" t="s">
        <v>49</v>
      </c>
      <c r="D11" s="65"/>
      <c r="E11" s="66"/>
      <c r="F11" s="65" t="s">
        <v>58</v>
      </c>
      <c r="G11" s="65"/>
      <c r="H11" s="66"/>
      <c r="I11" s="67"/>
    </row>
    <row r="12" spans="1:9" x14ac:dyDescent="0.2">
      <c r="A12" s="55">
        <v>3</v>
      </c>
      <c r="B12" s="55" t="s">
        <v>43</v>
      </c>
      <c r="C12" s="55" t="s">
        <v>50</v>
      </c>
      <c r="D12" s="55"/>
      <c r="E12" s="56"/>
      <c r="F12" s="55" t="s">
        <v>59</v>
      </c>
      <c r="G12" s="55"/>
      <c r="H12" s="56"/>
      <c r="I12" s="59"/>
    </row>
    <row r="13" spans="1:9" x14ac:dyDescent="0.2">
      <c r="A13" s="55"/>
      <c r="B13" s="55"/>
      <c r="C13" s="55" t="s">
        <v>51</v>
      </c>
      <c r="D13" s="55"/>
      <c r="E13" s="56"/>
      <c r="F13" s="55" t="s">
        <v>60</v>
      </c>
      <c r="G13" s="55"/>
      <c r="H13" s="56"/>
      <c r="I13" s="59"/>
    </row>
    <row r="14" spans="1:9" x14ac:dyDescent="0.2">
      <c r="A14" s="55"/>
      <c r="B14" s="55"/>
      <c r="C14" s="55" t="s">
        <v>52</v>
      </c>
      <c r="D14" s="55"/>
      <c r="E14" s="56"/>
      <c r="F14" s="55" t="s">
        <v>61</v>
      </c>
      <c r="G14" s="55"/>
      <c r="H14" s="56"/>
      <c r="I14" s="59"/>
    </row>
    <row r="15" spans="1:9" x14ac:dyDescent="0.2">
      <c r="A15" s="82" t="str">
        <f>'3 WEEK'!A9</f>
        <v>ACTIVITY #2</v>
      </c>
      <c r="B15" s="83"/>
      <c r="C15" s="83"/>
      <c r="D15" s="83"/>
      <c r="E15" s="84"/>
      <c r="F15" s="83"/>
      <c r="G15" s="83"/>
      <c r="H15" s="84"/>
      <c r="I15" s="85"/>
    </row>
    <row r="16" spans="1:9" x14ac:dyDescent="0.2">
      <c r="A16" s="55">
        <v>1</v>
      </c>
      <c r="B16" s="55"/>
      <c r="C16" s="55"/>
      <c r="D16" s="55"/>
      <c r="E16" s="56"/>
      <c r="F16" s="55"/>
      <c r="G16" s="55"/>
      <c r="H16" s="56"/>
      <c r="I16" s="59"/>
    </row>
    <row r="17" spans="1:9" x14ac:dyDescent="0.2">
      <c r="A17" s="55"/>
      <c r="B17" s="55"/>
      <c r="C17" s="55"/>
      <c r="D17" s="55"/>
      <c r="E17" s="56"/>
      <c r="F17" s="55"/>
      <c r="G17" s="55"/>
      <c r="H17" s="56"/>
      <c r="I17" s="59"/>
    </row>
    <row r="18" spans="1:9" x14ac:dyDescent="0.2">
      <c r="A18" s="55"/>
      <c r="B18" s="55"/>
      <c r="C18" s="55"/>
      <c r="D18" s="55"/>
      <c r="E18" s="56"/>
      <c r="F18" s="55"/>
      <c r="G18" s="55"/>
      <c r="H18" s="56"/>
      <c r="I18" s="59"/>
    </row>
    <row r="19" spans="1:9" x14ac:dyDescent="0.2">
      <c r="A19" s="65">
        <v>2</v>
      </c>
      <c r="B19" s="65"/>
      <c r="C19" s="65"/>
      <c r="D19" s="65"/>
      <c r="E19" s="66"/>
      <c r="F19" s="65"/>
      <c r="G19" s="65"/>
      <c r="H19" s="66"/>
      <c r="I19" s="67"/>
    </row>
    <row r="20" spans="1:9" x14ac:dyDescent="0.2">
      <c r="A20" s="65"/>
      <c r="B20" s="65"/>
      <c r="C20" s="65"/>
      <c r="D20" s="65"/>
      <c r="E20" s="66"/>
      <c r="F20" s="65"/>
      <c r="G20" s="65"/>
      <c r="H20" s="66"/>
      <c r="I20" s="67"/>
    </row>
    <row r="21" spans="1:9" x14ac:dyDescent="0.2">
      <c r="A21" s="65"/>
      <c r="B21" s="65"/>
      <c r="C21" s="65"/>
      <c r="D21" s="65"/>
      <c r="E21" s="66"/>
      <c r="F21" s="65"/>
      <c r="G21" s="65"/>
      <c r="H21" s="66"/>
      <c r="I21" s="67"/>
    </row>
    <row r="22" spans="1:9" x14ac:dyDescent="0.2">
      <c r="A22" s="55">
        <v>3</v>
      </c>
      <c r="B22" s="55"/>
      <c r="C22" s="55"/>
      <c r="D22" s="55"/>
      <c r="E22" s="56"/>
      <c r="F22" s="55"/>
      <c r="G22" s="55"/>
      <c r="H22" s="56"/>
      <c r="I22" s="59"/>
    </row>
    <row r="23" spans="1:9" x14ac:dyDescent="0.2">
      <c r="A23" s="55"/>
      <c r="B23" s="55"/>
      <c r="C23" s="55"/>
      <c r="D23" s="55"/>
      <c r="E23" s="56"/>
      <c r="F23" s="55"/>
      <c r="G23" s="55"/>
      <c r="H23" s="56"/>
      <c r="I23" s="59"/>
    </row>
    <row r="24" spans="1:9" x14ac:dyDescent="0.2">
      <c r="A24" s="55"/>
      <c r="B24" s="55"/>
      <c r="C24" s="55"/>
      <c r="D24" s="55"/>
      <c r="E24" s="56"/>
      <c r="F24" s="55"/>
      <c r="G24" s="55"/>
      <c r="H24" s="56"/>
      <c r="I24" s="59"/>
    </row>
    <row r="25" spans="1:9" x14ac:dyDescent="0.2">
      <c r="A25" s="82" t="str">
        <f>'3 WEEK'!A11</f>
        <v>ACTIVITY #3</v>
      </c>
      <c r="B25" s="83"/>
      <c r="C25" s="83"/>
      <c r="D25" s="83"/>
      <c r="E25" s="84"/>
      <c r="F25" s="83"/>
      <c r="G25" s="83"/>
      <c r="H25" s="84"/>
      <c r="I25" s="85"/>
    </row>
    <row r="26" spans="1:9" x14ac:dyDescent="0.2">
      <c r="A26" s="55">
        <v>1</v>
      </c>
      <c r="B26" s="55"/>
      <c r="C26" s="55"/>
      <c r="D26" s="55"/>
      <c r="E26" s="56"/>
      <c r="F26" s="55"/>
      <c r="G26" s="55"/>
      <c r="H26" s="56"/>
      <c r="I26" s="59"/>
    </row>
    <row r="27" spans="1:9" x14ac:dyDescent="0.2">
      <c r="A27" s="55"/>
      <c r="B27" s="55"/>
      <c r="C27" s="55"/>
      <c r="D27" s="55"/>
      <c r="E27" s="56"/>
      <c r="F27" s="55"/>
      <c r="G27" s="55"/>
      <c r="H27" s="56"/>
      <c r="I27" s="59"/>
    </row>
    <row r="28" spans="1:9" x14ac:dyDescent="0.2">
      <c r="A28" s="55"/>
      <c r="B28" s="55"/>
      <c r="C28" s="55"/>
      <c r="D28" s="55"/>
      <c r="E28" s="56"/>
      <c r="F28" s="55"/>
      <c r="G28" s="55"/>
      <c r="H28" s="56"/>
      <c r="I28" s="59"/>
    </row>
    <row r="29" spans="1:9" x14ac:dyDescent="0.2">
      <c r="A29" s="65">
        <v>2</v>
      </c>
      <c r="B29" s="65"/>
      <c r="C29" s="65"/>
      <c r="D29" s="65"/>
      <c r="E29" s="66"/>
      <c r="F29" s="65"/>
      <c r="G29" s="65"/>
      <c r="H29" s="66"/>
      <c r="I29" s="67"/>
    </row>
    <row r="30" spans="1:9" x14ac:dyDescent="0.2">
      <c r="A30" s="65"/>
      <c r="B30" s="65"/>
      <c r="C30" s="65"/>
      <c r="D30" s="65"/>
      <c r="E30" s="66"/>
      <c r="F30" s="65"/>
      <c r="G30" s="65"/>
      <c r="H30" s="66"/>
      <c r="I30" s="67"/>
    </row>
    <row r="31" spans="1:9" x14ac:dyDescent="0.2">
      <c r="A31" s="65"/>
      <c r="B31" s="65"/>
      <c r="C31" s="65"/>
      <c r="D31" s="65"/>
      <c r="E31" s="66"/>
      <c r="F31" s="65"/>
      <c r="G31" s="65"/>
      <c r="H31" s="66"/>
      <c r="I31" s="67"/>
    </row>
    <row r="32" spans="1:9" x14ac:dyDescent="0.2">
      <c r="A32" s="55">
        <v>3</v>
      </c>
      <c r="B32" s="55"/>
      <c r="C32" s="55"/>
      <c r="D32" s="55"/>
      <c r="E32" s="56"/>
      <c r="F32" s="55"/>
      <c r="G32" s="55"/>
      <c r="H32" s="56"/>
      <c r="I32" s="59"/>
    </row>
    <row r="33" spans="1:9" x14ac:dyDescent="0.2">
      <c r="A33" s="55"/>
      <c r="B33" s="55"/>
      <c r="C33" s="55"/>
      <c r="D33" s="55"/>
      <c r="E33" s="56"/>
      <c r="F33" s="55"/>
      <c r="G33" s="55"/>
      <c r="H33" s="56"/>
      <c r="I33" s="59"/>
    </row>
    <row r="34" spans="1:9" x14ac:dyDescent="0.2">
      <c r="A34" s="55"/>
      <c r="B34" s="55"/>
      <c r="C34" s="55"/>
      <c r="D34" s="55"/>
      <c r="E34" s="56"/>
      <c r="F34" s="55"/>
      <c r="G34" s="55"/>
      <c r="H34" s="56"/>
      <c r="I34" s="59"/>
    </row>
    <row r="35" spans="1:9" x14ac:dyDescent="0.2">
      <c r="A35" s="82" t="str">
        <f>'3 WEEK'!A13</f>
        <v>ACTIVITY #4</v>
      </c>
      <c r="B35" s="83"/>
      <c r="C35" s="83"/>
      <c r="D35" s="83"/>
      <c r="E35" s="84"/>
      <c r="F35" s="83"/>
      <c r="G35" s="83"/>
      <c r="H35" s="84"/>
      <c r="I35" s="85"/>
    </row>
    <row r="36" spans="1:9" x14ac:dyDescent="0.2">
      <c r="A36" s="55">
        <v>1</v>
      </c>
      <c r="B36" s="55"/>
      <c r="C36" s="55"/>
      <c r="D36" s="55"/>
      <c r="E36" s="56"/>
      <c r="F36" s="55"/>
      <c r="G36" s="55"/>
      <c r="H36" s="56"/>
      <c r="I36" s="59"/>
    </row>
    <row r="37" spans="1:9" x14ac:dyDescent="0.2">
      <c r="A37" s="55"/>
      <c r="B37" s="55"/>
      <c r="C37" s="55"/>
      <c r="D37" s="55"/>
      <c r="E37" s="56"/>
      <c r="F37" s="55"/>
      <c r="G37" s="55"/>
      <c r="H37" s="56"/>
      <c r="I37" s="59"/>
    </row>
    <row r="38" spans="1:9" x14ac:dyDescent="0.2">
      <c r="A38" s="55"/>
      <c r="B38" s="55"/>
      <c r="C38" s="55"/>
      <c r="D38" s="55"/>
      <c r="E38" s="56"/>
      <c r="F38" s="55"/>
      <c r="G38" s="55"/>
      <c r="H38" s="56"/>
      <c r="I38" s="59"/>
    </row>
    <row r="39" spans="1:9" x14ac:dyDescent="0.2">
      <c r="A39" s="65">
        <v>2</v>
      </c>
      <c r="B39" s="65"/>
      <c r="C39" s="65"/>
      <c r="D39" s="65"/>
      <c r="E39" s="66"/>
      <c r="F39" s="65"/>
      <c r="G39" s="65"/>
      <c r="H39" s="66"/>
      <c r="I39" s="67"/>
    </row>
    <row r="40" spans="1:9" x14ac:dyDescent="0.2">
      <c r="A40" s="65"/>
      <c r="B40" s="65"/>
      <c r="C40" s="65"/>
      <c r="D40" s="65"/>
      <c r="E40" s="66"/>
      <c r="F40" s="65"/>
      <c r="G40" s="65"/>
      <c r="H40" s="66"/>
      <c r="I40" s="67"/>
    </row>
    <row r="41" spans="1:9" x14ac:dyDescent="0.2">
      <c r="A41" s="65"/>
      <c r="B41" s="65"/>
      <c r="C41" s="65"/>
      <c r="D41" s="65"/>
      <c r="E41" s="66"/>
      <c r="F41" s="65"/>
      <c r="G41" s="65"/>
      <c r="H41" s="66"/>
      <c r="I41" s="67"/>
    </row>
    <row r="42" spans="1:9" x14ac:dyDescent="0.2">
      <c r="A42" s="55">
        <v>3</v>
      </c>
      <c r="B42" s="55"/>
      <c r="C42" s="55"/>
      <c r="D42" s="55"/>
      <c r="E42" s="56"/>
      <c r="F42" s="55"/>
      <c r="G42" s="55"/>
      <c r="H42" s="56"/>
      <c r="I42" s="59"/>
    </row>
    <row r="43" spans="1:9" x14ac:dyDescent="0.2">
      <c r="A43" s="55"/>
      <c r="B43" s="55"/>
      <c r="C43" s="55"/>
      <c r="D43" s="55"/>
      <c r="E43" s="56"/>
      <c r="F43" s="55"/>
      <c r="G43" s="55"/>
      <c r="H43" s="56"/>
      <c r="I43" s="59"/>
    </row>
    <row r="44" spans="1:9" x14ac:dyDescent="0.2">
      <c r="A44" s="55"/>
      <c r="B44" s="55"/>
      <c r="C44" s="55"/>
      <c r="D44" s="55"/>
      <c r="E44" s="56"/>
      <c r="F44" s="55"/>
      <c r="G44" s="55"/>
      <c r="H44" s="56"/>
      <c r="I44" s="59"/>
    </row>
    <row r="45" spans="1:9" x14ac:dyDescent="0.2">
      <c r="A45" s="82" t="str">
        <f>'3 WEEK'!A15</f>
        <v>ACTIVITY #5</v>
      </c>
      <c r="B45" s="83"/>
      <c r="C45" s="83"/>
      <c r="D45" s="83"/>
      <c r="E45" s="83"/>
      <c r="F45" s="83"/>
      <c r="G45" s="83"/>
      <c r="H45" s="83"/>
      <c r="I45" s="85"/>
    </row>
    <row r="46" spans="1:9" x14ac:dyDescent="0.2">
      <c r="A46" s="55">
        <v>1</v>
      </c>
      <c r="B46" s="55"/>
      <c r="C46" s="55"/>
      <c r="D46" s="55"/>
      <c r="E46" s="56"/>
      <c r="F46" s="55"/>
      <c r="G46" s="55"/>
      <c r="H46" s="56"/>
      <c r="I46" s="59"/>
    </row>
    <row r="47" spans="1:9" x14ac:dyDescent="0.2">
      <c r="A47" s="55"/>
      <c r="B47" s="55"/>
      <c r="C47" s="55"/>
      <c r="D47" s="55"/>
      <c r="E47" s="56"/>
      <c r="F47" s="55"/>
      <c r="G47" s="55"/>
      <c r="H47" s="56"/>
      <c r="I47" s="59"/>
    </row>
    <row r="48" spans="1:9" x14ac:dyDescent="0.2">
      <c r="A48" s="55"/>
      <c r="B48" s="55"/>
      <c r="C48" s="55"/>
      <c r="D48" s="55"/>
      <c r="E48" s="56"/>
      <c r="F48" s="55"/>
      <c r="G48" s="55"/>
      <c r="H48" s="56"/>
      <c r="I48" s="59"/>
    </row>
    <row r="49" spans="1:9" x14ac:dyDescent="0.2">
      <c r="A49" s="65">
        <v>2</v>
      </c>
      <c r="B49" s="65"/>
      <c r="C49" s="65"/>
      <c r="D49" s="65"/>
      <c r="E49" s="66"/>
      <c r="F49" s="65"/>
      <c r="G49" s="65"/>
      <c r="H49" s="66"/>
      <c r="I49" s="67"/>
    </row>
    <row r="50" spans="1:9" x14ac:dyDescent="0.2">
      <c r="A50" s="65"/>
      <c r="B50" s="65"/>
      <c r="C50" s="65"/>
      <c r="D50" s="65"/>
      <c r="E50" s="66"/>
      <c r="F50" s="65"/>
      <c r="G50" s="65"/>
      <c r="H50" s="66"/>
      <c r="I50" s="67"/>
    </row>
    <row r="51" spans="1:9" x14ac:dyDescent="0.2">
      <c r="A51" s="65"/>
      <c r="B51" s="65"/>
      <c r="C51" s="65"/>
      <c r="D51" s="65"/>
      <c r="E51" s="66"/>
      <c r="F51" s="65"/>
      <c r="G51" s="65"/>
      <c r="H51" s="66"/>
      <c r="I51" s="67"/>
    </row>
    <row r="52" spans="1:9" x14ac:dyDescent="0.2">
      <c r="A52" s="55">
        <v>3</v>
      </c>
      <c r="B52" s="55"/>
      <c r="C52" s="55"/>
      <c r="D52" s="55"/>
      <c r="E52" s="56"/>
      <c r="F52" s="55"/>
      <c r="G52" s="55"/>
      <c r="H52" s="56"/>
      <c r="I52" s="59"/>
    </row>
    <row r="53" spans="1:9" x14ac:dyDescent="0.2">
      <c r="A53" s="55"/>
      <c r="B53" s="55"/>
      <c r="C53" s="55"/>
      <c r="D53" s="55"/>
      <c r="E53" s="56"/>
      <c r="F53" s="55"/>
      <c r="G53" s="55"/>
      <c r="H53" s="56"/>
      <c r="I53" s="59"/>
    </row>
    <row r="54" spans="1:9" x14ac:dyDescent="0.2">
      <c r="A54" s="55"/>
      <c r="B54" s="55"/>
      <c r="C54" s="55"/>
      <c r="D54" s="55"/>
      <c r="E54" s="56"/>
      <c r="F54" s="55"/>
      <c r="G54" s="55"/>
      <c r="H54" s="56"/>
      <c r="I54" s="59"/>
    </row>
    <row r="55" spans="1:9" x14ac:dyDescent="0.2">
      <c r="A55" s="82" t="str">
        <f>'3 WEEK'!A17</f>
        <v>ACTIVITY #6</v>
      </c>
      <c r="B55" s="83"/>
      <c r="C55" s="83"/>
      <c r="D55" s="83"/>
      <c r="E55" s="83"/>
      <c r="F55" s="83"/>
      <c r="G55" s="83"/>
      <c r="H55" s="83"/>
      <c r="I55" s="85"/>
    </row>
    <row r="56" spans="1:9" x14ac:dyDescent="0.2">
      <c r="A56" s="55">
        <v>1</v>
      </c>
      <c r="B56" s="55"/>
      <c r="C56" s="55"/>
      <c r="D56" s="55"/>
      <c r="E56" s="56"/>
      <c r="F56" s="55"/>
      <c r="G56" s="55"/>
      <c r="H56" s="56"/>
      <c r="I56" s="59"/>
    </row>
    <row r="57" spans="1:9" x14ac:dyDescent="0.2">
      <c r="A57" s="55"/>
      <c r="B57" s="55"/>
      <c r="C57" s="55"/>
      <c r="D57" s="55"/>
      <c r="E57" s="56"/>
      <c r="F57" s="55"/>
      <c r="G57" s="55"/>
      <c r="H57" s="56"/>
      <c r="I57" s="59"/>
    </row>
    <row r="58" spans="1:9" x14ac:dyDescent="0.2">
      <c r="A58" s="55"/>
      <c r="B58" s="55"/>
      <c r="C58" s="55"/>
      <c r="D58" s="55"/>
      <c r="E58" s="56"/>
      <c r="F58" s="55"/>
      <c r="G58" s="55"/>
      <c r="H58" s="56"/>
      <c r="I58" s="59"/>
    </row>
    <row r="59" spans="1:9" x14ac:dyDescent="0.2">
      <c r="A59" s="65">
        <v>2</v>
      </c>
      <c r="B59" s="65"/>
      <c r="C59" s="65"/>
      <c r="D59" s="65"/>
      <c r="E59" s="66"/>
      <c r="F59" s="65"/>
      <c r="G59" s="65"/>
      <c r="H59" s="66"/>
      <c r="I59" s="67"/>
    </row>
    <row r="60" spans="1:9" x14ac:dyDescent="0.2">
      <c r="A60" s="65"/>
      <c r="B60" s="65"/>
      <c r="C60" s="65"/>
      <c r="D60" s="65"/>
      <c r="E60" s="66"/>
      <c r="F60" s="65"/>
      <c r="G60" s="65"/>
      <c r="H60" s="66"/>
      <c r="I60" s="67"/>
    </row>
    <row r="61" spans="1:9" x14ac:dyDescent="0.2">
      <c r="A61" s="65"/>
      <c r="B61" s="65"/>
      <c r="C61" s="65"/>
      <c r="D61" s="65"/>
      <c r="E61" s="66"/>
      <c r="F61" s="65"/>
      <c r="G61" s="65"/>
      <c r="H61" s="66"/>
      <c r="I61" s="67"/>
    </row>
    <row r="62" spans="1:9" x14ac:dyDescent="0.2">
      <c r="A62" s="55">
        <v>3</v>
      </c>
      <c r="B62" s="55"/>
      <c r="C62" s="55"/>
      <c r="D62" s="55"/>
      <c r="E62" s="56"/>
      <c r="F62" s="55"/>
      <c r="G62" s="55"/>
      <c r="H62" s="56"/>
      <c r="I62" s="59"/>
    </row>
    <row r="63" spans="1:9" x14ac:dyDescent="0.2">
      <c r="A63" s="55"/>
      <c r="B63" s="55"/>
      <c r="C63" s="55"/>
      <c r="D63" s="55"/>
      <c r="E63" s="56"/>
      <c r="F63" s="55"/>
      <c r="G63" s="55"/>
      <c r="H63" s="56"/>
      <c r="I63" s="59"/>
    </row>
    <row r="64" spans="1:9" x14ac:dyDescent="0.2">
      <c r="A64" s="55"/>
      <c r="B64" s="55"/>
      <c r="C64" s="55"/>
      <c r="D64" s="55"/>
      <c r="E64" s="56"/>
      <c r="F64" s="55"/>
      <c r="G64" s="55"/>
      <c r="H64" s="56"/>
      <c r="I64" s="59"/>
    </row>
    <row r="65" spans="1:9" x14ac:dyDescent="0.2">
      <c r="A65" s="82" t="str">
        <f>'3 WEEK'!A19</f>
        <v>ACTIVITY #7</v>
      </c>
      <c r="B65" s="83"/>
      <c r="C65" s="83"/>
      <c r="D65" s="83"/>
      <c r="E65" s="83"/>
      <c r="F65" s="83"/>
      <c r="G65" s="83"/>
      <c r="H65" s="83"/>
      <c r="I65" s="85"/>
    </row>
    <row r="66" spans="1:9" x14ac:dyDescent="0.2">
      <c r="A66" s="55">
        <v>1</v>
      </c>
      <c r="B66" s="55"/>
      <c r="C66" s="55"/>
      <c r="D66" s="55"/>
      <c r="E66" s="56"/>
      <c r="F66" s="55"/>
      <c r="G66" s="55"/>
      <c r="H66" s="56"/>
      <c r="I66" s="59"/>
    </row>
    <row r="67" spans="1:9" x14ac:dyDescent="0.2">
      <c r="A67" s="55"/>
      <c r="B67" s="55"/>
      <c r="C67" s="55"/>
      <c r="D67" s="55"/>
      <c r="E67" s="56"/>
      <c r="F67" s="55"/>
      <c r="G67" s="55"/>
      <c r="H67" s="56"/>
      <c r="I67" s="59"/>
    </row>
    <row r="68" spans="1:9" x14ac:dyDescent="0.2">
      <c r="A68" s="55"/>
      <c r="B68" s="55"/>
      <c r="C68" s="55"/>
      <c r="D68" s="55"/>
      <c r="E68" s="56"/>
      <c r="F68" s="55"/>
      <c r="G68" s="55"/>
      <c r="H68" s="56"/>
      <c r="I68" s="59"/>
    </row>
    <row r="69" spans="1:9" x14ac:dyDescent="0.2">
      <c r="A69" s="65">
        <v>2</v>
      </c>
      <c r="B69" s="65"/>
      <c r="C69" s="65"/>
      <c r="D69" s="65"/>
      <c r="E69" s="66"/>
      <c r="F69" s="65"/>
      <c r="G69" s="65"/>
      <c r="H69" s="66"/>
      <c r="I69" s="67"/>
    </row>
    <row r="70" spans="1:9" x14ac:dyDescent="0.2">
      <c r="A70" s="65"/>
      <c r="B70" s="65"/>
      <c r="C70" s="65"/>
      <c r="D70" s="65"/>
      <c r="E70" s="66"/>
      <c r="F70" s="65"/>
      <c r="G70" s="65"/>
      <c r="H70" s="66"/>
      <c r="I70" s="67"/>
    </row>
    <row r="71" spans="1:9" x14ac:dyDescent="0.2">
      <c r="A71" s="65"/>
      <c r="B71" s="65"/>
      <c r="C71" s="65"/>
      <c r="D71" s="65"/>
      <c r="E71" s="66"/>
      <c r="F71" s="65"/>
      <c r="G71" s="65"/>
      <c r="H71" s="66"/>
      <c r="I71" s="67"/>
    </row>
    <row r="72" spans="1:9" x14ac:dyDescent="0.2">
      <c r="A72" s="55">
        <v>3</v>
      </c>
      <c r="B72" s="55"/>
      <c r="C72" s="55"/>
      <c r="D72" s="55"/>
      <c r="E72" s="56"/>
      <c r="F72" s="55"/>
      <c r="G72" s="55"/>
      <c r="H72" s="56"/>
      <c r="I72" s="59"/>
    </row>
    <row r="73" spans="1:9" x14ac:dyDescent="0.2">
      <c r="A73" s="55"/>
      <c r="B73" s="55"/>
      <c r="C73" s="55"/>
      <c r="D73" s="55"/>
      <c r="E73" s="56"/>
      <c r="F73" s="55"/>
      <c r="G73" s="55"/>
      <c r="H73" s="56"/>
      <c r="I73" s="59"/>
    </row>
    <row r="74" spans="1:9" x14ac:dyDescent="0.2">
      <c r="A74" s="55"/>
      <c r="B74" s="55"/>
      <c r="C74" s="55"/>
      <c r="D74" s="55"/>
      <c r="E74" s="56"/>
      <c r="F74" s="55"/>
      <c r="G74" s="55"/>
      <c r="H74" s="56"/>
      <c r="I74" s="59"/>
    </row>
    <row r="75" spans="1:9" x14ac:dyDescent="0.2">
      <c r="A75" s="82" t="str">
        <f>'3 WEEK'!A21</f>
        <v>ACTIVITY #8</v>
      </c>
      <c r="B75" s="83"/>
      <c r="C75" s="83"/>
      <c r="D75" s="83"/>
      <c r="E75" s="83"/>
      <c r="F75" s="83"/>
      <c r="G75" s="83"/>
      <c r="H75" s="83"/>
      <c r="I75" s="85"/>
    </row>
    <row r="76" spans="1:9" x14ac:dyDescent="0.2">
      <c r="A76" s="55">
        <v>1</v>
      </c>
      <c r="B76" s="55"/>
      <c r="C76" s="55"/>
      <c r="D76" s="55"/>
      <c r="E76" s="56"/>
      <c r="F76" s="55"/>
      <c r="G76" s="55"/>
      <c r="H76" s="56"/>
      <c r="I76" s="59"/>
    </row>
    <row r="77" spans="1:9" x14ac:dyDescent="0.2">
      <c r="A77" s="55"/>
      <c r="B77" s="55"/>
      <c r="C77" s="55"/>
      <c r="D77" s="55"/>
      <c r="E77" s="56"/>
      <c r="F77" s="55"/>
      <c r="G77" s="55"/>
      <c r="H77" s="56"/>
      <c r="I77" s="59"/>
    </row>
    <row r="78" spans="1:9" x14ac:dyDescent="0.2">
      <c r="A78" s="55"/>
      <c r="B78" s="55"/>
      <c r="C78" s="55"/>
      <c r="D78" s="55"/>
      <c r="E78" s="56"/>
      <c r="F78" s="55"/>
      <c r="G78" s="55"/>
      <c r="H78" s="56"/>
      <c r="I78" s="59"/>
    </row>
    <row r="79" spans="1:9" x14ac:dyDescent="0.2">
      <c r="A79" s="65">
        <v>2</v>
      </c>
      <c r="B79" s="65"/>
      <c r="C79" s="65"/>
      <c r="D79" s="65"/>
      <c r="E79" s="66"/>
      <c r="F79" s="65"/>
      <c r="G79" s="65"/>
      <c r="H79" s="66"/>
      <c r="I79" s="67"/>
    </row>
    <row r="80" spans="1:9" x14ac:dyDescent="0.2">
      <c r="A80" s="65"/>
      <c r="B80" s="65"/>
      <c r="C80" s="65"/>
      <c r="D80" s="65"/>
      <c r="E80" s="66"/>
      <c r="F80" s="65"/>
      <c r="G80" s="65"/>
      <c r="H80" s="66"/>
      <c r="I80" s="67"/>
    </row>
    <row r="81" spans="1:9" x14ac:dyDescent="0.2">
      <c r="A81" s="65"/>
      <c r="B81" s="65"/>
      <c r="C81" s="65"/>
      <c r="D81" s="65"/>
      <c r="E81" s="66"/>
      <c r="F81" s="65"/>
      <c r="G81" s="65"/>
      <c r="H81" s="66"/>
      <c r="I81" s="67"/>
    </row>
    <row r="82" spans="1:9" x14ac:dyDescent="0.2">
      <c r="A82" s="55">
        <v>3</v>
      </c>
      <c r="B82" s="55"/>
      <c r="C82" s="55"/>
      <c r="D82" s="55"/>
      <c r="E82" s="56"/>
      <c r="F82" s="55"/>
      <c r="G82" s="55"/>
      <c r="H82" s="56"/>
      <c r="I82" s="59"/>
    </row>
    <row r="83" spans="1:9" x14ac:dyDescent="0.2">
      <c r="A83" s="55"/>
      <c r="B83" s="55"/>
      <c r="C83" s="55"/>
      <c r="D83" s="55"/>
      <c r="E83" s="56"/>
      <c r="F83" s="55"/>
      <c r="G83" s="55"/>
      <c r="H83" s="56"/>
      <c r="I83" s="59"/>
    </row>
    <row r="84" spans="1:9" x14ac:dyDescent="0.2">
      <c r="A84" s="55"/>
      <c r="B84" s="55"/>
      <c r="C84" s="55"/>
      <c r="D84" s="55"/>
      <c r="E84" s="56"/>
      <c r="F84" s="55"/>
      <c r="G84" s="55"/>
      <c r="H84" s="56"/>
      <c r="I84" s="59"/>
    </row>
    <row r="85" spans="1:9" x14ac:dyDescent="0.2">
      <c r="A85" s="82" t="str">
        <f>'3 WEEK'!A23</f>
        <v>ACTIVITY #9</v>
      </c>
      <c r="B85" s="83"/>
      <c r="C85" s="83"/>
      <c r="D85" s="83"/>
      <c r="E85" s="83"/>
      <c r="F85" s="83"/>
      <c r="G85" s="83"/>
      <c r="H85" s="83"/>
      <c r="I85" s="85"/>
    </row>
    <row r="86" spans="1:9" x14ac:dyDescent="0.2">
      <c r="A86" s="55">
        <v>1</v>
      </c>
      <c r="B86" s="55"/>
      <c r="C86" s="55"/>
      <c r="D86" s="55"/>
      <c r="E86" s="56"/>
      <c r="F86" s="55"/>
      <c r="G86" s="55"/>
      <c r="H86" s="56"/>
      <c r="I86" s="59"/>
    </row>
    <row r="87" spans="1:9" x14ac:dyDescent="0.2">
      <c r="A87" s="55"/>
      <c r="B87" s="55"/>
      <c r="C87" s="55"/>
      <c r="D87" s="55"/>
      <c r="E87" s="56"/>
      <c r="F87" s="55"/>
      <c r="G87" s="55"/>
      <c r="H87" s="56"/>
      <c r="I87" s="59"/>
    </row>
    <row r="88" spans="1:9" x14ac:dyDescent="0.2">
      <c r="A88" s="55"/>
      <c r="B88" s="55"/>
      <c r="C88" s="55"/>
      <c r="D88" s="55"/>
      <c r="E88" s="56"/>
      <c r="F88" s="55"/>
      <c r="G88" s="55"/>
      <c r="H88" s="56"/>
      <c r="I88" s="59"/>
    </row>
    <row r="89" spans="1:9" x14ac:dyDescent="0.2">
      <c r="A89" s="65">
        <v>2</v>
      </c>
      <c r="B89" s="65"/>
      <c r="C89" s="65"/>
      <c r="D89" s="65"/>
      <c r="E89" s="66"/>
      <c r="F89" s="65"/>
      <c r="G89" s="65"/>
      <c r="H89" s="66"/>
      <c r="I89" s="67"/>
    </row>
    <row r="90" spans="1:9" x14ac:dyDescent="0.2">
      <c r="A90" s="65"/>
      <c r="B90" s="65"/>
      <c r="C90" s="65"/>
      <c r="D90" s="65"/>
      <c r="E90" s="66"/>
      <c r="F90" s="65"/>
      <c r="G90" s="65"/>
      <c r="H90" s="66"/>
      <c r="I90" s="67"/>
    </row>
    <row r="91" spans="1:9" x14ac:dyDescent="0.2">
      <c r="A91" s="65"/>
      <c r="B91" s="65"/>
      <c r="C91" s="65"/>
      <c r="D91" s="65"/>
      <c r="E91" s="66"/>
      <c r="F91" s="65"/>
      <c r="G91" s="65"/>
      <c r="H91" s="66"/>
      <c r="I91" s="67"/>
    </row>
    <row r="92" spans="1:9" x14ac:dyDescent="0.2">
      <c r="A92" s="55">
        <v>3</v>
      </c>
      <c r="B92" s="55"/>
      <c r="C92" s="55"/>
      <c r="D92" s="55"/>
      <c r="E92" s="56"/>
      <c r="F92" s="55"/>
      <c r="G92" s="55"/>
      <c r="H92" s="56"/>
      <c r="I92" s="59"/>
    </row>
    <row r="93" spans="1:9" x14ac:dyDescent="0.2">
      <c r="A93" s="55"/>
      <c r="B93" s="55"/>
      <c r="C93" s="55"/>
      <c r="D93" s="55"/>
      <c r="E93" s="56"/>
      <c r="F93" s="55"/>
      <c r="G93" s="55"/>
      <c r="H93" s="56"/>
      <c r="I93" s="59"/>
    </row>
    <row r="94" spans="1:9" x14ac:dyDescent="0.2">
      <c r="A94" s="55"/>
      <c r="B94" s="55"/>
      <c r="C94" s="55"/>
      <c r="D94" s="55"/>
      <c r="E94" s="56"/>
      <c r="F94" s="55"/>
      <c r="G94" s="55"/>
      <c r="H94" s="56"/>
      <c r="I94" s="59"/>
    </row>
    <row r="95" spans="1:9" x14ac:dyDescent="0.2">
      <c r="A95" s="82" t="str">
        <f>'3 WEEK'!A25</f>
        <v>ACTIVITY #10</v>
      </c>
      <c r="B95" s="83"/>
      <c r="C95" s="83"/>
      <c r="D95" s="83"/>
      <c r="E95" s="83"/>
      <c r="F95" s="83"/>
      <c r="G95" s="83"/>
      <c r="H95" s="83"/>
      <c r="I95" s="85"/>
    </row>
    <row r="96" spans="1:9" x14ac:dyDescent="0.2">
      <c r="A96" s="55">
        <v>1</v>
      </c>
      <c r="B96" s="55"/>
      <c r="C96" s="55"/>
      <c r="D96" s="55"/>
      <c r="E96" s="56"/>
      <c r="F96" s="55"/>
      <c r="G96" s="55"/>
      <c r="H96" s="56"/>
      <c r="I96" s="59"/>
    </row>
    <row r="97" spans="1:9" x14ac:dyDescent="0.2">
      <c r="A97" s="55"/>
      <c r="B97" s="55"/>
      <c r="C97" s="55"/>
      <c r="D97" s="55"/>
      <c r="E97" s="56"/>
      <c r="F97" s="55"/>
      <c r="G97" s="55"/>
      <c r="H97" s="56"/>
      <c r="I97" s="59"/>
    </row>
    <row r="98" spans="1:9" x14ac:dyDescent="0.2">
      <c r="A98" s="55"/>
      <c r="B98" s="55"/>
      <c r="C98" s="55"/>
      <c r="D98" s="55"/>
      <c r="E98" s="56"/>
      <c r="F98" s="55"/>
      <c r="G98" s="55"/>
      <c r="H98" s="56"/>
      <c r="I98" s="59"/>
    </row>
    <row r="99" spans="1:9" x14ac:dyDescent="0.2">
      <c r="A99" s="65">
        <v>2</v>
      </c>
      <c r="B99" s="65"/>
      <c r="C99" s="65"/>
      <c r="D99" s="65"/>
      <c r="E99" s="66"/>
      <c r="F99" s="65"/>
      <c r="G99" s="65"/>
      <c r="H99" s="66"/>
      <c r="I99" s="67"/>
    </row>
    <row r="100" spans="1:9" x14ac:dyDescent="0.2">
      <c r="A100" s="65"/>
      <c r="B100" s="65"/>
      <c r="C100" s="65"/>
      <c r="D100" s="65"/>
      <c r="E100" s="66"/>
      <c r="F100" s="65"/>
      <c r="G100" s="65"/>
      <c r="H100" s="66"/>
      <c r="I100" s="67"/>
    </row>
    <row r="101" spans="1:9" x14ac:dyDescent="0.2">
      <c r="A101" s="65"/>
      <c r="B101" s="65"/>
      <c r="C101" s="65"/>
      <c r="D101" s="65"/>
      <c r="E101" s="66"/>
      <c r="F101" s="65"/>
      <c r="G101" s="65"/>
      <c r="H101" s="66"/>
      <c r="I101" s="67"/>
    </row>
    <row r="102" spans="1:9" x14ac:dyDescent="0.2">
      <c r="A102" s="55">
        <v>3</v>
      </c>
      <c r="B102" s="55"/>
      <c r="C102" s="55"/>
      <c r="D102" s="55"/>
      <c r="E102" s="56"/>
      <c r="F102" s="55"/>
      <c r="G102" s="55"/>
      <c r="H102" s="56"/>
      <c r="I102" s="59"/>
    </row>
    <row r="103" spans="1:9" x14ac:dyDescent="0.2">
      <c r="A103" s="55"/>
      <c r="B103" s="55"/>
      <c r="C103" s="55"/>
      <c r="D103" s="55"/>
      <c r="E103" s="56"/>
      <c r="F103" s="55"/>
      <c r="G103" s="55"/>
      <c r="H103" s="56"/>
      <c r="I103" s="59"/>
    </row>
    <row r="104" spans="1:9" x14ac:dyDescent="0.2">
      <c r="A104" s="55"/>
      <c r="B104" s="55"/>
      <c r="C104" s="55"/>
      <c r="D104" s="55"/>
      <c r="E104" s="56"/>
      <c r="F104" s="55"/>
      <c r="G104" s="55"/>
      <c r="H104" s="56"/>
      <c r="I104" s="59"/>
    </row>
  </sheetData>
  <mergeCells count="1">
    <mergeCell ref="A1:I2"/>
  </mergeCells>
  <pageMargins left="0.7" right="0.7" top="0.75" bottom="0.75" header="0.3" footer="0.3"/>
  <pageSetup scale="35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6"/>
  <sheetViews>
    <sheetView workbookViewId="0">
      <selection activeCell="A36" sqref="A36:C38"/>
    </sheetView>
  </sheetViews>
  <sheetFormatPr defaultRowHeight="12.75" x14ac:dyDescent="0.2"/>
  <cols>
    <col min="1" max="1" width="36.5703125" customWidth="1"/>
    <col min="3" max="3" width="10" bestFit="1" customWidth="1"/>
  </cols>
  <sheetData>
    <row r="1" spans="1:9" x14ac:dyDescent="0.2">
      <c r="A1" s="115" t="s">
        <v>64</v>
      </c>
      <c r="B1" s="116"/>
      <c r="C1" s="116"/>
      <c r="D1" s="117"/>
    </row>
    <row r="2" spans="1:9" ht="13.5" thickBot="1" x14ac:dyDescent="0.25">
      <c r="A2" s="118"/>
      <c r="B2" s="119"/>
      <c r="C2" s="119"/>
      <c r="D2" s="120"/>
      <c r="F2" s="114" t="s">
        <v>73</v>
      </c>
      <c r="G2" s="114"/>
      <c r="H2" s="114"/>
      <c r="I2" s="114"/>
    </row>
    <row r="4" spans="1:9" x14ac:dyDescent="0.2">
      <c r="A4" s="113" t="s">
        <v>75</v>
      </c>
      <c r="B4" s="106" t="s">
        <v>28</v>
      </c>
      <c r="C4" s="106" t="s">
        <v>65</v>
      </c>
      <c r="D4" s="106" t="s">
        <v>66</v>
      </c>
    </row>
    <row r="5" spans="1:9" x14ac:dyDescent="0.2">
      <c r="A5" s="113"/>
      <c r="B5" s="106"/>
      <c r="C5" s="106"/>
      <c r="D5" s="106"/>
    </row>
    <row r="6" spans="1:9" x14ac:dyDescent="0.2">
      <c r="A6" s="55"/>
      <c r="B6" s="74"/>
      <c r="C6" s="74"/>
      <c r="D6" s="75">
        <f>B6*C6</f>
        <v>0</v>
      </c>
    </row>
    <row r="7" spans="1:9" x14ac:dyDescent="0.2">
      <c r="A7" s="55"/>
      <c r="B7" s="74"/>
      <c r="C7" s="74"/>
      <c r="D7" s="75">
        <f>B7*C7</f>
        <v>0</v>
      </c>
    </row>
    <row r="8" spans="1:9" x14ac:dyDescent="0.2">
      <c r="A8" s="55"/>
      <c r="B8" s="74"/>
      <c r="C8" s="74"/>
      <c r="D8" s="75">
        <f t="shared" ref="D8:D15" si="0">B8*C8</f>
        <v>0</v>
      </c>
    </row>
    <row r="9" spans="1:9" x14ac:dyDescent="0.2">
      <c r="A9" s="55"/>
      <c r="B9" s="74"/>
      <c r="C9" s="74"/>
      <c r="D9" s="75">
        <f t="shared" si="0"/>
        <v>0</v>
      </c>
    </row>
    <row r="10" spans="1:9" x14ac:dyDescent="0.2">
      <c r="A10" s="55"/>
      <c r="B10" s="74"/>
      <c r="C10" s="74"/>
      <c r="D10" s="75">
        <f t="shared" si="0"/>
        <v>0</v>
      </c>
    </row>
    <row r="11" spans="1:9" x14ac:dyDescent="0.2">
      <c r="A11" s="55"/>
      <c r="B11" s="74"/>
      <c r="C11" s="74"/>
      <c r="D11" s="75">
        <f t="shared" si="0"/>
        <v>0</v>
      </c>
    </row>
    <row r="12" spans="1:9" x14ac:dyDescent="0.2">
      <c r="A12" s="55"/>
      <c r="B12" s="74"/>
      <c r="C12" s="74"/>
      <c r="D12" s="75">
        <f t="shared" si="0"/>
        <v>0</v>
      </c>
    </row>
    <row r="13" spans="1:9" x14ac:dyDescent="0.2">
      <c r="A13" s="55"/>
      <c r="B13" s="74"/>
      <c r="C13" s="74"/>
      <c r="D13" s="75">
        <f t="shared" si="0"/>
        <v>0</v>
      </c>
    </row>
    <row r="14" spans="1:9" x14ac:dyDescent="0.2">
      <c r="A14" s="55"/>
      <c r="B14" s="74"/>
      <c r="C14" s="74"/>
      <c r="D14" s="75">
        <f t="shared" si="0"/>
        <v>0</v>
      </c>
    </row>
    <row r="15" spans="1:9" x14ac:dyDescent="0.2">
      <c r="A15" s="55"/>
      <c r="B15" s="74"/>
      <c r="C15" s="74"/>
      <c r="D15" s="75">
        <f t="shared" si="0"/>
        <v>0</v>
      </c>
    </row>
    <row r="16" spans="1:9" x14ac:dyDescent="0.2">
      <c r="A16" s="70" t="s">
        <v>69</v>
      </c>
      <c r="B16" s="70"/>
      <c r="C16" s="70"/>
      <c r="D16" s="76">
        <f>SUM(D6:D15)</f>
        <v>0</v>
      </c>
    </row>
    <row r="17" spans="1:4" x14ac:dyDescent="0.2">
      <c r="A17" s="68"/>
      <c r="B17" s="68"/>
      <c r="C17" s="68"/>
      <c r="D17" s="69"/>
    </row>
    <row r="18" spans="1:4" x14ac:dyDescent="0.2">
      <c r="A18" s="113" t="s">
        <v>67</v>
      </c>
      <c r="B18" s="106" t="s">
        <v>28</v>
      </c>
      <c r="C18" s="106" t="s">
        <v>65</v>
      </c>
      <c r="D18" s="106" t="s">
        <v>66</v>
      </c>
    </row>
    <row r="19" spans="1:4" x14ac:dyDescent="0.2">
      <c r="A19" s="113"/>
      <c r="B19" s="106"/>
      <c r="C19" s="106"/>
      <c r="D19" s="106"/>
    </row>
    <row r="20" spans="1:4" x14ac:dyDescent="0.2">
      <c r="A20" s="73"/>
      <c r="B20" s="74"/>
      <c r="C20" s="74"/>
      <c r="D20" s="75">
        <f>(B20*C20)/100</f>
        <v>0</v>
      </c>
    </row>
    <row r="21" spans="1:4" x14ac:dyDescent="0.2">
      <c r="A21" s="73"/>
      <c r="B21" s="74"/>
      <c r="C21" s="74"/>
      <c r="D21" s="75">
        <f>(B21*C21)/100</f>
        <v>0</v>
      </c>
    </row>
    <row r="22" spans="1:4" x14ac:dyDescent="0.2">
      <c r="A22" s="73"/>
      <c r="B22" s="74"/>
      <c r="C22" s="74"/>
      <c r="D22" s="75">
        <f t="shared" ref="D22:D31" si="1">(B22*C22)/100</f>
        <v>0</v>
      </c>
    </row>
    <row r="23" spans="1:4" x14ac:dyDescent="0.2">
      <c r="A23" s="55"/>
      <c r="B23" s="74"/>
      <c r="C23" s="74"/>
      <c r="D23" s="75">
        <f t="shared" si="1"/>
        <v>0</v>
      </c>
    </row>
    <row r="24" spans="1:4" x14ac:dyDescent="0.2">
      <c r="A24" s="55"/>
      <c r="B24" s="74"/>
      <c r="C24" s="74"/>
      <c r="D24" s="75">
        <f t="shared" si="1"/>
        <v>0</v>
      </c>
    </row>
    <row r="25" spans="1:4" x14ac:dyDescent="0.2">
      <c r="A25" s="55"/>
      <c r="B25" s="74"/>
      <c r="C25" s="74"/>
      <c r="D25" s="75">
        <f t="shared" si="1"/>
        <v>0</v>
      </c>
    </row>
    <row r="26" spans="1:4" x14ac:dyDescent="0.2">
      <c r="A26" s="55"/>
      <c r="B26" s="74"/>
      <c r="C26" s="74"/>
      <c r="D26" s="75">
        <f t="shared" si="1"/>
        <v>0</v>
      </c>
    </row>
    <row r="27" spans="1:4" x14ac:dyDescent="0.2">
      <c r="A27" s="55"/>
      <c r="B27" s="74"/>
      <c r="C27" s="74"/>
      <c r="D27" s="75">
        <f t="shared" si="1"/>
        <v>0</v>
      </c>
    </row>
    <row r="28" spans="1:4" x14ac:dyDescent="0.2">
      <c r="A28" s="55"/>
      <c r="B28" s="74"/>
      <c r="C28" s="74"/>
      <c r="D28" s="75">
        <f t="shared" si="1"/>
        <v>0</v>
      </c>
    </row>
    <row r="29" spans="1:4" x14ac:dyDescent="0.2">
      <c r="A29" s="55"/>
      <c r="B29" s="74"/>
      <c r="C29" s="74"/>
      <c r="D29" s="75">
        <f t="shared" si="1"/>
        <v>0</v>
      </c>
    </row>
    <row r="30" spans="1:4" x14ac:dyDescent="0.2">
      <c r="A30" s="55"/>
      <c r="B30" s="74"/>
      <c r="C30" s="74"/>
      <c r="D30" s="75">
        <f t="shared" si="1"/>
        <v>0</v>
      </c>
    </row>
    <row r="31" spans="1:4" x14ac:dyDescent="0.2">
      <c r="A31" s="55"/>
      <c r="B31" s="74"/>
      <c r="C31" s="74"/>
      <c r="D31" s="75">
        <f t="shared" si="1"/>
        <v>0</v>
      </c>
    </row>
    <row r="32" spans="1:4" x14ac:dyDescent="0.2">
      <c r="A32" s="70" t="s">
        <v>69</v>
      </c>
      <c r="B32" s="70"/>
      <c r="C32" s="70"/>
      <c r="D32" s="76">
        <f>SUM(D20:D31)</f>
        <v>0</v>
      </c>
    </row>
    <row r="34" spans="1:7" x14ac:dyDescent="0.2">
      <c r="A34" s="113" t="s">
        <v>68</v>
      </c>
      <c r="B34" s="106" t="s">
        <v>28</v>
      </c>
      <c r="C34" s="106" t="s">
        <v>65</v>
      </c>
      <c r="D34" s="106" t="s">
        <v>66</v>
      </c>
    </row>
    <row r="35" spans="1:7" x14ac:dyDescent="0.2">
      <c r="A35" s="113"/>
      <c r="B35" s="106"/>
      <c r="C35" s="106"/>
      <c r="D35" s="106"/>
    </row>
    <row r="36" spans="1:7" x14ac:dyDescent="0.2">
      <c r="A36" s="73"/>
      <c r="B36" s="74"/>
      <c r="C36" s="74"/>
      <c r="D36" s="75">
        <f>(B36*C36)/1000</f>
        <v>0</v>
      </c>
      <c r="F36" s="1"/>
      <c r="G36" s="1"/>
    </row>
    <row r="37" spans="1:7" x14ac:dyDescent="0.2">
      <c r="A37" s="73"/>
      <c r="B37" s="74"/>
      <c r="C37" s="74"/>
      <c r="D37" s="75">
        <f>(B37*C37)/1000</f>
        <v>0</v>
      </c>
    </row>
    <row r="38" spans="1:7" x14ac:dyDescent="0.2">
      <c r="A38" s="55"/>
      <c r="B38" s="74"/>
      <c r="C38" s="74"/>
      <c r="D38" s="75">
        <f t="shared" ref="D38:D50" si="2">(B38*C38)/1000</f>
        <v>0</v>
      </c>
    </row>
    <row r="39" spans="1:7" x14ac:dyDescent="0.2">
      <c r="A39" s="55"/>
      <c r="B39" s="74"/>
      <c r="C39" s="74"/>
      <c r="D39" s="75">
        <f t="shared" si="2"/>
        <v>0</v>
      </c>
    </row>
    <row r="40" spans="1:7" x14ac:dyDescent="0.2">
      <c r="A40" s="55"/>
      <c r="B40" s="74"/>
      <c r="C40" s="74"/>
      <c r="D40" s="75">
        <f t="shared" si="2"/>
        <v>0</v>
      </c>
    </row>
    <row r="41" spans="1:7" x14ac:dyDescent="0.2">
      <c r="A41" s="55"/>
      <c r="B41" s="74"/>
      <c r="C41" s="74"/>
      <c r="D41" s="75">
        <f t="shared" si="2"/>
        <v>0</v>
      </c>
    </row>
    <row r="42" spans="1:7" x14ac:dyDescent="0.2">
      <c r="A42" s="55"/>
      <c r="B42" s="74"/>
      <c r="C42" s="74"/>
      <c r="D42" s="75">
        <f t="shared" si="2"/>
        <v>0</v>
      </c>
    </row>
    <row r="43" spans="1:7" x14ac:dyDescent="0.2">
      <c r="A43" s="55"/>
      <c r="B43" s="74"/>
      <c r="C43" s="74"/>
      <c r="D43" s="75">
        <f t="shared" si="2"/>
        <v>0</v>
      </c>
    </row>
    <row r="44" spans="1:7" x14ac:dyDescent="0.2">
      <c r="A44" s="55"/>
      <c r="B44" s="74"/>
      <c r="C44" s="74"/>
      <c r="D44" s="75">
        <f t="shared" si="2"/>
        <v>0</v>
      </c>
    </row>
    <row r="45" spans="1:7" x14ac:dyDescent="0.2">
      <c r="A45" s="55"/>
      <c r="B45" s="74"/>
      <c r="C45" s="74"/>
      <c r="D45" s="75">
        <f t="shared" si="2"/>
        <v>0</v>
      </c>
    </row>
    <row r="46" spans="1:7" x14ac:dyDescent="0.2">
      <c r="A46" s="55"/>
      <c r="B46" s="74"/>
      <c r="C46" s="74"/>
      <c r="D46" s="75">
        <f t="shared" si="2"/>
        <v>0</v>
      </c>
    </row>
    <row r="47" spans="1:7" x14ac:dyDescent="0.2">
      <c r="A47" s="55"/>
      <c r="B47" s="74"/>
      <c r="C47" s="74"/>
      <c r="D47" s="75">
        <f t="shared" si="2"/>
        <v>0</v>
      </c>
    </row>
    <row r="48" spans="1:7" x14ac:dyDescent="0.2">
      <c r="A48" s="55"/>
      <c r="B48" s="74"/>
      <c r="C48" s="74"/>
      <c r="D48" s="75">
        <f t="shared" si="2"/>
        <v>0</v>
      </c>
    </row>
    <row r="49" spans="1:4" x14ac:dyDescent="0.2">
      <c r="A49" s="55"/>
      <c r="B49" s="74"/>
      <c r="C49" s="74"/>
      <c r="D49" s="75">
        <f t="shared" si="2"/>
        <v>0</v>
      </c>
    </row>
    <row r="50" spans="1:4" x14ac:dyDescent="0.2">
      <c r="A50" s="55"/>
      <c r="B50" s="74"/>
      <c r="C50" s="74"/>
      <c r="D50" s="75">
        <f t="shared" si="2"/>
        <v>0</v>
      </c>
    </row>
    <row r="51" spans="1:4" x14ac:dyDescent="0.2">
      <c r="A51" s="70" t="s">
        <v>69</v>
      </c>
      <c r="B51" s="70"/>
      <c r="C51" s="70"/>
      <c r="D51" s="76">
        <f>SUM(D36:D50)</f>
        <v>0</v>
      </c>
    </row>
    <row r="52" spans="1:4" ht="13.5" thickBot="1" x14ac:dyDescent="0.25"/>
    <row r="53" spans="1:4" x14ac:dyDescent="0.2">
      <c r="A53" s="107" t="s">
        <v>70</v>
      </c>
      <c r="B53" s="108"/>
      <c r="C53" s="108"/>
      <c r="D53" s="77">
        <f>D51+D32+D16</f>
        <v>0</v>
      </c>
    </row>
    <row r="54" spans="1:4" x14ac:dyDescent="0.2">
      <c r="A54" s="109" t="s">
        <v>71</v>
      </c>
      <c r="B54" s="110"/>
      <c r="C54" s="110"/>
      <c r="D54" s="71">
        <v>8</v>
      </c>
    </row>
    <row r="55" spans="1:4" x14ac:dyDescent="0.2">
      <c r="A55" s="109" t="s">
        <v>74</v>
      </c>
      <c r="B55" s="110"/>
      <c r="C55" s="110"/>
      <c r="D55" s="71">
        <v>10</v>
      </c>
    </row>
    <row r="56" spans="1:4" ht="13.5" thickBot="1" x14ac:dyDescent="0.25">
      <c r="A56" s="111" t="s">
        <v>72</v>
      </c>
      <c r="B56" s="112"/>
      <c r="C56" s="112"/>
      <c r="D56" s="72">
        <f>D53/D54/D55</f>
        <v>0</v>
      </c>
    </row>
  </sheetData>
  <mergeCells count="18">
    <mergeCell ref="B18:B19"/>
    <mergeCell ref="C18:C19"/>
    <mergeCell ref="D18:D19"/>
    <mergeCell ref="A4:A5"/>
    <mergeCell ref="A18:A19"/>
    <mergeCell ref="F2:I2"/>
    <mergeCell ref="A1:D2"/>
    <mergeCell ref="B4:B5"/>
    <mergeCell ref="C4:C5"/>
    <mergeCell ref="D4:D5"/>
    <mergeCell ref="D34:D35"/>
    <mergeCell ref="A53:C53"/>
    <mergeCell ref="A54:C54"/>
    <mergeCell ref="A55:C55"/>
    <mergeCell ref="A56:C56"/>
    <mergeCell ref="A34:A35"/>
    <mergeCell ref="B34:B35"/>
    <mergeCell ref="C34:C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3 WEEK</vt:lpstr>
      <vt:lpstr>MATERIAL PLANNING</vt:lpstr>
      <vt:lpstr>EQUIP-TOOL PLANNING</vt:lpstr>
      <vt:lpstr>BACKUP PLAN</vt:lpstr>
      <vt:lpstr>LABOR CALCULATOR</vt:lpstr>
      <vt:lpstr>'3 WEEK'!Print_Area</vt:lpstr>
    </vt:vector>
  </TitlesOfParts>
  <Company>GSL Electric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Jensen</dc:creator>
  <cp:lastModifiedBy>Phil Capell</cp:lastModifiedBy>
  <cp:lastPrinted>2020-12-21T18:49:11Z</cp:lastPrinted>
  <dcterms:created xsi:type="dcterms:W3CDTF">1999-02-27T00:27:03Z</dcterms:created>
  <dcterms:modified xsi:type="dcterms:W3CDTF">2025-09-02T16:09:49Z</dcterms:modified>
</cp:coreProperties>
</file>