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wing\Desktop\Claude Projects\Appedix\"/>
    </mc:Choice>
  </mc:AlternateContent>
  <xr:revisionPtr revIDLastSave="0" documentId="13_ncr:1_{0E6A3EF6-3216-4CC8-9634-0A8A34BAFE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-Construction 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5" i="1" s="1"/>
  <c r="D26" i="1" s="1"/>
  <c r="D27" i="1" s="1"/>
  <c r="D28" i="1" s="1"/>
  <c r="D29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</calcChain>
</file>

<file path=xl/sharedStrings.xml><?xml version="1.0" encoding="utf-8"?>
<sst xmlns="http://schemas.openxmlformats.org/spreadsheetml/2006/main" count="208" uniqueCount="160">
  <si>
    <t>Table 4.1:  Checklist of Pre-Construction Planning Activities</t>
  </si>
  <si>
    <t>PRE-CONSTRUCTION PLANNING CHECKLIST</t>
  </si>
  <si>
    <t>ACT.</t>
  </si>
  <si>
    <t>COMPLETION
DATE</t>
  </si>
  <si>
    <t>ACTIVITY
CATEGORY</t>
  </si>
  <si>
    <t>ACT.
NO.</t>
  </si>
  <si>
    <t>ACTIVITY</t>
  </si>
  <si>
    <t>☐</t>
  </si>
  <si>
    <t>Team Selection
and Turnover</t>
  </si>
  <si>
    <t>1</t>
  </si>
  <si>
    <t>Finalize selection of project manager, field supervisor and other key team members.</t>
  </si>
  <si>
    <t>Project manager reviews plans, specifications, and schedule.</t>
  </si>
  <si>
    <t>Field supervisor reviews plans, specifications, and schedule.</t>
  </si>
  <si>
    <t>Compare estimated (bid) work activities and materials to planned performance.</t>
  </si>
  <si>
    <t>Identify value engineering and prefabrication opportunities and how to simplify the work.</t>
  </si>
  <si>
    <t>Prepare construction takeoff.</t>
  </si>
  <si>
    <t>Administrative
Setup</t>
  </si>
  <si>
    <t>Set up project files and create contact list.</t>
  </si>
  <si>
    <t>Set up computerized tracking and control system (forms, database, schedule, and tracking).</t>
  </si>
  <si>
    <t>Initiate a change management system.</t>
  </si>
  <si>
    <t>Initiate a submittal tracking and processing system.</t>
  </si>
  <si>
    <t>Develop a "Labor Requirements/Expectations" letter (for background check, etc.) (recommended).</t>
  </si>
  <si>
    <t>Buyout Process</t>
  </si>
  <si>
    <t>Price and/or review subcontractor/supplier/vendor prices and qualifications.</t>
  </si>
  <si>
    <t>Negotiate pricing and contract conditions, and select subcontractors/suppliers/vendors.</t>
  </si>
  <si>
    <t>Develop and issue purchase orders and contracts for materials and equipment.</t>
  </si>
  <si>
    <t>Order long-lead-time materials and equipment.</t>
  </si>
  <si>
    <t>Request submittals, cut sheets and shop drawings.</t>
  </si>
  <si>
    <t>Develop and process log and book of submittals, cut sheets and shop drawings.</t>
  </si>
  <si>
    <t>Material Handling
Plan</t>
  </si>
  <si>
    <t>Develop material delivery and handling plan.</t>
  </si>
  <si>
    <t>Develop material storage and staging plan.</t>
  </si>
  <si>
    <t>Budget Preparation</t>
  </si>
  <si>
    <t>Layout and
Sequencing Plan</t>
  </si>
  <si>
    <t>Develop prefabrication drawings for field use (when applicable).</t>
  </si>
  <si>
    <t>Review customer's schedule and timeline.</t>
  </si>
  <si>
    <t>Identify work that impacts electrical activities.</t>
  </si>
  <si>
    <t>Review the work sequence and long-lead-time material/equipment delivery dates.</t>
  </si>
  <si>
    <t>Coordinate electrical schedule with customer schedule (recommended).</t>
  </si>
  <si>
    <t>Customize the computerized tracking and control system (database/schedule/etc.) for the current project.</t>
  </si>
  <si>
    <t>Develop labor and materials tracking report.</t>
  </si>
  <si>
    <t>Construction
Execution Kickoff
Meeting</t>
  </si>
  <si>
    <t>Review meeting schedule.</t>
  </si>
  <si>
    <t>Review request for information (RFI) process.</t>
  </si>
  <si>
    <t>Review change order process and field change management process.</t>
  </si>
  <si>
    <t>Review submittal processing procedure.</t>
  </si>
  <si>
    <t>Review billing and invoicing procedures.</t>
  </si>
  <si>
    <t>Review project and field reporting and tracking procedures.</t>
  </si>
  <si>
    <t>Review electrical and customer schedules.</t>
  </si>
  <si>
    <t>Get from Julie</t>
  </si>
  <si>
    <t>Project Budget and Request a Job Number</t>
  </si>
  <si>
    <t>Missing SOP</t>
  </si>
  <si>
    <t>RFI Log in Pro Core</t>
  </si>
  <si>
    <t>Site_Visit_Checklist</t>
  </si>
  <si>
    <t>Pre Bid</t>
  </si>
  <si>
    <t>9.2.005 – Review Contract for High Risk Clauses</t>
  </si>
  <si>
    <t>Form?</t>
  </si>
  <si>
    <t>9.2.010 – Team Selection</t>
  </si>
  <si>
    <t>9.2.015 – Project Turnover Meeting</t>
  </si>
  <si>
    <t>9.2.040 – Project Manager Reviews Plans,  Specifications &amp; Schedule</t>
  </si>
  <si>
    <t>9.2.050 – Field Supervisor Reviews Plans,  Specifications &amp; Schedule</t>
  </si>
  <si>
    <t>9.2.070 – Conduct Site Visit</t>
  </si>
  <si>
    <t>Call Phi and or Troy</t>
  </si>
  <si>
    <t>Estimator review contractual considerations</t>
  </si>
  <si>
    <t>Hold turnover meeting between estimator and project manager, Branch Manager and Superintendent (Include field leadership if available)</t>
  </si>
  <si>
    <t>Set Up Job in Procore</t>
  </si>
  <si>
    <t xml:space="preserve">Administrative Setup / Job Folder  </t>
  </si>
  <si>
    <t>Smartsheets ?</t>
  </si>
  <si>
    <t>Procure Feeders</t>
  </si>
  <si>
    <t>9.2.020 –  Procurement of Large Feeder Wire</t>
  </si>
  <si>
    <t>Prepare and Submit Long Lead Submittals</t>
  </si>
  <si>
    <t>Time Sensitive  Issues</t>
  </si>
  <si>
    <t>PM Review exicuted contract, Contract summay, and create a Contract Hot sheet for Field Leadership</t>
  </si>
  <si>
    <t>9.2.055 – Compare Estimated vs Planned Performance</t>
  </si>
  <si>
    <t>9.2.057 – Identify Value Engineering &amp; Prefabrication Opportunities</t>
  </si>
  <si>
    <t>Create List of Issues &amp; Continue the  RFI Process (From Estimating)</t>
  </si>
  <si>
    <t>Compare Estimated Budget vs Proposed Revised  Budget / Submit Revised Budget for Approval</t>
  </si>
  <si>
    <t>Conduct site visit</t>
  </si>
  <si>
    <t xml:space="preserve">Business Manager Pre-Bid contract review for unfavorable or high risk clauses </t>
  </si>
  <si>
    <t>Branch and Business Managers Negociate Final contract &amp; Create a Contract Summry</t>
  </si>
  <si>
    <t>Branch Manager  Review Estimated Scope vs.Preposed Contract</t>
  </si>
  <si>
    <t>Scope and Contract Review</t>
  </si>
  <si>
    <t>Create Job Plan</t>
  </si>
  <si>
    <t>Planning and Scheduling</t>
  </si>
  <si>
    <t>Create Three week Look-Ahead Schedule</t>
  </si>
  <si>
    <t>Estimator To Create a Quick Start Plan (Recommended)</t>
  </si>
  <si>
    <t>Create a Projected Manpower Schedule</t>
  </si>
  <si>
    <t>Create Schedule of Values</t>
  </si>
  <si>
    <t>Field Document Control Setup</t>
  </si>
  <si>
    <t>9.4.190 – Document Filing Standards</t>
  </si>
  <si>
    <t>9.4.200 – Manage Submittals</t>
  </si>
  <si>
    <t>9.4.215 – Manage Daily Reports</t>
  </si>
  <si>
    <t>9.4.220 – Manage Drawing Logs</t>
  </si>
  <si>
    <t>9.4.240 – Manage Inspection Reports</t>
  </si>
  <si>
    <t>Document Type</t>
  </si>
  <si>
    <t>Code</t>
  </si>
  <si>
    <t>Request For Information</t>
  </si>
  <si>
    <t>RFI</t>
  </si>
  <si>
    <t>Submittal</t>
  </si>
  <si>
    <t>SUBM</t>
  </si>
  <si>
    <t>Change Order</t>
  </si>
  <si>
    <t>CO</t>
  </si>
  <si>
    <t>Potential Change Order</t>
  </si>
  <si>
    <t>PCO</t>
  </si>
  <si>
    <t>Purchase Order</t>
  </si>
  <si>
    <t>PO</t>
  </si>
  <si>
    <t>Letter of Intent</t>
  </si>
  <si>
    <t>LOI</t>
  </si>
  <si>
    <t>Meeting Minutes</t>
  </si>
  <si>
    <t>MIN</t>
  </si>
  <si>
    <t>Weekly Status Report</t>
  </si>
  <si>
    <t>WSR</t>
  </si>
  <si>
    <t>Daily Report</t>
  </si>
  <si>
    <t>DR</t>
  </si>
  <si>
    <t>Transmittal</t>
  </si>
  <si>
    <t>TRANS</t>
  </si>
  <si>
    <t>Contract</t>
  </si>
  <si>
    <t>CNTR</t>
  </si>
  <si>
    <t>Invoice</t>
  </si>
  <si>
    <t>INV</t>
  </si>
  <si>
    <t>Quote</t>
  </si>
  <si>
    <t>QUOTE</t>
  </si>
  <si>
    <t>Job Hazard Analysis</t>
  </si>
  <si>
    <t>JHA</t>
  </si>
  <si>
    <t>Safety Data Sheet</t>
  </si>
  <si>
    <t>SDS</t>
  </si>
  <si>
    <t>Nonconformance Report</t>
  </si>
  <si>
    <t>NCR</t>
  </si>
  <si>
    <t>Commissioning</t>
  </si>
  <si>
    <t>CX</t>
  </si>
  <si>
    <t>O&amp;M Manuals</t>
  </si>
  <si>
    <t>OM</t>
  </si>
  <si>
    <t>Time &amp; Material</t>
  </si>
  <si>
    <t>TM</t>
  </si>
  <si>
    <t>04-SUBMITTALS</t>
  </si>
  <si>
    <t>02-DRAWINGS &amp; SPECS</t>
  </si>
  <si>
    <t>06-Daily Reports</t>
  </si>
  <si>
    <t>Week Status Update Letter</t>
  </si>
  <si>
    <t>01-BILLING/ Progress</t>
  </si>
  <si>
    <t>Create Job Site  ORG CHART</t>
  </si>
  <si>
    <t>9.2.060 – Create List of Issues &amp; Begin RFI Process; 9.4.205 – Manage RFIs (Requests for Information)</t>
  </si>
  <si>
    <t>9.4.230 – Manage Correspondence; 9.4.270 – Manage Project Communications; 9.4.275 – Manage Internal Communications; 9.4.280 – Manage External Communications</t>
  </si>
  <si>
    <t>9.4.285 – Manage Client/Owner Communications; 9.4.300 – Manage Architect/Engineer Communications; 9.4.305 – Manage Regulatory/Authority Communications; 9.4.310 – Manage General Contractor Communications</t>
  </si>
  <si>
    <t>9.4.290 – Manage Subcontractor Communications; 9.4.295 – Manage Vendor Supplier Communications</t>
  </si>
  <si>
    <t>03-Purchace Orders / Ordering &amp; Tracking Materials</t>
  </si>
  <si>
    <t xml:space="preserve"> Manage Project Communications</t>
  </si>
  <si>
    <t>Manage Communication with Owners Team</t>
  </si>
  <si>
    <t xml:space="preserve">Manage Inspection </t>
  </si>
  <si>
    <t>Manage Subcontractor and Vendor Communications</t>
  </si>
  <si>
    <t xml:space="preserve">02-CHANGE ORDERS </t>
  </si>
  <si>
    <t>Job# Request Form</t>
  </si>
  <si>
    <t>Need GSLs Agenda (Smartsheets)</t>
  </si>
  <si>
    <t>Develop installation sequence and layout drawings, including panel, pull or conduit schedules.</t>
  </si>
  <si>
    <t>Team Selection and Turnover Meeting</t>
  </si>
  <si>
    <t>Administrative  Set Up</t>
  </si>
  <si>
    <t>Layout and Sequencing Plan</t>
  </si>
  <si>
    <t>Schedule Development</t>
  </si>
  <si>
    <t>Material Handling Plan</t>
  </si>
  <si>
    <t>Tracking and Control</t>
  </si>
  <si>
    <t>Construction Execution Kickoff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</si>
</sst>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trike/>
      <sz val="12"/>
      <name val="Arial"/>
      <family val="2"/>
    </font>
    <font>
      <strike/>
      <sz val="11"/>
      <color theme="1"/>
      <name val="Calibri"/>
      <family val="2"/>
      <scheme val="minor"/>
    </font>
    <font>
      <strike/>
      <sz val="9"/>
      <name val="Arial"/>
      <family val="2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1E4E8C"/>
      </patternFill>
    </fill>
    <fill>
      <patternFill patternType="solid">
        <fgColor rgb="FFD9D9D9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8" fillId="0" borderId="0" xfId="0" applyFont="1"/>
    <xf numFmtId="0" fontId="0" fillId="4" borderId="0" xfId="0" applyFill="1"/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3" fillId="3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0" xfId="0" applyFont="1"/>
    <xf numFmtId="0" fontId="0" fillId="0" borderId="1" xfId="0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top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6" borderId="4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/>
    <xf numFmtId="0" fontId="0" fillId="6" borderId="3" xfId="0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1" fillId="0" borderId="0" xfId="0" applyFont="1"/>
    <xf numFmtId="0" fontId="5" fillId="0" borderId="3" xfId="0" applyFont="1" applyBorder="1" applyAlignment="1">
      <alignment horizontal="left" vertical="top" wrapText="1"/>
    </xf>
    <xf numFmtId="0" fontId="0" fillId="0" borderId="9" xfId="0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0" xfId="0" applyBorder="1"/>
    <xf numFmtId="0" fontId="5" fillId="8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Fill="1"/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0" xfId="0" applyFill="1" applyAlignment="1">
      <alignment wrapText="1"/>
    </xf>
    <xf numFmtId="0" fontId="11" fillId="0" borderId="0" xfId="0" applyFont="1" applyAlignment="1">
      <alignment wrapText="1"/>
    </xf>
    <xf numFmtId="0" fontId="8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8" fillId="0" borderId="11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2" xfId="0" applyBorder="1" applyAlignment="1">
      <alignment wrapText="1"/>
    </xf>
    <xf numFmtId="0" fontId="8" fillId="0" borderId="0" xfId="0" applyFont="1" applyBorder="1" applyAlignment="1">
      <alignment wrapText="1"/>
    </xf>
    <xf numFmtId="0" fontId="8" fillId="0" borderId="0" xfId="0" applyFont="1" applyAlignment="1">
      <alignment wrapText="1"/>
    </xf>
    <xf numFmtId="0" fontId="0" fillId="0" borderId="0" xfId="0" applyFill="1" applyBorder="1"/>
    <xf numFmtId="0" fontId="0" fillId="0" borderId="10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1" fillId="0" borderId="0" xfId="0" applyFont="1" applyBorder="1"/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6"/>
  <sheetViews>
    <sheetView tabSelected="1" zoomScale="85" zoomScaleNormal="85" workbookViewId="0">
      <selection sqref="A1:XFD1048576"/>
    </sheetView>
  </sheetViews>
  <sheetFormatPr defaultRowHeight="15"/>
  <cols>
    <col min="1" max="1" width="6.85546875" customWidth="1"/>
    <col min="2" max="2" width="13" customWidth="1"/>
    <col min="3" max="3" width="18" customWidth="1"/>
    <col min="4" max="4" width="6" style="42" customWidth="1"/>
    <col min="5" max="5" width="72.85546875" customWidth="1"/>
    <col min="7" max="7" width="65.7109375" customWidth="1"/>
    <col min="8" max="8" width="47.5703125" customWidth="1"/>
    <col min="9" max="9" width="18" customWidth="1"/>
    <col min="10" max="18" width="15.28515625" style="61" customWidth="1"/>
    <col min="19" max="19" width="9.140625" style="61"/>
  </cols>
  <sheetData>
    <row r="1" spans="1:19" ht="18" customHeight="1">
      <c r="A1" s="6" t="s">
        <v>0</v>
      </c>
      <c r="B1" s="7"/>
      <c r="C1" s="7"/>
      <c r="D1" s="7"/>
      <c r="E1" s="7"/>
      <c r="I1" s="57"/>
      <c r="J1" s="69"/>
      <c r="K1" s="69"/>
      <c r="L1" s="69"/>
      <c r="M1" s="69"/>
      <c r="N1" s="69"/>
      <c r="O1" s="69"/>
      <c r="P1" s="69"/>
      <c r="Q1" s="69"/>
      <c r="R1" s="69"/>
    </row>
    <row r="2" spans="1:19" ht="20.100000000000001" customHeight="1" thickBot="1">
      <c r="A2" s="11" t="s">
        <v>1</v>
      </c>
      <c r="B2" s="7"/>
      <c r="C2" s="7"/>
      <c r="D2" s="7"/>
      <c r="E2" s="7"/>
      <c r="I2" s="57"/>
      <c r="J2" s="85"/>
      <c r="K2" s="85"/>
      <c r="L2" s="85"/>
      <c r="M2" s="85"/>
      <c r="N2" s="85"/>
      <c r="O2" s="85"/>
      <c r="P2" s="85"/>
      <c r="Q2" s="85"/>
      <c r="R2" s="85"/>
    </row>
    <row r="3" spans="1:19" ht="27.95" customHeight="1">
      <c r="A3" s="1" t="s">
        <v>2</v>
      </c>
      <c r="B3" s="1" t="s">
        <v>3</v>
      </c>
      <c r="C3" s="1" t="s">
        <v>4</v>
      </c>
      <c r="D3" s="1" t="s">
        <v>5</v>
      </c>
      <c r="E3" s="20" t="s">
        <v>6</v>
      </c>
      <c r="I3" s="57"/>
      <c r="J3" s="85"/>
      <c r="K3" s="85"/>
      <c r="L3" s="85"/>
      <c r="M3" s="75" t="s">
        <v>54</v>
      </c>
      <c r="N3" s="76"/>
      <c r="O3" s="85"/>
      <c r="P3" s="85"/>
      <c r="Q3" s="85"/>
      <c r="R3" s="85"/>
    </row>
    <row r="4" spans="1:19" ht="27.95" customHeight="1" thickBot="1">
      <c r="A4" s="24"/>
      <c r="B4" s="24"/>
      <c r="C4" s="39" t="s">
        <v>54</v>
      </c>
      <c r="D4" s="35"/>
      <c r="E4" s="36" t="s">
        <v>15</v>
      </c>
      <c r="I4" s="57"/>
      <c r="J4" s="85"/>
      <c r="K4" s="85"/>
      <c r="L4" s="85"/>
      <c r="M4" s="77"/>
      <c r="N4" s="78"/>
      <c r="O4" s="85"/>
      <c r="P4" s="85"/>
      <c r="Q4" s="85"/>
      <c r="R4" s="85"/>
    </row>
    <row r="5" spans="1:19" ht="27.95" customHeight="1" thickBot="1">
      <c r="A5" s="24"/>
      <c r="B5" s="24"/>
      <c r="C5" s="40"/>
      <c r="D5" s="24"/>
      <c r="E5" s="25" t="s">
        <v>63</v>
      </c>
      <c r="G5" s="22" t="s">
        <v>62</v>
      </c>
      <c r="I5" s="57"/>
      <c r="J5" s="85"/>
      <c r="K5" s="85"/>
      <c r="L5" s="85"/>
      <c r="M5" s="85"/>
      <c r="N5" s="84"/>
      <c r="O5" s="85"/>
      <c r="P5" s="85"/>
      <c r="Q5" s="85"/>
      <c r="R5" s="85"/>
    </row>
    <row r="6" spans="1:19" ht="27.95" customHeight="1" thickBot="1">
      <c r="A6" s="24"/>
      <c r="B6" s="24"/>
      <c r="C6" s="40"/>
      <c r="D6" s="24"/>
      <c r="E6" s="26" t="s">
        <v>78</v>
      </c>
      <c r="G6" t="s">
        <v>55</v>
      </c>
      <c r="H6" t="s">
        <v>56</v>
      </c>
      <c r="I6" s="57"/>
      <c r="J6" s="75" t="s">
        <v>154</v>
      </c>
      <c r="K6" s="76"/>
      <c r="L6" s="79"/>
      <c r="M6" s="75" t="s">
        <v>153</v>
      </c>
      <c r="N6" s="76"/>
      <c r="O6" s="85"/>
      <c r="P6" s="85"/>
      <c r="Q6" s="85"/>
      <c r="R6" s="85"/>
    </row>
    <row r="7" spans="1:19" ht="27.95" customHeight="1" thickBot="1">
      <c r="A7" s="24"/>
      <c r="B7" s="24"/>
      <c r="C7" s="46"/>
      <c r="D7" s="24"/>
      <c r="E7" s="26" t="s">
        <v>85</v>
      </c>
      <c r="I7" s="57"/>
      <c r="J7" s="77"/>
      <c r="K7" s="78"/>
      <c r="L7" s="85"/>
      <c r="M7" s="77"/>
      <c r="N7" s="78"/>
      <c r="O7" s="85"/>
      <c r="P7" s="85"/>
      <c r="Q7" s="85"/>
      <c r="R7" s="85"/>
    </row>
    <row r="8" spans="1:19" ht="32.1" customHeight="1" thickBot="1">
      <c r="A8" s="2" t="s">
        <v>7</v>
      </c>
      <c r="B8" s="3"/>
      <c r="C8" s="37" t="s">
        <v>8</v>
      </c>
      <c r="D8" s="4" t="s">
        <v>9</v>
      </c>
      <c r="E8" s="5" t="s">
        <v>10</v>
      </c>
      <c r="G8" t="s">
        <v>57</v>
      </c>
      <c r="I8" s="57"/>
      <c r="J8" s="85"/>
      <c r="K8" s="85"/>
      <c r="L8" s="85"/>
      <c r="M8" s="85"/>
      <c r="N8" s="84"/>
      <c r="O8" s="85"/>
      <c r="P8" s="85"/>
      <c r="Q8" s="85"/>
      <c r="R8" s="85"/>
    </row>
    <row r="9" spans="1:19" ht="32.1" customHeight="1" thickBot="1">
      <c r="A9" s="2"/>
      <c r="B9" s="3"/>
      <c r="C9" s="38"/>
      <c r="D9" s="4">
        <f>D8+1</f>
        <v>2</v>
      </c>
      <c r="E9" s="5" t="s">
        <v>50</v>
      </c>
      <c r="G9" t="s">
        <v>51</v>
      </c>
      <c r="H9" t="s">
        <v>150</v>
      </c>
      <c r="I9" s="57"/>
      <c r="J9" s="80" t="s">
        <v>155</v>
      </c>
      <c r="K9" s="76"/>
      <c r="L9" s="81"/>
      <c r="M9" s="75" t="s">
        <v>81</v>
      </c>
      <c r="N9" s="76"/>
      <c r="O9" s="81"/>
      <c r="P9" s="75" t="s">
        <v>71</v>
      </c>
      <c r="Q9" s="76"/>
      <c r="R9" s="85"/>
    </row>
    <row r="10" spans="1:19" ht="32.1" customHeight="1" thickBot="1">
      <c r="A10" s="2"/>
      <c r="B10" s="3"/>
      <c r="C10" s="38"/>
      <c r="D10" s="4">
        <f t="shared" ref="D10:D22" si="0">D9+1</f>
        <v>3</v>
      </c>
      <c r="E10" s="5" t="s">
        <v>80</v>
      </c>
      <c r="I10" s="57"/>
      <c r="J10" s="77"/>
      <c r="K10" s="78"/>
      <c r="L10" s="82"/>
      <c r="M10" s="77"/>
      <c r="N10" s="78"/>
      <c r="O10" s="85"/>
      <c r="P10" s="77"/>
      <c r="Q10" s="78"/>
      <c r="R10" s="85"/>
    </row>
    <row r="11" spans="1:19" ht="32.1" customHeight="1" thickBot="1">
      <c r="A11" s="2"/>
      <c r="B11" s="3"/>
      <c r="C11" s="38"/>
      <c r="D11" s="4">
        <f t="shared" si="0"/>
        <v>4</v>
      </c>
      <c r="E11" s="5" t="s">
        <v>79</v>
      </c>
      <c r="G11" t="s">
        <v>55</v>
      </c>
      <c r="H11" t="s">
        <v>49</v>
      </c>
      <c r="I11" s="57"/>
      <c r="J11" s="85"/>
      <c r="K11" s="83"/>
      <c r="L11" s="85"/>
      <c r="M11" s="85"/>
      <c r="N11" s="84"/>
      <c r="O11" s="85"/>
      <c r="P11" s="85"/>
      <c r="Q11" s="85"/>
      <c r="R11" s="85"/>
    </row>
    <row r="12" spans="1:19" ht="32.1" customHeight="1" thickBot="1">
      <c r="A12" s="2" t="s">
        <v>7</v>
      </c>
      <c r="B12" s="3"/>
      <c r="C12" s="30"/>
      <c r="D12" s="4">
        <f t="shared" si="0"/>
        <v>5</v>
      </c>
      <c r="E12" s="47" t="s">
        <v>64</v>
      </c>
      <c r="G12" s="15" t="s">
        <v>58</v>
      </c>
      <c r="H12" s="15" t="s">
        <v>151</v>
      </c>
      <c r="I12" s="57" t="s">
        <v>67</v>
      </c>
      <c r="J12" s="80" t="s">
        <v>157</v>
      </c>
      <c r="K12" s="76"/>
      <c r="L12" s="85"/>
      <c r="M12" s="85"/>
      <c r="N12" s="86"/>
      <c r="O12" s="81"/>
      <c r="P12" s="80" t="s">
        <v>22</v>
      </c>
      <c r="Q12" s="76"/>
      <c r="R12" s="85"/>
    </row>
    <row r="13" spans="1:19" s="19" customFormat="1" ht="32.1" customHeight="1" thickBot="1">
      <c r="A13" s="16" t="s">
        <v>7</v>
      </c>
      <c r="B13" s="17"/>
      <c r="C13" s="29"/>
      <c r="D13" s="4">
        <f t="shared" si="0"/>
        <v>6</v>
      </c>
      <c r="E13" s="45"/>
      <c r="I13" s="73"/>
      <c r="J13" s="77"/>
      <c r="K13" s="78"/>
      <c r="L13" s="89"/>
      <c r="M13" s="88"/>
      <c r="N13" s="87"/>
      <c r="O13" s="88"/>
      <c r="P13" s="77"/>
      <c r="Q13" s="78"/>
      <c r="R13" s="88"/>
      <c r="S13" s="63"/>
    </row>
    <row r="14" spans="1:19" s="19" customFormat="1" ht="32.1" customHeight="1" thickBot="1">
      <c r="A14" s="16" t="s">
        <v>7</v>
      </c>
      <c r="B14" s="17"/>
      <c r="C14" s="30"/>
      <c r="D14" s="4">
        <f t="shared" si="0"/>
        <v>7</v>
      </c>
      <c r="E14" s="45"/>
      <c r="I14" s="73"/>
      <c r="J14" s="88"/>
      <c r="K14" s="89"/>
      <c r="L14" s="89"/>
      <c r="M14" s="89"/>
      <c r="N14" s="83"/>
      <c r="O14" s="89"/>
      <c r="P14" s="89"/>
      <c r="Q14" s="88"/>
      <c r="R14" s="88"/>
      <c r="S14" s="63"/>
    </row>
    <row r="15" spans="1:19" ht="32.1" customHeight="1" thickBot="1">
      <c r="A15" s="2"/>
      <c r="B15" s="3"/>
      <c r="C15" s="31" t="s">
        <v>71</v>
      </c>
      <c r="D15" s="4">
        <f t="shared" si="0"/>
        <v>8</v>
      </c>
      <c r="E15" s="18" t="s">
        <v>70</v>
      </c>
      <c r="I15" s="57"/>
      <c r="J15" s="80" t="s">
        <v>156</v>
      </c>
      <c r="K15" s="76"/>
      <c r="L15" s="86"/>
      <c r="M15" s="74"/>
      <c r="N15" s="86"/>
      <c r="O15" s="81"/>
      <c r="P15" s="80" t="s">
        <v>32</v>
      </c>
      <c r="Q15" s="76"/>
      <c r="R15" s="85"/>
    </row>
    <row r="16" spans="1:19" ht="32.1" customHeight="1" thickBot="1">
      <c r="A16" s="2"/>
      <c r="B16" s="3"/>
      <c r="C16" s="34"/>
      <c r="D16" s="4">
        <f t="shared" si="0"/>
        <v>9</v>
      </c>
      <c r="E16" s="28" t="s">
        <v>68</v>
      </c>
      <c r="G16" s="14" t="s">
        <v>69</v>
      </c>
      <c r="I16" s="57"/>
      <c r="J16" s="77"/>
      <c r="K16" s="78"/>
      <c r="L16" s="85"/>
      <c r="M16" s="69"/>
      <c r="N16" s="69"/>
      <c r="O16" s="85"/>
      <c r="P16" s="77"/>
      <c r="Q16" s="78"/>
      <c r="R16" s="85"/>
    </row>
    <row r="17" spans="1:19" ht="32.1" customHeight="1" thickBot="1">
      <c r="A17" s="2"/>
      <c r="B17" s="3"/>
      <c r="C17" s="32"/>
      <c r="D17" s="4">
        <f t="shared" si="0"/>
        <v>10</v>
      </c>
      <c r="E17" s="5" t="s">
        <v>26</v>
      </c>
      <c r="I17" s="57"/>
      <c r="J17" s="85"/>
      <c r="K17" s="83"/>
      <c r="L17" s="85"/>
      <c r="M17" s="69"/>
      <c r="N17" s="69"/>
      <c r="O17" s="85"/>
      <c r="P17" s="85"/>
      <c r="Q17" s="84"/>
      <c r="R17" s="85"/>
    </row>
    <row r="18" spans="1:19" ht="32.1" customHeight="1" thickBot="1">
      <c r="A18" s="2" t="s">
        <v>7</v>
      </c>
      <c r="B18" s="3"/>
      <c r="C18" s="37" t="s">
        <v>16</v>
      </c>
      <c r="D18" s="4">
        <f t="shared" si="0"/>
        <v>11</v>
      </c>
      <c r="E18" s="18" t="s">
        <v>66</v>
      </c>
      <c r="F18" s="19"/>
      <c r="G18" t="s">
        <v>51</v>
      </c>
      <c r="I18" s="57"/>
      <c r="J18" s="85"/>
      <c r="K18" s="86"/>
      <c r="L18" s="81"/>
      <c r="M18" s="80" t="s">
        <v>158</v>
      </c>
      <c r="N18" s="76"/>
      <c r="O18" s="86"/>
      <c r="P18" s="81"/>
      <c r="Q18" s="84"/>
      <c r="R18" s="85"/>
    </row>
    <row r="19" spans="1:19" s="51" customFormat="1" ht="32.1" customHeight="1" thickBot="1">
      <c r="A19" s="48"/>
      <c r="B19" s="49"/>
      <c r="C19" s="41"/>
      <c r="D19" s="59">
        <f t="shared" si="0"/>
        <v>12</v>
      </c>
      <c r="E19" s="50" t="s">
        <v>18</v>
      </c>
      <c r="F19" s="60"/>
      <c r="I19" s="90"/>
      <c r="J19" s="91"/>
      <c r="K19" s="91"/>
      <c r="L19" s="91"/>
      <c r="M19" s="77"/>
      <c r="N19" s="78"/>
      <c r="O19" s="92"/>
      <c r="P19" s="91"/>
      <c r="Q19" s="91"/>
      <c r="R19" s="91"/>
      <c r="S19" s="64"/>
    </row>
    <row r="20" spans="1:19" ht="32.1" customHeight="1" thickBot="1">
      <c r="A20" s="2"/>
      <c r="B20" s="3"/>
      <c r="C20" s="41"/>
      <c r="D20" s="4">
        <f t="shared" si="0"/>
        <v>13</v>
      </c>
      <c r="E20" s="12" t="s">
        <v>65</v>
      </c>
      <c r="F20" s="19"/>
      <c r="G20" t="s">
        <v>51</v>
      </c>
      <c r="I20" s="57"/>
      <c r="J20" s="85"/>
      <c r="K20" s="85"/>
      <c r="L20" s="85"/>
      <c r="M20" s="85"/>
      <c r="N20" s="84"/>
      <c r="O20" s="85"/>
      <c r="P20" s="85"/>
      <c r="Q20" s="85"/>
      <c r="R20" s="85"/>
    </row>
    <row r="21" spans="1:19" ht="32.1" customHeight="1">
      <c r="A21" s="2"/>
      <c r="B21" s="3"/>
      <c r="C21" s="37" t="s">
        <v>81</v>
      </c>
      <c r="D21" s="4">
        <f t="shared" si="0"/>
        <v>14</v>
      </c>
      <c r="E21" s="5" t="s">
        <v>72</v>
      </c>
      <c r="G21" t="s">
        <v>51</v>
      </c>
      <c r="I21" s="57"/>
      <c r="J21" s="69"/>
      <c r="K21" s="69"/>
      <c r="L21" s="69"/>
      <c r="M21" s="80" t="s">
        <v>159</v>
      </c>
      <c r="N21" s="76"/>
      <c r="O21" s="69"/>
      <c r="P21" s="69"/>
      <c r="Q21" s="69"/>
      <c r="R21" s="69"/>
    </row>
    <row r="22" spans="1:19" ht="32.1" customHeight="1" thickBot="1">
      <c r="A22" s="2" t="s">
        <v>7</v>
      </c>
      <c r="B22" s="3"/>
      <c r="C22" s="38"/>
      <c r="D22" s="4">
        <f t="shared" si="0"/>
        <v>15</v>
      </c>
      <c r="E22" s="5" t="s">
        <v>77</v>
      </c>
      <c r="G22" s="14" t="s">
        <v>61</v>
      </c>
      <c r="H22" t="s">
        <v>53</v>
      </c>
      <c r="I22" s="57"/>
      <c r="J22" s="69"/>
      <c r="K22" s="69"/>
      <c r="L22" s="69"/>
      <c r="M22" s="77"/>
      <c r="N22" s="78"/>
      <c r="O22" s="69"/>
      <c r="P22" s="69"/>
      <c r="Q22" s="69"/>
      <c r="R22" s="69"/>
    </row>
    <row r="23" spans="1:19" ht="32.1" customHeight="1" thickBot="1">
      <c r="A23" s="2" t="s">
        <v>7</v>
      </c>
      <c r="B23" s="3"/>
      <c r="C23" s="38"/>
      <c r="D23" s="44">
        <f>D22+1</f>
        <v>16</v>
      </c>
      <c r="E23" s="58" t="s">
        <v>11</v>
      </c>
      <c r="G23" s="14" t="s">
        <v>59</v>
      </c>
      <c r="I23" s="53"/>
      <c r="J23" s="62"/>
      <c r="K23" s="62"/>
      <c r="L23" s="62"/>
      <c r="M23" s="62"/>
      <c r="N23" s="62"/>
      <c r="O23" s="62"/>
      <c r="P23" s="62"/>
      <c r="Q23" s="62"/>
      <c r="R23" s="62"/>
    </row>
    <row r="24" spans="1:19" ht="32.1" customHeight="1">
      <c r="A24" s="2"/>
      <c r="B24" s="3"/>
      <c r="C24" s="38"/>
      <c r="D24" s="44"/>
      <c r="E24" s="58" t="s">
        <v>12</v>
      </c>
      <c r="G24" s="14" t="s">
        <v>60</v>
      </c>
    </row>
    <row r="25" spans="1:19" ht="32.1" customHeight="1">
      <c r="A25" s="2"/>
      <c r="B25" s="3"/>
      <c r="C25" s="38"/>
      <c r="D25" s="43">
        <f>D23+1</f>
        <v>17</v>
      </c>
      <c r="E25" s="5" t="s">
        <v>14</v>
      </c>
      <c r="G25" s="14" t="s">
        <v>74</v>
      </c>
    </row>
    <row r="26" spans="1:19" ht="32.1" customHeight="1">
      <c r="A26" s="2"/>
      <c r="B26" s="3"/>
      <c r="C26" s="8" t="s">
        <v>32</v>
      </c>
      <c r="D26" s="43">
        <f>D25+1</f>
        <v>18</v>
      </c>
      <c r="E26" s="5" t="s">
        <v>13</v>
      </c>
      <c r="G26" s="14" t="s">
        <v>73</v>
      </c>
    </row>
    <row r="27" spans="1:19" ht="32.1" customHeight="1">
      <c r="A27" s="2"/>
      <c r="B27" s="3"/>
      <c r="C27" s="9"/>
      <c r="D27" s="43">
        <f t="shared" ref="D27:D76" si="1">D26+1</f>
        <v>19</v>
      </c>
      <c r="E27" s="5" t="s">
        <v>76</v>
      </c>
      <c r="G27" s="14" t="s">
        <v>51</v>
      </c>
      <c r="H27" t="s">
        <v>150</v>
      </c>
    </row>
    <row r="28" spans="1:19" ht="32.1" customHeight="1">
      <c r="A28" s="2"/>
      <c r="B28" s="3"/>
      <c r="C28" s="10"/>
      <c r="D28" s="43">
        <f t="shared" si="1"/>
        <v>20</v>
      </c>
      <c r="E28" s="5" t="s">
        <v>87</v>
      </c>
      <c r="G28" s="14" t="s">
        <v>51</v>
      </c>
    </row>
    <row r="29" spans="1:19" ht="32.1" customHeight="1">
      <c r="A29" s="2" t="s">
        <v>7</v>
      </c>
      <c r="B29" s="3"/>
      <c r="C29" s="8" t="s">
        <v>33</v>
      </c>
      <c r="D29" s="43">
        <f t="shared" si="1"/>
        <v>21</v>
      </c>
      <c r="E29" s="58" t="s">
        <v>152</v>
      </c>
    </row>
    <row r="30" spans="1:19" ht="32.1" customHeight="1">
      <c r="A30" s="2"/>
      <c r="B30" s="3"/>
      <c r="C30" s="52"/>
      <c r="D30" s="43"/>
      <c r="E30" s="36" t="s">
        <v>37</v>
      </c>
    </row>
    <row r="31" spans="1:19" ht="32.1" customHeight="1">
      <c r="A31" s="2"/>
      <c r="B31" s="3"/>
      <c r="C31" s="52"/>
      <c r="D31" s="43"/>
      <c r="E31" s="36"/>
    </row>
    <row r="32" spans="1:19" ht="32.1" customHeight="1">
      <c r="A32" s="2" t="s">
        <v>7</v>
      </c>
      <c r="B32" s="3"/>
      <c r="C32" s="10"/>
      <c r="D32" s="43">
        <f>D29+1</f>
        <v>22</v>
      </c>
      <c r="E32" s="5" t="s">
        <v>34</v>
      </c>
    </row>
    <row r="33" spans="1:15" ht="32.1" customHeight="1">
      <c r="A33" s="2" t="s">
        <v>7</v>
      </c>
      <c r="B33" s="3"/>
      <c r="C33" s="31" t="s">
        <v>83</v>
      </c>
      <c r="D33" s="43">
        <f t="shared" si="1"/>
        <v>23</v>
      </c>
      <c r="E33" s="33" t="s">
        <v>82</v>
      </c>
      <c r="G33" s="14"/>
    </row>
    <row r="34" spans="1:15" ht="32.1" customHeight="1">
      <c r="A34" s="2"/>
      <c r="B34" s="3"/>
      <c r="C34" s="34"/>
      <c r="D34" s="43">
        <f t="shared" si="1"/>
        <v>24</v>
      </c>
      <c r="E34" s="5" t="s">
        <v>35</v>
      </c>
      <c r="G34" s="14"/>
    </row>
    <row r="35" spans="1:15" ht="32.1" customHeight="1">
      <c r="A35" s="2"/>
      <c r="B35" s="3"/>
      <c r="C35" s="34"/>
      <c r="D35" s="43">
        <f t="shared" si="1"/>
        <v>25</v>
      </c>
      <c r="E35" s="5" t="s">
        <v>36</v>
      </c>
      <c r="G35" s="14"/>
    </row>
    <row r="36" spans="1:15" ht="32.1" customHeight="1">
      <c r="A36" s="2" t="s">
        <v>7</v>
      </c>
      <c r="B36" s="3"/>
      <c r="C36" s="34"/>
      <c r="D36" s="43">
        <f t="shared" si="1"/>
        <v>26</v>
      </c>
      <c r="E36" s="5" t="s">
        <v>38</v>
      </c>
    </row>
    <row r="37" spans="1:15" ht="32.1" customHeight="1">
      <c r="A37" s="2" t="s">
        <v>7</v>
      </c>
      <c r="B37" s="3"/>
      <c r="C37" s="34"/>
      <c r="D37" s="43">
        <f t="shared" si="1"/>
        <v>27</v>
      </c>
      <c r="E37" s="27" t="s">
        <v>86</v>
      </c>
    </row>
    <row r="38" spans="1:15" ht="32.1" customHeight="1">
      <c r="A38" s="2"/>
      <c r="B38" s="3"/>
      <c r="C38" s="34"/>
      <c r="D38" s="43">
        <f t="shared" si="1"/>
        <v>28</v>
      </c>
      <c r="E38" s="33" t="s">
        <v>84</v>
      </c>
    </row>
    <row r="39" spans="1:15" ht="32.1" customHeight="1">
      <c r="A39" s="2"/>
      <c r="B39" s="3"/>
      <c r="C39" s="34"/>
      <c r="D39" s="43">
        <f t="shared" si="1"/>
        <v>29</v>
      </c>
      <c r="E39" s="21"/>
    </row>
    <row r="40" spans="1:15" ht="32.1" customHeight="1">
      <c r="A40" s="2" t="s">
        <v>7</v>
      </c>
      <c r="B40" s="3"/>
      <c r="C40" s="34"/>
      <c r="D40" s="43">
        <f t="shared" si="1"/>
        <v>30</v>
      </c>
      <c r="E40" s="21"/>
    </row>
    <row r="41" spans="1:15" ht="32.1" customHeight="1">
      <c r="A41" s="2"/>
      <c r="B41" s="3"/>
      <c r="C41" s="34"/>
      <c r="D41" s="43">
        <f t="shared" si="1"/>
        <v>31</v>
      </c>
      <c r="E41" s="21"/>
    </row>
    <row r="42" spans="1:15" ht="32.1" customHeight="1" thickBot="1">
      <c r="A42" s="2" t="s">
        <v>7</v>
      </c>
      <c r="B42" s="3"/>
      <c r="C42" s="32"/>
      <c r="D42" s="43">
        <f t="shared" si="1"/>
        <v>32</v>
      </c>
      <c r="E42" s="21"/>
    </row>
    <row r="43" spans="1:15" ht="32.1" customHeight="1">
      <c r="A43" s="2" t="s">
        <v>7</v>
      </c>
      <c r="B43" s="3"/>
      <c r="C43" s="8" t="s">
        <v>88</v>
      </c>
      <c r="D43" s="43">
        <f t="shared" si="1"/>
        <v>33</v>
      </c>
      <c r="E43" s="5" t="s">
        <v>17</v>
      </c>
      <c r="G43" s="14" t="s">
        <v>89</v>
      </c>
      <c r="K43" s="65" t="s">
        <v>89</v>
      </c>
      <c r="L43" s="66"/>
      <c r="M43" s="66"/>
      <c r="N43" s="66"/>
      <c r="O43" s="67"/>
    </row>
    <row r="44" spans="1:15" ht="32.1" customHeight="1">
      <c r="A44" s="2"/>
      <c r="B44" s="3"/>
      <c r="C44" s="13"/>
      <c r="D44" s="43">
        <f t="shared" si="1"/>
        <v>34</v>
      </c>
      <c r="E44" s="21" t="s">
        <v>139</v>
      </c>
      <c r="G44" s="14" t="s">
        <v>51</v>
      </c>
      <c r="K44" s="68"/>
      <c r="L44" s="69"/>
      <c r="M44" s="69"/>
      <c r="N44" s="69"/>
      <c r="O44" s="70"/>
    </row>
    <row r="45" spans="1:15" ht="32.1" customHeight="1">
      <c r="A45" s="2"/>
      <c r="B45" s="3"/>
      <c r="C45" s="13"/>
      <c r="D45" s="43">
        <f t="shared" si="1"/>
        <v>35</v>
      </c>
      <c r="E45" s="21" t="s">
        <v>135</v>
      </c>
      <c r="G45" s="14" t="s">
        <v>92</v>
      </c>
      <c r="K45" s="68"/>
      <c r="L45" s="69"/>
      <c r="M45" s="69"/>
      <c r="N45" s="69"/>
      <c r="O45" s="70"/>
    </row>
    <row r="46" spans="1:15" ht="32.1" customHeight="1">
      <c r="A46" s="2"/>
      <c r="B46" s="3"/>
      <c r="C46" s="13"/>
      <c r="D46" s="43">
        <f t="shared" si="1"/>
        <v>36</v>
      </c>
      <c r="E46" s="21" t="s">
        <v>134</v>
      </c>
      <c r="G46" s="14" t="s">
        <v>90</v>
      </c>
      <c r="K46" s="68"/>
      <c r="L46" s="69"/>
      <c r="M46" s="69"/>
      <c r="N46" s="69"/>
      <c r="O46" s="70"/>
    </row>
    <row r="47" spans="1:15" ht="32.1" customHeight="1">
      <c r="A47" s="2"/>
      <c r="B47" s="3"/>
      <c r="C47" s="13"/>
      <c r="D47" s="43">
        <f t="shared" si="1"/>
        <v>37</v>
      </c>
      <c r="E47" s="23" t="s">
        <v>75</v>
      </c>
      <c r="G47" s="14" t="s">
        <v>140</v>
      </c>
      <c r="H47" t="s">
        <v>52</v>
      </c>
      <c r="K47" s="68"/>
      <c r="L47" s="69"/>
      <c r="M47" s="69"/>
      <c r="N47" s="69"/>
      <c r="O47" s="70"/>
    </row>
    <row r="48" spans="1:15" ht="32.1" customHeight="1">
      <c r="A48" s="2"/>
      <c r="B48" s="3"/>
      <c r="C48" s="13"/>
      <c r="D48" s="43">
        <f t="shared" si="1"/>
        <v>38</v>
      </c>
      <c r="E48" s="21" t="s">
        <v>136</v>
      </c>
      <c r="G48" s="14" t="s">
        <v>91</v>
      </c>
      <c r="K48" s="68"/>
      <c r="L48" s="69"/>
      <c r="M48" s="69"/>
      <c r="N48" s="69"/>
      <c r="O48" s="70"/>
    </row>
    <row r="49" spans="1:19" ht="32.1" customHeight="1">
      <c r="A49" s="2"/>
      <c r="B49" s="3"/>
      <c r="C49" s="13"/>
      <c r="D49" s="43">
        <f t="shared" si="1"/>
        <v>39</v>
      </c>
      <c r="E49" s="21" t="s">
        <v>137</v>
      </c>
      <c r="G49" s="14" t="s">
        <v>51</v>
      </c>
      <c r="K49" s="68"/>
      <c r="L49" s="69"/>
      <c r="M49" s="69"/>
      <c r="N49" s="69"/>
      <c r="O49" s="70"/>
    </row>
    <row r="50" spans="1:19" ht="32.1" customHeight="1">
      <c r="A50" s="2"/>
      <c r="B50" s="3"/>
      <c r="C50" s="13"/>
      <c r="D50" s="43">
        <f t="shared" si="1"/>
        <v>40</v>
      </c>
      <c r="E50" s="21" t="s">
        <v>138</v>
      </c>
      <c r="G50" s="14"/>
      <c r="K50" s="68"/>
      <c r="L50" s="69"/>
      <c r="M50" s="69"/>
      <c r="N50" s="69"/>
      <c r="O50" s="70"/>
    </row>
    <row r="51" spans="1:19" ht="32.1" customHeight="1">
      <c r="A51" s="2"/>
      <c r="B51" s="3"/>
      <c r="C51" s="13"/>
      <c r="D51" s="43">
        <f t="shared" si="1"/>
        <v>41</v>
      </c>
      <c r="E51" s="21" t="s">
        <v>149</v>
      </c>
      <c r="G51" s="14"/>
      <c r="K51" s="68"/>
      <c r="L51" s="69"/>
      <c r="M51" s="69"/>
      <c r="N51" s="69"/>
      <c r="O51" s="70"/>
    </row>
    <row r="52" spans="1:19" ht="32.1" customHeight="1">
      <c r="A52" s="2"/>
      <c r="B52" s="3"/>
      <c r="C52" s="13"/>
      <c r="D52" s="43">
        <f t="shared" si="1"/>
        <v>42</v>
      </c>
      <c r="E52" s="21" t="s">
        <v>144</v>
      </c>
      <c r="G52" s="14"/>
      <c r="K52" s="68"/>
      <c r="L52" s="69"/>
      <c r="M52" s="69"/>
      <c r="N52" s="69"/>
      <c r="O52" s="70"/>
    </row>
    <row r="53" spans="1:19" ht="32.1" customHeight="1">
      <c r="A53" s="2"/>
      <c r="B53" s="3"/>
      <c r="C53" s="13"/>
      <c r="D53" s="43">
        <f t="shared" si="1"/>
        <v>43</v>
      </c>
      <c r="E53" s="21" t="s">
        <v>148</v>
      </c>
      <c r="G53" s="14" t="s">
        <v>143</v>
      </c>
      <c r="K53" s="71"/>
      <c r="L53" s="69"/>
      <c r="M53" s="69"/>
      <c r="N53" s="69"/>
      <c r="O53" s="69"/>
    </row>
    <row r="54" spans="1:19" ht="32.1" customHeight="1">
      <c r="A54" s="2"/>
      <c r="B54" s="3"/>
      <c r="C54" s="13"/>
      <c r="D54" s="43">
        <f t="shared" si="1"/>
        <v>44</v>
      </c>
      <c r="E54" s="21" t="s">
        <v>146</v>
      </c>
      <c r="G54" s="14" t="s">
        <v>142</v>
      </c>
      <c r="K54" s="71"/>
      <c r="L54" s="69"/>
      <c r="M54" s="69"/>
      <c r="N54" s="69"/>
      <c r="O54" s="69"/>
    </row>
    <row r="55" spans="1:19" ht="32.1" customHeight="1">
      <c r="A55" s="2" t="s">
        <v>7</v>
      </c>
      <c r="B55" s="3"/>
      <c r="C55" s="9"/>
      <c r="D55" s="43">
        <f t="shared" si="1"/>
        <v>45</v>
      </c>
      <c r="E55" s="21" t="s">
        <v>145</v>
      </c>
      <c r="G55" s="14" t="s">
        <v>141</v>
      </c>
      <c r="K55" s="72"/>
    </row>
    <row r="56" spans="1:19" ht="32.1" customHeight="1">
      <c r="A56" s="2"/>
      <c r="B56" s="3"/>
      <c r="C56" s="9"/>
      <c r="D56" s="43">
        <f t="shared" si="1"/>
        <v>46</v>
      </c>
      <c r="E56" s="21" t="s">
        <v>147</v>
      </c>
      <c r="G56" s="14" t="s">
        <v>93</v>
      </c>
      <c r="K56" s="72"/>
      <c r="R56" s="54" t="s">
        <v>94</v>
      </c>
      <c r="S56" s="54" t="s">
        <v>95</v>
      </c>
    </row>
    <row r="57" spans="1:19" ht="32.1" customHeight="1">
      <c r="A57" s="2" t="s">
        <v>7</v>
      </c>
      <c r="B57" s="3"/>
      <c r="C57" s="9"/>
      <c r="D57" s="43">
        <f t="shared" si="1"/>
        <v>47</v>
      </c>
      <c r="E57" s="5" t="s">
        <v>19</v>
      </c>
      <c r="L57" s="72"/>
      <c r="R57" s="55" t="s">
        <v>96</v>
      </c>
      <c r="S57" s="56" t="s">
        <v>97</v>
      </c>
    </row>
    <row r="58" spans="1:19" ht="32.1" customHeight="1">
      <c r="A58" s="2" t="s">
        <v>7</v>
      </c>
      <c r="B58" s="3"/>
      <c r="C58" s="9"/>
      <c r="D58" s="43">
        <f t="shared" si="1"/>
        <v>48</v>
      </c>
      <c r="E58" s="5" t="s">
        <v>39</v>
      </c>
      <c r="K58" s="72"/>
      <c r="R58" s="55" t="s">
        <v>98</v>
      </c>
      <c r="S58" s="56" t="s">
        <v>99</v>
      </c>
    </row>
    <row r="59" spans="1:19" ht="32.1" customHeight="1">
      <c r="A59" s="2"/>
      <c r="B59" s="3"/>
      <c r="C59" s="9"/>
      <c r="D59" s="43">
        <f t="shared" si="1"/>
        <v>49</v>
      </c>
      <c r="E59" s="5" t="s">
        <v>40</v>
      </c>
      <c r="R59" s="55" t="s">
        <v>100</v>
      </c>
      <c r="S59" s="56" t="s">
        <v>101</v>
      </c>
    </row>
    <row r="60" spans="1:19" ht="32.1" customHeight="1">
      <c r="A60" s="2" t="s">
        <v>7</v>
      </c>
      <c r="B60" s="3"/>
      <c r="C60" s="9"/>
      <c r="D60" s="43">
        <f t="shared" si="1"/>
        <v>50</v>
      </c>
      <c r="E60" s="5" t="s">
        <v>20</v>
      </c>
      <c r="R60" s="55" t="s">
        <v>102</v>
      </c>
      <c r="S60" s="56" t="s">
        <v>103</v>
      </c>
    </row>
    <row r="61" spans="1:19" s="51" customFormat="1" ht="32.1" customHeight="1">
      <c r="A61" s="48" t="s">
        <v>7</v>
      </c>
      <c r="B61" s="49"/>
      <c r="C61" s="10"/>
      <c r="D61" s="43">
        <f t="shared" si="1"/>
        <v>51</v>
      </c>
      <c r="E61" s="50" t="s">
        <v>21</v>
      </c>
      <c r="J61" s="64"/>
      <c r="K61" s="64"/>
      <c r="L61" s="64"/>
      <c r="M61" s="64"/>
      <c r="N61" s="64"/>
      <c r="O61" s="64"/>
      <c r="P61" s="64"/>
      <c r="Q61" s="64"/>
      <c r="R61" s="55" t="s">
        <v>104</v>
      </c>
      <c r="S61" s="56" t="s">
        <v>105</v>
      </c>
    </row>
    <row r="62" spans="1:19" ht="32.1" customHeight="1">
      <c r="A62" s="2"/>
      <c r="B62" s="3"/>
      <c r="C62" s="8" t="s">
        <v>29</v>
      </c>
      <c r="D62" s="43">
        <f t="shared" si="1"/>
        <v>52</v>
      </c>
      <c r="E62" s="5" t="s">
        <v>30</v>
      </c>
      <c r="K62" s="72"/>
      <c r="R62" s="55" t="s">
        <v>106</v>
      </c>
      <c r="S62" s="56" t="s">
        <v>107</v>
      </c>
    </row>
    <row r="63" spans="1:19" ht="32.1" customHeight="1">
      <c r="A63" s="2"/>
      <c r="B63" s="3"/>
      <c r="C63" s="10"/>
      <c r="D63" s="43">
        <f t="shared" si="1"/>
        <v>53</v>
      </c>
      <c r="E63" s="5" t="s">
        <v>31</v>
      </c>
      <c r="K63" s="72"/>
      <c r="R63" s="55" t="s">
        <v>108</v>
      </c>
      <c r="S63" s="56" t="s">
        <v>109</v>
      </c>
    </row>
    <row r="64" spans="1:19" ht="32.1" customHeight="1">
      <c r="A64" s="2" t="s">
        <v>7</v>
      </c>
      <c r="B64" s="3"/>
      <c r="C64" s="8" t="s">
        <v>22</v>
      </c>
      <c r="D64" s="43">
        <f t="shared" si="1"/>
        <v>54</v>
      </c>
      <c r="E64" s="5" t="s">
        <v>23</v>
      </c>
      <c r="K64" s="72"/>
      <c r="R64" s="55" t="s">
        <v>110</v>
      </c>
      <c r="S64" s="56" t="s">
        <v>111</v>
      </c>
    </row>
    <row r="65" spans="1:19" ht="32.1" customHeight="1">
      <c r="A65" s="2" t="s">
        <v>7</v>
      </c>
      <c r="B65" s="3"/>
      <c r="C65" s="9"/>
      <c r="D65" s="43">
        <f t="shared" si="1"/>
        <v>55</v>
      </c>
      <c r="E65" s="5" t="s">
        <v>24</v>
      </c>
      <c r="R65" s="55" t="s">
        <v>112</v>
      </c>
      <c r="S65" s="56" t="s">
        <v>113</v>
      </c>
    </row>
    <row r="66" spans="1:19" ht="32.1" customHeight="1">
      <c r="A66" s="2" t="s">
        <v>7</v>
      </c>
      <c r="B66" s="3"/>
      <c r="C66" s="9"/>
      <c r="D66" s="43">
        <f t="shared" si="1"/>
        <v>56</v>
      </c>
      <c r="E66" s="5" t="s">
        <v>25</v>
      </c>
      <c r="K66" s="72"/>
      <c r="R66" s="55" t="s">
        <v>114</v>
      </c>
      <c r="S66" s="56" t="s">
        <v>115</v>
      </c>
    </row>
    <row r="67" spans="1:19" ht="32.1" customHeight="1">
      <c r="A67" s="2" t="s">
        <v>7</v>
      </c>
      <c r="B67" s="3"/>
      <c r="C67" s="9"/>
      <c r="D67" s="43">
        <f t="shared" si="1"/>
        <v>57</v>
      </c>
      <c r="E67" s="5" t="s">
        <v>26</v>
      </c>
      <c r="K67" s="72"/>
      <c r="R67" s="55" t="s">
        <v>116</v>
      </c>
      <c r="S67" s="56" t="s">
        <v>117</v>
      </c>
    </row>
    <row r="68" spans="1:19" ht="32.1" customHeight="1">
      <c r="A68" s="2" t="s">
        <v>7</v>
      </c>
      <c r="B68" s="3"/>
      <c r="C68" s="9"/>
      <c r="D68" s="43">
        <f t="shared" si="1"/>
        <v>58</v>
      </c>
      <c r="E68" s="5" t="s">
        <v>27</v>
      </c>
      <c r="K68" s="72"/>
      <c r="R68" s="55" t="s">
        <v>118</v>
      </c>
      <c r="S68" s="56" t="s">
        <v>119</v>
      </c>
    </row>
    <row r="69" spans="1:19" ht="32.1" customHeight="1">
      <c r="A69" s="2" t="s">
        <v>7</v>
      </c>
      <c r="B69" s="3"/>
      <c r="C69" s="10"/>
      <c r="D69" s="43">
        <f t="shared" si="1"/>
        <v>59</v>
      </c>
      <c r="E69" s="5" t="s">
        <v>28</v>
      </c>
      <c r="K69" s="72"/>
      <c r="R69" s="55" t="s">
        <v>120</v>
      </c>
      <c r="S69" s="56" t="s">
        <v>121</v>
      </c>
    </row>
    <row r="70" spans="1:19" ht="32.1" customHeight="1">
      <c r="A70" s="2" t="s">
        <v>7</v>
      </c>
      <c r="B70" s="3"/>
      <c r="C70" s="8" t="s">
        <v>41</v>
      </c>
      <c r="D70" s="43">
        <f t="shared" si="1"/>
        <v>60</v>
      </c>
      <c r="E70" s="5" t="s">
        <v>42</v>
      </c>
      <c r="K70" s="72"/>
      <c r="R70" s="55" t="s">
        <v>122</v>
      </c>
      <c r="S70" s="56" t="s">
        <v>123</v>
      </c>
    </row>
    <row r="71" spans="1:19" ht="32.1" customHeight="1">
      <c r="A71" s="2" t="s">
        <v>7</v>
      </c>
      <c r="B71" s="3"/>
      <c r="C71" s="9"/>
      <c r="D71" s="43">
        <f t="shared" si="1"/>
        <v>61</v>
      </c>
      <c r="E71" s="5" t="s">
        <v>43</v>
      </c>
      <c r="R71" s="55" t="s">
        <v>124</v>
      </c>
      <c r="S71" s="56" t="s">
        <v>125</v>
      </c>
    </row>
    <row r="72" spans="1:19" ht="32.1" customHeight="1">
      <c r="A72" s="2" t="s">
        <v>7</v>
      </c>
      <c r="B72" s="3"/>
      <c r="C72" s="9"/>
      <c r="D72" s="43">
        <f t="shared" si="1"/>
        <v>62</v>
      </c>
      <c r="E72" s="5" t="s">
        <v>44</v>
      </c>
      <c r="R72" s="55" t="s">
        <v>126</v>
      </c>
      <c r="S72" s="56" t="s">
        <v>127</v>
      </c>
    </row>
    <row r="73" spans="1:19" ht="32.1" customHeight="1">
      <c r="A73" s="2" t="s">
        <v>7</v>
      </c>
      <c r="B73" s="3"/>
      <c r="C73" s="9"/>
      <c r="D73" s="43">
        <f t="shared" si="1"/>
        <v>63</v>
      </c>
      <c r="E73" s="5" t="s">
        <v>45</v>
      </c>
      <c r="R73" s="55" t="s">
        <v>128</v>
      </c>
      <c r="S73" s="56" t="s">
        <v>129</v>
      </c>
    </row>
    <row r="74" spans="1:19" ht="32.1" customHeight="1">
      <c r="A74" s="2" t="s">
        <v>7</v>
      </c>
      <c r="B74" s="3"/>
      <c r="C74" s="9"/>
      <c r="D74" s="43">
        <f t="shared" si="1"/>
        <v>64</v>
      </c>
      <c r="E74" s="5" t="s">
        <v>46</v>
      </c>
      <c r="R74" s="55" t="s">
        <v>130</v>
      </c>
      <c r="S74" s="56" t="s">
        <v>131</v>
      </c>
    </row>
    <row r="75" spans="1:19" ht="32.1" customHeight="1">
      <c r="A75" s="2" t="s">
        <v>7</v>
      </c>
      <c r="B75" s="3"/>
      <c r="C75" s="9"/>
      <c r="D75" s="43">
        <f t="shared" si="1"/>
        <v>65</v>
      </c>
      <c r="E75" s="5" t="s">
        <v>47</v>
      </c>
      <c r="R75" s="55" t="s">
        <v>132</v>
      </c>
      <c r="S75" s="56" t="s">
        <v>133</v>
      </c>
    </row>
    <row r="76" spans="1:19" ht="32.1" customHeight="1">
      <c r="A76" s="2" t="s">
        <v>7</v>
      </c>
      <c r="B76" s="3"/>
      <c r="C76" s="10"/>
      <c r="D76" s="43">
        <f t="shared" si="1"/>
        <v>66</v>
      </c>
      <c r="E76" s="5" t="s">
        <v>48</v>
      </c>
    </row>
  </sheetData>
  <mergeCells count="28">
    <mergeCell ref="P12:Q13"/>
    <mergeCell ref="J15:K16"/>
    <mergeCell ref="J12:K13"/>
    <mergeCell ref="P15:Q16"/>
    <mergeCell ref="M18:N19"/>
    <mergeCell ref="J6:K7"/>
    <mergeCell ref="M6:N7"/>
    <mergeCell ref="M3:N4"/>
    <mergeCell ref="P9:Q10"/>
    <mergeCell ref="M9:N10"/>
    <mergeCell ref="J9:K10"/>
    <mergeCell ref="M21:N22"/>
    <mergeCell ref="C70:C76"/>
    <mergeCell ref="A2:E2"/>
    <mergeCell ref="C62:C63"/>
    <mergeCell ref="C15:C17"/>
    <mergeCell ref="C13:C14"/>
    <mergeCell ref="C8:C12"/>
    <mergeCell ref="C4:C7"/>
    <mergeCell ref="D23:D24"/>
    <mergeCell ref="C18:C20"/>
    <mergeCell ref="A1:E1"/>
    <mergeCell ref="C43:C61"/>
    <mergeCell ref="C29:C32"/>
    <mergeCell ref="C64:C69"/>
    <mergeCell ref="C26:C28"/>
    <mergeCell ref="C21:C25"/>
    <mergeCell ref="C33:C4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Pre-Construction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2026-01-20T01:04:21Z</dcterms:created>
  <dcterms:modified xsi:type="dcterms:W3CDTF">2026-01-21T00:51:34Z</dcterms:modified>
</cp:coreProperties>
</file>